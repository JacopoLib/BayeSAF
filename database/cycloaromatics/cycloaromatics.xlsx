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jacopo/Desktop/BayeSAF/database/cycloaromatics/"/>
    </mc:Choice>
  </mc:AlternateContent>
  <xr:revisionPtr revIDLastSave="0" documentId="13_ncr:1_{E13992DE-5BDF-E046-BA7A-EED8CCD02BB7}" xr6:coauthVersionLast="47" xr6:coauthVersionMax="47" xr10:uidLastSave="{00000000-0000-0000-0000-000000000000}"/>
  <bookViews>
    <workbookView xWindow="0" yWindow="760" windowWidth="17440" windowHeight="20560" xr2:uid="{D3F96728-2DE2-5449-B1F9-40CED5586744}"/>
  </bookViews>
  <sheets>
    <sheet name="Foglio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1" l="1"/>
  <c r="L32" i="1"/>
  <c r="L33" i="1"/>
  <c r="L34" i="1"/>
  <c r="L35" i="1"/>
  <c r="L36" i="1"/>
  <c r="L37" i="1"/>
  <c r="L38" i="1"/>
  <c r="L39" i="1"/>
  <c r="L40" i="1"/>
  <c r="L41" i="1"/>
  <c r="L30" i="1"/>
  <c r="K31" i="1"/>
  <c r="K32" i="1"/>
  <c r="K33" i="1"/>
  <c r="K34" i="1"/>
  <c r="K35" i="1"/>
  <c r="K36" i="1"/>
  <c r="K37" i="1"/>
  <c r="K38" i="1"/>
  <c r="K39" i="1"/>
  <c r="K40" i="1"/>
  <c r="K41" i="1"/>
  <c r="K30" i="1"/>
  <c r="F41" i="1"/>
  <c r="F40" i="1"/>
  <c r="F39" i="1"/>
  <c r="F38" i="1"/>
  <c r="F37" i="1"/>
  <c r="F36" i="1"/>
  <c r="F35" i="1"/>
  <c r="F34" i="1"/>
  <c r="F33" i="1"/>
  <c r="F32" i="1"/>
</calcChain>
</file>

<file path=xl/sharedStrings.xml><?xml version="1.0" encoding="utf-8"?>
<sst xmlns="http://schemas.openxmlformats.org/spreadsheetml/2006/main" count="104" uniqueCount="99">
  <si>
    <t>Name</t>
  </si>
  <si>
    <t>Formula</t>
  </si>
  <si>
    <t>nC</t>
  </si>
  <si>
    <t>eta_B_star</t>
  </si>
  <si>
    <t>eta_B_star_norm</t>
  </si>
  <si>
    <t>W [g/mol]</t>
  </si>
  <si>
    <t>Tc [K]</t>
  </si>
  <si>
    <t>Pc [bar]</t>
  </si>
  <si>
    <t>Vc [m^3/mol]</t>
  </si>
  <si>
    <t>rhoc [kg/m^3]</t>
  </si>
  <si>
    <t>Zc</t>
  </si>
  <si>
    <t>omega</t>
  </si>
  <si>
    <t>Amu</t>
  </si>
  <si>
    <t>Bmu</t>
  </si>
  <si>
    <t>Cmu</t>
  </si>
  <si>
    <t>Dmu</t>
  </si>
  <si>
    <t>Arho</t>
  </si>
  <si>
    <t>Brho</t>
  </si>
  <si>
    <t>Crho</t>
  </si>
  <si>
    <t>Asat</t>
  </si>
  <si>
    <t>Bsat</t>
  </si>
  <si>
    <t>Csat</t>
  </si>
  <si>
    <t>Dsat</t>
  </si>
  <si>
    <t>Esat</t>
  </si>
  <si>
    <t>Ac</t>
  </si>
  <si>
    <t>Bc</t>
  </si>
  <si>
    <t>Cc</t>
  </si>
  <si>
    <t>Dc</t>
  </si>
  <si>
    <t>Ak</t>
  </si>
  <si>
    <t>Bk</t>
  </si>
  <si>
    <t>Ck</t>
  </si>
  <si>
    <t>indane</t>
  </si>
  <si>
    <t>C9H10</t>
  </si>
  <si>
    <t>1,2,3,4-tetrahydronaphthalene</t>
  </si>
  <si>
    <t>C10H12</t>
  </si>
  <si>
    <t>1-methyl-[1,2,3,4-tetrahydronaphthalene]</t>
  </si>
  <si>
    <t>C11H14</t>
  </si>
  <si>
    <t>2-methyl-[1,2,3,4-tetrahydronaphthalene]</t>
  </si>
  <si>
    <t>1-ethyl-[1,2,3,4-tetrahydronaphthalene]</t>
  </si>
  <si>
    <t>C12H16</t>
  </si>
  <si>
    <t>2-ethyl-[1,2,3,4-tetrahydronaphthalene]</t>
  </si>
  <si>
    <t>2-propyl-[1,2,3,4-tetrahydronaphthalene]</t>
  </si>
  <si>
    <t>C13H18</t>
  </si>
  <si>
    <t>1-propyl-[1,2,3,4-tetrahydronaphthalene]</t>
  </si>
  <si>
    <t>2-butyl-[1,2,3,4-tetrahydronaphthalene]</t>
  </si>
  <si>
    <t>C14H20</t>
  </si>
  <si>
    <t>1-butyl-[1,2,3,4-tetrahydronaphthalene]</t>
  </si>
  <si>
    <t>1-pentyl-[1,2,3,4-tetrahydronaphthalene]</t>
  </si>
  <si>
    <t>C15H22</t>
  </si>
  <si>
    <t>2-pentyl-[1,2,3,4-tetrahydronaphthalene]</t>
  </si>
  <si>
    <t>SMILES</t>
  </si>
  <si>
    <t>CCCCCC1CCCC2=C1C=CC=C2</t>
  </si>
  <si>
    <t>CCCCCC1CCC2=C(C=CC=C2)C1</t>
  </si>
  <si>
    <t>Avap</t>
  </si>
  <si>
    <t>Bvap</t>
  </si>
  <si>
    <t>Asigma</t>
  </si>
  <si>
    <t>Bsigma</t>
  </si>
  <si>
    <r>
      <rPr>
        <i/>
        <sz val="12"/>
        <color theme="1"/>
        <rFont val="Times New Roman"/>
        <family val="1"/>
      </rPr>
      <t>Name</t>
    </r>
    <r>
      <rPr>
        <sz val="12"/>
        <color theme="1"/>
        <rFont val="Times New Roman"/>
        <family val="1"/>
      </rPr>
      <t xml:space="preserve"> : name of the organic compound</t>
    </r>
  </si>
  <si>
    <r>
      <rPr>
        <i/>
        <sz val="12"/>
        <color theme="1"/>
        <rFont val="Times New Roman"/>
        <family val="1"/>
      </rPr>
      <t>Formula</t>
    </r>
    <r>
      <rPr>
        <sz val="12"/>
        <color theme="1"/>
        <rFont val="Times New Roman"/>
        <family val="1"/>
      </rPr>
      <t xml:space="preserve"> : chemical formula of the organic compound</t>
    </r>
  </si>
  <si>
    <r>
      <rPr>
        <i/>
        <sz val="12"/>
        <color theme="1"/>
        <rFont val="Times New Roman"/>
        <family val="1"/>
      </rPr>
      <t>SMILES</t>
    </r>
    <r>
      <rPr>
        <sz val="12"/>
        <color theme="1"/>
        <rFont val="Times New Roman"/>
        <family val="1"/>
      </rPr>
      <t xml:space="preserve"> (Simplified Molecular Input Line Entry System) : line notation describing the structure of the organic compound</t>
    </r>
  </si>
  <si>
    <t>nC : number of carbon atoms of the organic compound</t>
  </si>
  <si>
    <r>
      <rPr>
        <i/>
        <sz val="12"/>
        <color theme="1"/>
        <rFont val="Times New Roman"/>
        <family val="1"/>
      </rPr>
      <t>eta_B_star</t>
    </r>
    <r>
      <rPr>
        <sz val="12"/>
        <color theme="1"/>
        <rFont val="Times New Roman"/>
        <family val="1"/>
      </rPr>
      <t xml:space="preserve"> : topochemical index of the organic compound calculated as the product between an extended topochemical atom (ETA) index                      - with      denoting the branching index and      indicating the vertex count [1] - provided by the python wrapper PaDELPy [2] of the PaDEL software [3] as "ETA_EtaP_B_RC" and  the volume of a particular conformer of a molecule based on a grid-encoding of the molecular shape provided by RDKit [4] via "ComputeMolVolume"</t>
    </r>
  </si>
  <si>
    <t xml:space="preserve">eta_B_star_norm: normalized topochemical index of the organic compound calculated as                                                       , with             and             denoting the minimum and maximum values of "eta_B_star" amongst the organic compounds characterized by the same number of carbon atoms "nC", respectively  </t>
  </si>
  <si>
    <r>
      <rPr>
        <i/>
        <sz val="12"/>
        <color theme="1"/>
        <rFont val="Times New Roman"/>
        <family val="1"/>
      </rPr>
      <t>W [g/mol]</t>
    </r>
    <r>
      <rPr>
        <sz val="12"/>
        <color theme="1"/>
        <rFont val="Times New Roman"/>
        <family val="1"/>
      </rPr>
      <t xml:space="preserve"> : molecular weight of the organic compound</t>
    </r>
  </si>
  <si>
    <r>
      <rPr>
        <i/>
        <sz val="12"/>
        <color theme="1"/>
        <rFont val="Times New Roman"/>
        <family val="1"/>
      </rPr>
      <t>Tc [K]</t>
    </r>
    <r>
      <rPr>
        <sz val="12"/>
        <color theme="1"/>
        <rFont val="Times New Roman"/>
        <family val="1"/>
      </rPr>
      <t xml:space="preserve"> : critical temperature of the organic compound</t>
    </r>
  </si>
  <si>
    <r>
      <rPr>
        <i/>
        <sz val="12"/>
        <color theme="1"/>
        <rFont val="Times New Roman"/>
        <family val="1"/>
      </rPr>
      <t>Pc [bar]</t>
    </r>
    <r>
      <rPr>
        <sz val="12"/>
        <color theme="1"/>
        <rFont val="Times New Roman"/>
        <family val="1"/>
      </rPr>
      <t xml:space="preserve"> : critical pressure of the organic compound</t>
    </r>
  </si>
  <si>
    <r>
      <rPr>
        <i/>
        <sz val="12"/>
        <color theme="1"/>
        <rFont val="Times New Roman"/>
        <family val="1"/>
      </rPr>
      <t>Vc [m^3/mol]</t>
    </r>
    <r>
      <rPr>
        <sz val="12"/>
        <color theme="1"/>
        <rFont val="Times New Roman"/>
        <family val="1"/>
      </rPr>
      <t xml:space="preserve"> : critical molar volume of the organic compound</t>
    </r>
  </si>
  <si>
    <r>
      <t>rhoc [kg/m^3]</t>
    </r>
    <r>
      <rPr>
        <sz val="12"/>
        <color rgb="FF000000"/>
        <rFont val="Times New Roman"/>
        <family val="1"/>
      </rPr>
      <t xml:space="preserve"> : critical density of the organic compound</t>
    </r>
  </si>
  <si>
    <r>
      <t>Zc</t>
    </r>
    <r>
      <rPr>
        <sz val="12"/>
        <color rgb="FF000000"/>
        <rFont val="Times New Roman"/>
        <family val="1"/>
      </rPr>
      <t xml:space="preserve"> : critical compressibility factor of the organic compound</t>
    </r>
  </si>
  <si>
    <r>
      <t>omega</t>
    </r>
    <r>
      <rPr>
        <sz val="12"/>
        <color rgb="FF000000"/>
        <rFont val="Times New Roman"/>
        <family val="1"/>
      </rPr>
      <t xml:space="preserve"> : acentric factor of the organic compound</t>
    </r>
  </si>
  <si>
    <t>Polynomial expressions describing thermophysical properties of the organic compounds [5]</t>
  </si>
  <si>
    <r>
      <t xml:space="preserve">Liquid-phase dynamic viscosity :     log10(μ) = Amu + Bmu/T + Cmu*T + Dmu*T^2 </t>
    </r>
    <r>
      <rPr>
        <sz val="12"/>
        <color rgb="FF000000"/>
        <rFont val="Times New Roman"/>
        <family val="1"/>
      </rPr>
      <t xml:space="preserve">    [mPa*s]     with T expressed in [K]</t>
    </r>
  </si>
  <si>
    <r>
      <t xml:space="preserve">Liquid-phase density :     ρ = Arho*[Brho^-(1-T/Tc)^Crho] </t>
    </r>
    <r>
      <rPr>
        <sz val="12"/>
        <color rgb="FF000000"/>
        <rFont val="Times New Roman"/>
        <family val="1"/>
      </rPr>
      <t xml:space="preserve">    [g/cm^3]     with T expressed in [K] and Tc denoting the critical temperature in [K]</t>
    </r>
  </si>
  <si>
    <r>
      <t xml:space="preserve">Vapor pressure:     log10(pSat) = Asat + Bsat/T + Csat*log10(T) + Dsat*T + Esat*T^2 </t>
    </r>
    <r>
      <rPr>
        <sz val="12"/>
        <color rgb="FF000000"/>
        <rFont val="Times New Roman"/>
        <family val="1"/>
      </rPr>
      <t xml:space="preserve">    [mmHg]     with T expressed in [K]</t>
    </r>
  </si>
  <si>
    <r>
      <t xml:space="preserve">Liquid-phase specific heat capacity :     Cp = Ac + Bc*T + Cc*T^2 + Dc*T^3 </t>
    </r>
    <r>
      <rPr>
        <sz val="12"/>
        <color rgb="FF000000"/>
        <rFont val="Times New Roman"/>
        <family val="1"/>
      </rPr>
      <t xml:space="preserve">    [J/mol/K]     with T expressed in [K]</t>
    </r>
  </si>
  <si>
    <r>
      <t>Enthalpy of vaporization :     ΔHvap = Avap*(1-T/Tc)^Bvap</t>
    </r>
    <r>
      <rPr>
        <sz val="12"/>
        <color rgb="FF000000"/>
        <rFont val="Times New Roman"/>
        <family val="1"/>
      </rPr>
      <t xml:space="preserve">    [kJ/mol]     with T expressed in [K] and Tc denoting the critical temperature in [K]</t>
    </r>
  </si>
  <si>
    <r>
      <t>Surface tension :     sigma = Asigma*(1-T/Tc)^Bsigma</t>
    </r>
    <r>
      <rPr>
        <sz val="12"/>
        <color rgb="FF000000"/>
        <rFont val="Times New Roman"/>
        <family val="1"/>
      </rPr>
      <t xml:space="preserve">    [mN/m]     with T expressed in [K] and Tc denoting the critical temperature in [K]</t>
    </r>
  </si>
  <si>
    <r>
      <rPr>
        <i/>
        <u/>
        <sz val="12"/>
        <color rgb="FF000000"/>
        <rFont val="Times New Roman"/>
        <family val="1"/>
      </rPr>
      <t>PLEASE NOTE:</t>
    </r>
    <r>
      <rPr>
        <i/>
        <sz val="12"/>
        <color rgb="FF000000"/>
        <rFont val="Times New Roman"/>
        <family val="1"/>
      </rPr>
      <t xml:space="preserve"> </t>
    </r>
    <r>
      <rPr>
        <sz val="12"/>
        <color rgb="FF000000"/>
        <rFont val="Times New Roman"/>
        <family val="1"/>
      </rPr>
      <t>Critical properties, acentric factor, and polynomial coefficients are listed according to [5] where possible. If not, critical properties and acentric factor are listed according to other references, explicitly mentioned throughout the table below. If no reference is available, critical properties and acentric factor are taken equal to those characterizing the organic compound exhibiting the closest value of the topochemical atom index "eta_B_star". Similarly, polynomial coefficients missing in [5] are either calculated on the basis of ad-hoc experimental data - the references of which are explicitly mentioned throughout the table below - or taken equal to those characterizing the organic compound exhibiting the closest value of the topochemical atom index "eta_B_star". In the latter case, parameters are highlighted in red.</t>
    </r>
  </si>
  <si>
    <t>REFERENCES</t>
  </si>
  <si>
    <r>
      <t xml:space="preserve">[1] K. Roy and G. Ghosh, "QSTR with Extended Topochemical Atom Indices. 2. Fish Toxicity of Substituted Benzenes", </t>
    </r>
    <r>
      <rPr>
        <i/>
        <sz val="12"/>
        <color theme="1"/>
        <rFont val="Times New Roman"/>
        <family val="1"/>
      </rPr>
      <t xml:space="preserve">J. Chem. Inf. Comput. Sci. 44 (2), pp. 559-567, 2004. </t>
    </r>
    <r>
      <rPr>
        <sz val="12"/>
        <color theme="1"/>
        <rFont val="Times New Roman"/>
        <family val="1"/>
      </rPr>
      <t xml:space="preserve">DOI: 10.1021/ci0342066. </t>
    </r>
  </si>
  <si>
    <t>[2] T. Kessler. GitHub - ecrl/padelpy: A Python wrapper for PaDEL-Descriptor software. https://github.com/ecrl/padelpy</t>
  </si>
  <si>
    <r>
      <t xml:space="preserve">[3] C.W. Yap, "PaDEL-descriptor: An open source software to calculate molecular descriptors and fingerprints", </t>
    </r>
    <r>
      <rPr>
        <i/>
        <sz val="12"/>
        <color theme="1"/>
        <rFont val="Times New Roman"/>
        <family val="1"/>
      </rPr>
      <t xml:space="preserve">J. Comput. Chem. 32 (7), pp. 1466-1474, 2011. </t>
    </r>
    <r>
      <rPr>
        <sz val="12"/>
        <color theme="1"/>
        <rFont val="Times New Roman"/>
        <family val="1"/>
      </rPr>
      <t>DOI: 10.1002/jcc.21707.</t>
    </r>
  </si>
  <si>
    <r>
      <t xml:space="preserve">[4] G. Landrum, "Rdkit documentation", </t>
    </r>
    <r>
      <rPr>
        <i/>
        <sz val="12"/>
        <color theme="1"/>
        <rFont val="Times New Roman"/>
        <family val="1"/>
      </rPr>
      <t>Release 2019.09.1, 2019</t>
    </r>
    <r>
      <rPr>
        <sz val="12"/>
        <color theme="1"/>
        <rFont val="Times New Roman"/>
        <family val="1"/>
      </rPr>
      <t>.</t>
    </r>
  </si>
  <si>
    <r>
      <t xml:space="preserve">[5] C.L. Yaws, "Yaws' Handbook of Thermodynamic and Physical Properties of Chemical Compounds", </t>
    </r>
    <r>
      <rPr>
        <i/>
        <sz val="12"/>
        <color theme="1"/>
        <rFont val="Times New Roman"/>
        <family val="1"/>
      </rPr>
      <t>Knovel, 2003.</t>
    </r>
  </si>
  <si>
    <r>
      <t xml:space="preserve">[6] S. Sazhin, M. Al Qubeissi, R. Nasiri, V.M. Gun'ko, A.E. Elwardany, F. Lemoine, F. Grisch, and M.R. Heikal, "A multi-dimensional quasi-discrete model for the analysis of Diesel fuel droplet heating and evaporation", </t>
    </r>
    <r>
      <rPr>
        <i/>
        <sz val="12"/>
        <color theme="1"/>
        <rFont val="Times New Roman"/>
        <family val="1"/>
      </rPr>
      <t xml:space="preserve">Fuel 129, pp. 238-266, 2013. </t>
    </r>
    <r>
      <rPr>
        <sz val="12"/>
        <color theme="1"/>
        <rFont val="Times New Roman"/>
        <family val="1"/>
      </rPr>
      <t xml:space="preserve">DOI: 10.1016/j.fuel.2014.03.028. </t>
    </r>
  </si>
  <si>
    <t>[7] Joback group-contribution method.</t>
  </si>
  <si>
    <t>[8] J.W. Kang, K.P. Yoo, H.Y. Kim, H. Lee, D.R. Yang, and C.S. Lee, "Korea thermophysical properties data bank (KDB)". Seoul, South Korea: Department of Chemical Engineering, Korea University, 2003.</t>
  </si>
  <si>
    <t>CHEMICAL TOPOLOGY AND THERMOPHYSICAL PROPERTIES OF CYCLOAROMATICS</t>
  </si>
  <si>
    <t>C1=CC2=C(C=C1)CCC2</t>
  </si>
  <si>
    <t>C1=CC2=C(C=C1)CCCC2</t>
  </si>
  <si>
    <t>CC1CCCC2=C1C=CC=C2</t>
  </si>
  <si>
    <t>CC1CCC2=C(C=CC=C2)C1</t>
  </si>
  <si>
    <t>CCC1CCCC2=C1C=CC=C2</t>
  </si>
  <si>
    <t>CCC1CCC2=C(C=CC=C2)C1</t>
  </si>
  <si>
    <t>CCCC1CCC2=C(C=CC=C2)C1</t>
  </si>
  <si>
    <t>CCCC1CCCC2=C1C=CC=C2</t>
  </si>
  <si>
    <t>CCCCC1CCC2=C(C=CC=C2)C1</t>
  </si>
  <si>
    <t>CCCCC1CCCC2=C1C=CC=C2</t>
  </si>
  <si>
    <r>
      <t>Liquid-phase thermal conductivity :     k = Ak + Bk*T + Ck*T^2</t>
    </r>
    <r>
      <rPr>
        <sz val="12"/>
        <color rgb="FF000000"/>
        <rFont val="Times New Roman"/>
        <family val="1"/>
      </rPr>
      <t xml:space="preserve">    [W/m/K]     with T expressed in [K]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</si>
</sst>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
    <numFmt numFmtId="166" formatCode="0.0000E+00"/>
    <numFmt numFmtId="167" formatCode="0.0000"/>
  </numFmts>
  <fonts count="13" x14ac:knownFonts="1">
    <font>
      <sz val="12"/>
      <color theme="1"/>
      <name val="Aptos Narrow"/>
      <family val="2"/>
      <scheme val="minor"/>
    </font>
    <font>
      <sz val="10"/>
      <name val="Arial"/>
      <family val="2"/>
    </font>
    <font>
      <b/>
      <sz val="12"/>
      <name val="Times New Roman"/>
      <family val="1"/>
    </font>
    <font>
      <sz val="12"/>
      <color indexed="8"/>
      <name val="Times New Roman"/>
      <family val="1"/>
    </font>
    <font>
      <sz val="12"/>
      <color theme="1"/>
      <name val="Times New Roman"/>
      <family val="1"/>
    </font>
    <font>
      <sz val="12"/>
      <name val="Times New Roman"/>
      <family val="1"/>
    </font>
    <font>
      <sz val="12"/>
      <color rgb="FF000000"/>
      <name val="Times New Roman"/>
      <family val="1"/>
    </font>
    <font>
      <b/>
      <u/>
      <sz val="14"/>
      <color theme="1"/>
      <name val="Times New Roman"/>
      <family val="1"/>
    </font>
    <font>
      <i/>
      <sz val="12"/>
      <color theme="1"/>
      <name val="Times New Roman"/>
      <family val="1"/>
    </font>
    <font>
      <i/>
      <sz val="12"/>
      <color rgb="FF000000"/>
      <name val="Times New Roman"/>
      <family val="1"/>
    </font>
    <font>
      <b/>
      <sz val="12"/>
      <color rgb="FF000000"/>
      <name val="Times New Roman"/>
      <family val="1"/>
    </font>
    <font>
      <i/>
      <u/>
      <sz val="12"/>
      <color rgb="FF000000"/>
      <name val="Times New Roman"/>
      <family val="1"/>
    </font>
    <font>
      <u/>
      <sz val="12"/>
      <color theme="1"/>
      <name val="Times New Roman"/>
      <family val="1"/>
    </font>
  </fonts>
  <fills count="12">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bgColor indexed="64"/>
      </patternFill>
    </fill>
    <fill>
      <patternFill patternType="solid">
        <fgColor rgb="FFFF7E79"/>
        <bgColor indexed="64"/>
      </patternFill>
    </fill>
    <fill>
      <patternFill patternType="solid">
        <fgColor rgb="FFFFD679"/>
        <bgColor indexed="64"/>
      </patternFill>
    </fill>
    <fill>
      <patternFill patternType="solid">
        <fgColor rgb="FFD6FD78"/>
        <bgColor indexed="64"/>
      </patternFill>
    </fill>
    <fill>
      <patternFill patternType="solid">
        <fgColor rgb="FF75D7FF"/>
        <bgColor indexed="64"/>
      </patternFill>
    </fill>
    <fill>
      <patternFill patternType="solid">
        <fgColor rgb="FF7A81FF"/>
        <bgColor indexed="64"/>
      </patternFill>
    </fill>
    <fill>
      <patternFill patternType="solid">
        <fgColor rgb="FFFF8AD8"/>
        <bgColor indexed="64"/>
      </patternFill>
    </fill>
    <fill>
      <patternFill patternType="solid">
        <fgColor rgb="FFFF9300"/>
        <bgColor indexed="64"/>
      </patternFill>
    </fill>
  </fills>
  <borders count="11">
    <border>
      <left/>
      <right/>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0" fontId="1" fillId="0" borderId="0"/>
  </cellStyleXfs>
  <cellXfs count="73">
    <xf numFmtId="0" fontId="0" fillId="0" borderId="0" xfId="0"/>
    <xf numFmtId="0" fontId="2" fillId="2" borderId="1" xfId="1" applyFont="1" applyFill="1" applyBorder="1" applyAlignment="1">
      <alignment horizontal="center"/>
    </xf>
    <xf numFmtId="0" fontId="2" fillId="2" borderId="2" xfId="1" applyFont="1" applyFill="1" applyBorder="1" applyAlignment="1">
      <alignment horizontal="center"/>
    </xf>
    <xf numFmtId="164" fontId="2" fillId="2" borderId="2" xfId="1" applyNumberFormat="1" applyFont="1" applyFill="1" applyBorder="1" applyAlignment="1">
      <alignment horizontal="center"/>
    </xf>
    <xf numFmtId="165" fontId="2" fillId="3" borderId="2" xfId="0" applyNumberFormat="1" applyFont="1" applyFill="1" applyBorder="1" applyAlignment="1">
      <alignment horizontal="center"/>
    </xf>
    <xf numFmtId="0" fontId="4" fillId="4" borderId="5" xfId="0" applyFont="1" applyFill="1" applyBorder="1" applyAlignment="1">
      <alignment horizontal="center"/>
    </xf>
    <xf numFmtId="164" fontId="4" fillId="4" borderId="5" xfId="0" applyNumberFormat="1" applyFont="1" applyFill="1" applyBorder="1" applyAlignment="1">
      <alignment horizontal="right"/>
    </xf>
    <xf numFmtId="11" fontId="3" fillId="4" borderId="8" xfId="0" applyNumberFormat="1" applyFont="1" applyFill="1" applyBorder="1"/>
    <xf numFmtId="167" fontId="3" fillId="4" borderId="6" xfId="0" applyNumberFormat="1" applyFont="1" applyFill="1" applyBorder="1" applyAlignment="1">
      <alignment vertical="top"/>
    </xf>
    <xf numFmtId="166" fontId="3" fillId="4" borderId="6" xfId="0" applyNumberFormat="1" applyFont="1" applyFill="1" applyBorder="1" applyAlignment="1">
      <alignment vertical="top"/>
    </xf>
    <xf numFmtId="166" fontId="3" fillId="4" borderId="8" xfId="0" applyNumberFormat="1" applyFont="1" applyFill="1" applyBorder="1" applyAlignment="1">
      <alignment vertical="top"/>
    </xf>
    <xf numFmtId="166" fontId="4" fillId="4" borderId="6" xfId="0" applyNumberFormat="1" applyFont="1" applyFill="1" applyBorder="1"/>
    <xf numFmtId="166" fontId="4" fillId="4" borderId="8" xfId="0" applyNumberFormat="1" applyFont="1" applyFill="1" applyBorder="1"/>
    <xf numFmtId="0" fontId="3" fillId="5" borderId="5" xfId="0" applyFont="1" applyFill="1" applyBorder="1" applyAlignment="1">
      <alignment horizontal="center"/>
    </xf>
    <xf numFmtId="0" fontId="3" fillId="6" borderId="5" xfId="0" applyFont="1" applyFill="1" applyBorder="1" applyAlignment="1">
      <alignment horizontal="center"/>
    </xf>
    <xf numFmtId="0" fontId="3" fillId="7" borderId="6" xfId="0" applyFont="1" applyFill="1" applyBorder="1" applyAlignment="1">
      <alignment horizontal="center"/>
    </xf>
    <xf numFmtId="0" fontId="3" fillId="8" borderId="6" xfId="0" applyFont="1" applyFill="1" applyBorder="1" applyAlignment="1">
      <alignment horizontal="center"/>
    </xf>
    <xf numFmtId="0" fontId="3" fillId="9" borderId="6" xfId="0" applyFont="1" applyFill="1" applyBorder="1" applyAlignment="1">
      <alignment horizontal="center"/>
    </xf>
    <xf numFmtId="0" fontId="3" fillId="10" borderId="6" xfId="0" applyFont="1" applyFill="1" applyBorder="1" applyAlignment="1">
      <alignment horizontal="center"/>
    </xf>
    <xf numFmtId="0" fontId="3" fillId="11" borderId="6" xfId="0" applyFont="1" applyFill="1" applyBorder="1" applyAlignment="1">
      <alignment horizontal="center"/>
    </xf>
    <xf numFmtId="166" fontId="4" fillId="4" borderId="6" xfId="0" applyNumberFormat="1" applyFont="1" applyFill="1" applyBorder="1" applyAlignment="1">
      <alignment horizontal="right"/>
    </xf>
    <xf numFmtId="166" fontId="5" fillId="4" borderId="8" xfId="1" applyNumberFormat="1" applyFont="1" applyFill="1" applyBorder="1" applyAlignment="1">
      <alignment horizontal="right"/>
    </xf>
    <xf numFmtId="0" fontId="7" fillId="4" borderId="0" xfId="0" applyFont="1" applyFill="1"/>
    <xf numFmtId="0" fontId="0" fillId="4" borderId="0" xfId="0" applyFill="1"/>
    <xf numFmtId="165" fontId="0" fillId="4" borderId="0" xfId="0" applyNumberFormat="1" applyFill="1"/>
    <xf numFmtId="2" fontId="0" fillId="4" borderId="0" xfId="0" applyNumberFormat="1" applyFill="1"/>
    <xf numFmtId="11" fontId="0" fillId="4" borderId="0" xfId="0" applyNumberFormat="1" applyFill="1"/>
    <xf numFmtId="166" fontId="0" fillId="4" borderId="0" xfId="0" applyNumberFormat="1" applyFill="1"/>
    <xf numFmtId="0" fontId="4" fillId="4" borderId="0" xfId="0" applyFont="1" applyFill="1"/>
    <xf numFmtId="0" fontId="9" fillId="4" borderId="0" xfId="0" applyFont="1" applyFill="1"/>
    <xf numFmtId="0" fontId="10" fillId="4" borderId="0" xfId="0" applyFont="1" applyFill="1"/>
    <xf numFmtId="0" fontId="12" fillId="4" borderId="0" xfId="0" applyFont="1" applyFill="1"/>
    <xf numFmtId="165" fontId="3" fillId="4" borderId="5" xfId="0" applyNumberFormat="1" applyFont="1" applyFill="1" applyBorder="1"/>
    <xf numFmtId="165" fontId="0" fillId="0" borderId="0" xfId="0" applyNumberFormat="1"/>
    <xf numFmtId="2" fontId="2" fillId="3" borderId="2" xfId="0" applyNumberFormat="1" applyFont="1" applyFill="1" applyBorder="1" applyAlignment="1">
      <alignment horizontal="center"/>
    </xf>
    <xf numFmtId="2" fontId="3" fillId="4" borderId="5" xfId="0" applyNumberFormat="1" applyFont="1" applyFill="1" applyBorder="1"/>
    <xf numFmtId="2" fontId="0" fillId="0" borderId="0" xfId="0" applyNumberFormat="1"/>
    <xf numFmtId="11" fontId="2" fillId="3" borderId="2" xfId="0" applyNumberFormat="1" applyFont="1" applyFill="1" applyBorder="1" applyAlignment="1">
      <alignment horizontal="center"/>
    </xf>
    <xf numFmtId="11" fontId="3" fillId="4" borderId="5" xfId="0" applyNumberFormat="1" applyFont="1" applyFill="1" applyBorder="1" applyAlignment="1">
      <alignment horizontal="right"/>
    </xf>
    <xf numFmtId="11" fontId="0" fillId="0" borderId="0" xfId="0" applyNumberFormat="1"/>
    <xf numFmtId="164" fontId="0" fillId="4" borderId="0" xfId="0" applyNumberFormat="1" applyFill="1"/>
    <xf numFmtId="164" fontId="6" fillId="4" borderId="10" xfId="0" applyNumberFormat="1" applyFont="1" applyFill="1" applyBorder="1"/>
    <xf numFmtId="164" fontId="4" fillId="4" borderId="5" xfId="0" applyNumberFormat="1" applyFont="1" applyFill="1" applyBorder="1"/>
    <xf numFmtId="164" fontId="0" fillId="0" borderId="0" xfId="0" applyNumberFormat="1"/>
    <xf numFmtId="167" fontId="0" fillId="4" borderId="0" xfId="0" applyNumberFormat="1" applyFill="1"/>
    <xf numFmtId="167" fontId="2" fillId="3" borderId="3" xfId="0" applyNumberFormat="1" applyFont="1" applyFill="1" applyBorder="1" applyAlignment="1">
      <alignment horizontal="center"/>
    </xf>
    <xf numFmtId="167" fontId="3" fillId="4" borderId="7" xfId="0" applyNumberFormat="1" applyFont="1" applyFill="1" applyBorder="1"/>
    <xf numFmtId="167" fontId="0" fillId="0" borderId="0" xfId="0" applyNumberFormat="1"/>
    <xf numFmtId="2" fontId="2" fillId="3" borderId="4" xfId="0" applyNumberFormat="1" applyFont="1" applyFill="1" applyBorder="1" applyAlignment="1">
      <alignment horizontal="center"/>
    </xf>
    <xf numFmtId="2" fontId="3" fillId="4" borderId="6" xfId="0" applyNumberFormat="1" applyFont="1" applyFill="1" applyBorder="1"/>
    <xf numFmtId="167" fontId="2" fillId="3" borderId="4" xfId="0" applyNumberFormat="1" applyFont="1" applyFill="1" applyBorder="1" applyAlignment="1">
      <alignment horizontal="center"/>
    </xf>
    <xf numFmtId="167" fontId="3" fillId="4" borderId="6" xfId="0" applyNumberFormat="1" applyFont="1" applyFill="1" applyBorder="1"/>
    <xf numFmtId="11" fontId="2" fillId="3" borderId="1" xfId="0" applyNumberFormat="1" applyFont="1" applyFill="1" applyBorder="1" applyAlignment="1">
      <alignment horizontal="center"/>
    </xf>
    <xf numFmtId="167" fontId="2" fillId="3" borderId="1" xfId="0" applyNumberFormat="1" applyFont="1" applyFill="1" applyBorder="1" applyAlignment="1">
      <alignment horizontal="center"/>
    </xf>
    <xf numFmtId="167" fontId="5" fillId="4" borderId="7" xfId="2" applyNumberFormat="1" applyFont="1" applyFill="1" applyBorder="1"/>
    <xf numFmtId="167" fontId="5" fillId="4" borderId="6" xfId="2" applyNumberFormat="1" applyFont="1" applyFill="1" applyBorder="1"/>
    <xf numFmtId="167" fontId="5" fillId="4" borderId="8" xfId="2" applyNumberFormat="1" applyFont="1" applyFill="1" applyBorder="1"/>
    <xf numFmtId="167" fontId="5" fillId="4" borderId="9" xfId="1" applyNumberFormat="1" applyFont="1" applyFill="1" applyBorder="1"/>
    <xf numFmtId="2" fontId="5" fillId="4" borderId="6" xfId="1" applyNumberFormat="1" applyFont="1" applyFill="1" applyBorder="1"/>
    <xf numFmtId="167" fontId="5" fillId="4" borderId="6" xfId="1" applyNumberFormat="1" applyFont="1" applyFill="1" applyBorder="1"/>
    <xf numFmtId="166" fontId="2" fillId="3" borderId="4" xfId="0" applyNumberFormat="1" applyFont="1" applyFill="1" applyBorder="1" applyAlignment="1">
      <alignment horizontal="center"/>
    </xf>
    <xf numFmtId="166" fontId="2" fillId="3" borderId="1" xfId="0" applyNumberFormat="1" applyFont="1" applyFill="1" applyBorder="1" applyAlignment="1">
      <alignment horizontal="center"/>
    </xf>
    <xf numFmtId="166" fontId="5" fillId="4" borderId="6" xfId="1" applyNumberFormat="1" applyFont="1" applyFill="1" applyBorder="1" applyAlignment="1">
      <alignment horizontal="right"/>
    </xf>
    <xf numFmtId="166" fontId="0" fillId="0" borderId="0" xfId="0" applyNumberFormat="1"/>
    <xf numFmtId="165" fontId="2" fillId="3" borderId="3" xfId="0" applyNumberFormat="1" applyFont="1" applyFill="1" applyBorder="1" applyAlignment="1">
      <alignment horizontal="center"/>
    </xf>
    <xf numFmtId="165" fontId="3" fillId="4" borderId="7" xfId="0" applyNumberFormat="1" applyFont="1" applyFill="1" applyBorder="1" applyAlignment="1">
      <alignment vertical="top"/>
    </xf>
    <xf numFmtId="167" fontId="4" fillId="4" borderId="7" xfId="0" applyNumberFormat="1" applyFont="1" applyFill="1" applyBorder="1"/>
    <xf numFmtId="165" fontId="2" fillId="3" borderId="4" xfId="0" applyNumberFormat="1" applyFont="1" applyFill="1" applyBorder="1" applyAlignment="1">
      <alignment horizontal="center"/>
    </xf>
    <xf numFmtId="165" fontId="2" fillId="3" borderId="1" xfId="0" applyNumberFormat="1" applyFont="1" applyFill="1" applyBorder="1" applyAlignment="1">
      <alignment horizontal="center"/>
    </xf>
    <xf numFmtId="165" fontId="5" fillId="4" borderId="7" xfId="1" applyNumberFormat="1" applyFont="1" applyFill="1" applyBorder="1"/>
    <xf numFmtId="165" fontId="5" fillId="4" borderId="8" xfId="1" applyNumberFormat="1" applyFont="1" applyFill="1" applyBorder="1"/>
    <xf numFmtId="165" fontId="4" fillId="4" borderId="7" xfId="0" applyNumberFormat="1" applyFont="1" applyFill="1" applyBorder="1"/>
    <xf numFmtId="167" fontId="4" fillId="4" borderId="8" xfId="0" applyNumberFormat="1" applyFont="1" applyFill="1" applyBorder="1"/>
  </cellXfs>
  <cellStyles count="3">
    <cellStyle name="Normal_Sheet1 2" xfId="1" xr:uid="{3B042B7A-5FC6-F943-8694-9D60ACEAEEEB}"/>
    <cellStyle name="Normal_Sheet1_1" xfId="2" xr:uid="{B15FDC58-2F28-1947-AA9C-EAFC92EA770D}"/>
    <cellStyle name="Normale" xfId="0" builtinId="0"/>
  </cellStyles>
  <dxfs count="1">
    <dxf>
      <font>
        <color rgb="FF9C0006"/>
      </font>
      <fill>
        <patternFill>
          <bgColor rgb="FFFFC7CE"/>
        </patternFill>
      </fill>
    </dxf>
  </dxfs>
  <tableStyles count="0" defaultTableStyle="TableStyleMedium2" defaultPivotStyle="PivotStyleLight16"/>
  <colors>
    <mruColors>
      <color rgb="FFFF9300"/>
      <color rgb="FFFF8AD8"/>
      <color rgb="FF7A81FF"/>
      <color rgb="FF75D7FF"/>
      <color rgb="FFD6FD78"/>
      <color rgb="FFFFD679"/>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381910</xdr:colOff>
      <xdr:row>6</xdr:row>
      <xdr:rowOff>9978</xdr:rowOff>
    </xdr:from>
    <xdr:ext cx="760657" cy="173766"/>
    <mc:AlternateContent xmlns:mc="http://schemas.openxmlformats.org/markup-compatibility/2006" xmlns:a14="http://schemas.microsoft.com/office/drawing/2010/main">
      <mc:Choice Requires="a14">
        <xdr:sp macro="" textlink="">
          <xdr:nvSpPr>
            <xdr:cNvPr id="2" name="CasellaDiTesto 1">
              <a:extLst>
                <a:ext uri="{FF2B5EF4-FFF2-40B4-BE49-F238E27FC236}">
                  <a16:creationId xmlns:a16="http://schemas.microsoft.com/office/drawing/2014/main" id="{3B7D5E1D-F5AF-534D-B2C4-82306251A0D7}"/>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i="1">
                        <a:latin typeface="Cambria Math" panose="02040503050406030204" pitchFamily="18" charset="0"/>
                        <a:ea typeface="Cambria Math" panose="02040503050406030204" pitchFamily="18" charset="0"/>
                      </a:rPr>
                      <m:t>=</m:t>
                    </m:r>
                    <m:f>
                      <m:fPr>
                        <m:type m:val="lin"/>
                        <m:ctrlPr>
                          <a:rPr lang="it-IT" sz="1100" i="1">
                            <a:latin typeface="Cambria Math" panose="02040503050406030204" pitchFamily="18" charset="0"/>
                            <a:ea typeface="Cambria Math" panose="02040503050406030204" pitchFamily="18" charset="0"/>
                          </a:rPr>
                        </m:ctrlPr>
                      </m:fPr>
                      <m:num>
                        <m:sSub>
                          <m:sSubPr>
                            <m:ctrlPr>
                              <a:rPr lang="it-IT" sz="1100" i="1">
                                <a:latin typeface="Cambria Math" panose="02040503050406030204" pitchFamily="18" charset="0"/>
                                <a:ea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ea typeface="Cambria Math" panose="02040503050406030204" pitchFamily="18" charset="0"/>
                              </a:rPr>
                              <m:t>𝐵</m:t>
                            </m:r>
                          </m:sub>
                        </m:sSub>
                      </m:num>
                      <m:den>
                        <m:sSub>
                          <m:sSubPr>
                            <m:ctrlPr>
                              <a:rPr lang="it-IT" sz="1100" i="1">
                                <a:latin typeface="Cambria Math" panose="02040503050406030204" pitchFamily="18" charset="0"/>
                                <a:ea typeface="Cambria Math" panose="02040503050406030204" pitchFamily="18" charset="0"/>
                              </a:rPr>
                            </m:ctrlPr>
                          </m:sSubPr>
                          <m:e>
                            <m:r>
                              <a:rPr lang="it-IT" sz="1100" b="0" i="1">
                                <a:latin typeface="Cambria Math" panose="02040503050406030204" pitchFamily="18" charset="0"/>
                                <a:ea typeface="Cambria Math" panose="02040503050406030204" pitchFamily="18" charset="0"/>
                              </a:rPr>
                              <m:t>𝑁</m:t>
                            </m:r>
                          </m:e>
                          <m:sub>
                            <m:r>
                              <a:rPr lang="it-IT" sz="1100" b="0" i="1">
                                <a:latin typeface="Cambria Math" panose="02040503050406030204" pitchFamily="18" charset="0"/>
                                <a:ea typeface="Cambria Math" panose="02040503050406030204" pitchFamily="18" charset="0"/>
                              </a:rPr>
                              <m:t>𝑉</m:t>
                            </m:r>
                          </m:sub>
                        </m:sSub>
                      </m:den>
                    </m:f>
                  </m:oMath>
                </m:oMathPara>
              </a14:m>
              <a:endParaRPr lang="it-IT" sz="1100"/>
            </a:p>
          </xdr:txBody>
        </xdr:sp>
      </mc:Choice>
      <mc:Fallback xmlns="">
        <xdr:sp macro="" textlink="">
          <xdr:nvSpPr>
            <xdr:cNvPr id="2" name="CasellaDiTesto 1">
              <a:extLst>
                <a:ext uri="{FF2B5EF4-FFF2-40B4-BE49-F238E27FC236}">
                  <a16:creationId xmlns:a16="http://schemas.microsoft.com/office/drawing/2014/main" id="{3B7D5E1D-F5AF-534D-B2C4-82306251A0D7}"/>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ea typeface="Cambria Math" panose="02040503050406030204" pitchFamily="18" charset="0"/>
                </a:rPr>
                <a:t>𝐵∕𝑁_𝑉 </a:t>
              </a:r>
              <a:endParaRPr lang="it-IT" sz="1100"/>
            </a:p>
          </xdr:txBody>
        </xdr:sp>
      </mc:Fallback>
    </mc:AlternateContent>
    <xdr:clientData/>
  </xdr:oneCellAnchor>
  <xdr:oneCellAnchor>
    <xdr:from>
      <xdr:col>5</xdr:col>
      <xdr:colOff>152704</xdr:colOff>
      <xdr:row>6</xdr:row>
      <xdr:rowOff>3023</xdr:rowOff>
    </xdr:from>
    <xdr:ext cx="178767" cy="173766"/>
    <mc:AlternateContent xmlns:mc="http://schemas.openxmlformats.org/markup-compatibility/2006" xmlns:a14="http://schemas.microsoft.com/office/drawing/2010/main">
      <mc:Choice Requires="a14">
        <xdr:sp macro="" textlink="">
          <xdr:nvSpPr>
            <xdr:cNvPr id="3" name="CasellaDiTesto 2">
              <a:extLst>
                <a:ext uri="{FF2B5EF4-FFF2-40B4-BE49-F238E27FC236}">
                  <a16:creationId xmlns:a16="http://schemas.microsoft.com/office/drawing/2014/main" id="{814377C0-17C2-664D-9158-0E0A8F7E4BBC}"/>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Sub>
                  </m:oMath>
                </m:oMathPara>
              </a14:m>
              <a:endParaRPr lang="it-IT" sz="1100"/>
            </a:p>
          </xdr:txBody>
        </xdr:sp>
      </mc:Choice>
      <mc:Fallback xmlns="">
        <xdr:sp macro="" textlink="">
          <xdr:nvSpPr>
            <xdr:cNvPr id="3" name="CasellaDiTesto 2">
              <a:extLst>
                <a:ext uri="{FF2B5EF4-FFF2-40B4-BE49-F238E27FC236}">
                  <a16:creationId xmlns:a16="http://schemas.microsoft.com/office/drawing/2014/main" id="{814377C0-17C2-664D-9158-0E0A8F7E4BBC}"/>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endParaRPr lang="it-IT" sz="1100"/>
            </a:p>
          </xdr:txBody>
        </xdr:sp>
      </mc:Fallback>
    </mc:AlternateContent>
    <xdr:clientData/>
  </xdr:oneCellAnchor>
  <xdr:oneCellAnchor>
    <xdr:from>
      <xdr:col>7</xdr:col>
      <xdr:colOff>3023</xdr:colOff>
      <xdr:row>6</xdr:row>
      <xdr:rowOff>13607</xdr:rowOff>
    </xdr:from>
    <xdr:ext cx="193963" cy="173766"/>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A4258479-4647-9D46-99BA-CDCFFDB11185}"/>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b="0" i="1">
                            <a:latin typeface="Cambria Math" panose="02040503050406030204" pitchFamily="18" charset="0"/>
                          </a:rPr>
                          <m:t>𝑁</m:t>
                        </m:r>
                      </m:e>
                      <m:sub>
                        <m:r>
                          <a:rPr lang="it-IT" sz="1100" b="0" i="1">
                            <a:latin typeface="Cambria Math" panose="02040503050406030204" pitchFamily="18" charset="0"/>
                          </a:rPr>
                          <m:t>𝑉</m:t>
                        </m:r>
                      </m:sub>
                    </m:sSub>
                  </m:oMath>
                </m:oMathPara>
              </a14:m>
              <a:endParaRPr lang="it-IT" sz="1100"/>
            </a:p>
          </xdr:txBody>
        </xdr:sp>
      </mc:Choice>
      <mc:Fallback xmlns="">
        <xdr:sp macro="" textlink="">
          <xdr:nvSpPr>
            <xdr:cNvPr id="4" name="CasellaDiTesto 3">
              <a:extLst>
                <a:ext uri="{FF2B5EF4-FFF2-40B4-BE49-F238E27FC236}">
                  <a16:creationId xmlns:a16="http://schemas.microsoft.com/office/drawing/2014/main" id="{A4258479-4647-9D46-99BA-CDCFFDB11185}"/>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rPr>
                <a:t>𝑁_𝑉</a:t>
              </a:r>
              <a:endParaRPr lang="it-IT" sz="1100"/>
            </a:p>
          </xdr:txBody>
        </xdr:sp>
      </mc:Fallback>
    </mc:AlternateContent>
    <xdr:clientData/>
  </xdr:oneCellAnchor>
  <xdr:oneCellAnchor>
    <xdr:from>
      <xdr:col>2</xdr:col>
      <xdr:colOff>1009948</xdr:colOff>
      <xdr:row>7</xdr:row>
      <xdr:rowOff>0</xdr:rowOff>
    </xdr:from>
    <xdr:ext cx="1992981" cy="194412"/>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59397C09-B78C-C248-964C-FD90800BF5C8}"/>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type m:val="lin"/>
                        <m:ctrlPr>
                          <a:rPr lang="it-IT" sz="1100" i="1">
                            <a:latin typeface="Cambria Math" panose="02040503050406030204" pitchFamily="18" charset="0"/>
                          </a:rPr>
                        </m:ctrlPr>
                      </m:fPr>
                      <m:num>
                        <m:d>
                          <m:dPr>
                            <m:ctrlPr>
                              <a:rPr lang="it-IT" sz="1100" i="1">
                                <a:latin typeface="Cambria Math" panose="02040503050406030204" pitchFamily="18" charset="0"/>
                              </a:rPr>
                            </m:ctrlPr>
                          </m:dPr>
                          <m:e>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num>
                      <m:den>
                        <m:d>
                          <m:dPr>
                            <m:ctrlPr>
                              <a:rPr lang="it-IT" sz="1100" i="1">
                                <a:latin typeface="Cambria Math" panose="02040503050406030204" pitchFamily="18" charset="0"/>
                              </a:rPr>
                            </m:ctrlPr>
                          </m:dPr>
                          <m:e>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den>
                    </m:f>
                  </m:oMath>
                </m:oMathPara>
              </a14:m>
              <a:endParaRPr lang="it-IT" sz="1100"/>
            </a:p>
          </xdr:txBody>
        </xdr:sp>
      </mc:Choice>
      <mc:Fallback xmlns="">
        <xdr:sp macro="" textlink="">
          <xdr:nvSpPr>
            <xdr:cNvPr id="5" name="CasellaDiTesto 4">
              <a:extLst>
                <a:ext uri="{FF2B5EF4-FFF2-40B4-BE49-F238E27FC236}">
                  <a16:creationId xmlns:a16="http://schemas.microsoft.com/office/drawing/2014/main" id="{59397C09-B78C-C248-964C-FD90800BF5C8}"/>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rPr>
                <a:t>(</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 </a:t>
              </a:r>
              <a:endParaRPr lang="it-IT" sz="1100"/>
            </a:p>
          </xdr:txBody>
        </xdr:sp>
      </mc:Fallback>
    </mc:AlternateContent>
    <xdr:clientData/>
  </xdr:oneCellAnchor>
  <xdr:oneCellAnchor>
    <xdr:from>
      <xdr:col>2</xdr:col>
      <xdr:colOff>3391351</xdr:colOff>
      <xdr:row>7</xdr:row>
      <xdr:rowOff>4687</xdr:rowOff>
    </xdr:from>
    <xdr:ext cx="400879" cy="182294"/>
    <mc:AlternateContent xmlns:mc="http://schemas.openxmlformats.org/markup-compatibility/2006" xmlns:a14="http://schemas.microsoft.com/office/drawing/2010/main">
      <mc:Choice Requires="a14">
        <xdr:sp macro="" textlink="">
          <xdr:nvSpPr>
            <xdr:cNvPr id="6" name="CasellaDiTesto 5">
              <a:extLst>
                <a:ext uri="{FF2B5EF4-FFF2-40B4-BE49-F238E27FC236}">
                  <a16:creationId xmlns:a16="http://schemas.microsoft.com/office/drawing/2014/main" id="{D8D0D037-A16B-D147-A63B-2CFC7779CB3C}"/>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6" name="CasellaDiTesto 5">
              <a:extLst>
                <a:ext uri="{FF2B5EF4-FFF2-40B4-BE49-F238E27FC236}">
                  <a16:creationId xmlns:a16="http://schemas.microsoft.com/office/drawing/2014/main" id="{D8D0D037-A16B-D147-A63B-2CFC7779CB3C}"/>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a:t>
              </a:r>
              <a:endParaRPr lang="it-IT" sz="1100"/>
            </a:p>
          </xdr:txBody>
        </xdr:sp>
      </mc:Fallback>
    </mc:AlternateContent>
    <xdr:clientData/>
  </xdr:oneCellAnchor>
  <xdr:oneCellAnchor>
    <xdr:from>
      <xdr:col>4</xdr:col>
      <xdr:colOff>290129</xdr:colOff>
      <xdr:row>6</xdr:row>
      <xdr:rowOff>197907</xdr:rowOff>
    </xdr:from>
    <xdr:ext cx="424090" cy="179344"/>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2BB709F8-8D58-4743-B151-BF65FB90F57A}"/>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7" name="CasellaDiTesto 6">
              <a:extLst>
                <a:ext uri="{FF2B5EF4-FFF2-40B4-BE49-F238E27FC236}">
                  <a16:creationId xmlns:a16="http://schemas.microsoft.com/office/drawing/2014/main" id="{2BB709F8-8D58-4743-B151-BF65FB90F57A}"/>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endParaRPr lang="it-IT" sz="1100"/>
            </a:p>
          </xdr:txBody>
        </xdr:sp>
      </mc:Fallback>
    </mc:AlternateContent>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7314E-E6B9-AD4E-970A-2ED796462AC6}">
  <dimension ref="A1:AT52"/>
  <sheetViews>
    <sheetView tabSelected="1" topLeftCell="A18" zoomScale="140" zoomScaleNormal="140" workbookViewId="0">
      <selection activeCell="A25" sqref="A25"/>
    </sheetView>
  </sheetViews>
  <sheetFormatPr baseColWidth="10" defaultRowHeight="16" x14ac:dyDescent="0.2"/>
  <cols>
    <col min="1" max="1" width="45.1640625" customWidth="1"/>
    <col min="2" max="2" width="17.5" customWidth="1"/>
    <col min="3" max="3" width="45.83203125" customWidth="1"/>
    <col min="4" max="4" width="4.1640625" customWidth="1"/>
    <col min="5" max="6" width="18.33203125" style="43" customWidth="1"/>
    <col min="7" max="7" width="14.83203125" style="33" customWidth="1"/>
    <col min="8" max="9" width="14.83203125" style="36" customWidth="1"/>
    <col min="10" max="10" width="14.83203125" style="39" customWidth="1"/>
    <col min="11" max="11" width="14.83203125" style="36" customWidth="1"/>
    <col min="12" max="13" width="14.83203125" style="33" customWidth="1"/>
    <col min="14" max="14" width="14.83203125" style="47" customWidth="1"/>
    <col min="15" max="15" width="14.83203125" style="36" customWidth="1"/>
    <col min="16" max="16" width="14.83203125" style="47" customWidth="1"/>
    <col min="17" max="17" width="14.83203125" style="39" customWidth="1"/>
    <col min="18" max="21" width="14.83203125" style="47" customWidth="1"/>
    <col min="22" max="22" width="14.83203125" style="36" customWidth="1"/>
    <col min="23" max="23" width="14.83203125" style="47" customWidth="1"/>
    <col min="24" max="25" width="14.83203125" style="63" customWidth="1"/>
    <col min="26" max="26" width="14.83203125" style="33" customWidth="1"/>
    <col min="27" max="27" width="14.83203125" style="47" customWidth="1"/>
    <col min="28" max="29" width="14.83203125" style="63" customWidth="1"/>
    <col min="30" max="30" width="14.83203125" style="47" customWidth="1"/>
    <col min="31" max="32" width="14.83203125" style="63" customWidth="1"/>
    <col min="33" max="35" width="14.83203125" style="33" customWidth="1"/>
    <col min="36" max="36" width="14.83203125" style="47" customWidth="1"/>
  </cols>
  <sheetData>
    <row r="1" spans="1:46" ht="18" x14ac:dyDescent="0.2">
      <c r="A1" s="22" t="s">
        <v>87</v>
      </c>
      <c r="B1" s="23"/>
      <c r="C1" s="23"/>
      <c r="D1" s="23"/>
      <c r="E1" s="40"/>
      <c r="F1" s="40"/>
      <c r="G1" s="24"/>
      <c r="H1" s="25"/>
      <c r="I1" s="25"/>
      <c r="J1" s="26"/>
      <c r="K1" s="25"/>
      <c r="L1" s="24"/>
      <c r="M1" s="24"/>
      <c r="N1" s="44"/>
      <c r="O1" s="25"/>
      <c r="P1" s="44"/>
      <c r="Q1" s="26"/>
      <c r="R1" s="44"/>
      <c r="S1" s="44"/>
      <c r="T1" s="44"/>
      <c r="U1" s="44"/>
      <c r="V1" s="25"/>
      <c r="W1" s="44"/>
      <c r="X1" s="27"/>
      <c r="Y1" s="27"/>
      <c r="Z1" s="24"/>
      <c r="AA1" s="44"/>
      <c r="AB1" s="27"/>
      <c r="AC1" s="27"/>
      <c r="AD1" s="44"/>
      <c r="AE1" s="27"/>
      <c r="AF1" s="27"/>
      <c r="AG1" s="24"/>
      <c r="AH1" s="24"/>
      <c r="AI1" s="24"/>
      <c r="AJ1" s="44"/>
      <c r="AK1" s="23"/>
      <c r="AL1" s="23"/>
      <c r="AM1" s="23"/>
      <c r="AN1" s="23"/>
      <c r="AO1" s="23"/>
      <c r="AP1" s="23"/>
      <c r="AQ1" s="23"/>
      <c r="AR1" s="23"/>
      <c r="AS1" s="23"/>
      <c r="AT1" s="23"/>
    </row>
    <row r="2" spans="1:46" x14ac:dyDescent="0.2">
      <c r="A2" s="28"/>
      <c r="B2" s="23"/>
      <c r="C2" s="23"/>
      <c r="D2" s="23"/>
      <c r="E2" s="40"/>
      <c r="F2" s="40"/>
      <c r="G2" s="24"/>
      <c r="H2" s="25"/>
      <c r="I2" s="25"/>
      <c r="J2" s="26"/>
      <c r="K2" s="25"/>
      <c r="L2" s="24"/>
      <c r="M2" s="24"/>
      <c r="N2" s="44"/>
      <c r="O2" s="25"/>
      <c r="P2" s="44"/>
      <c r="Q2" s="26"/>
      <c r="R2" s="44"/>
      <c r="S2" s="44"/>
      <c r="T2" s="44"/>
      <c r="U2" s="44"/>
      <c r="V2" s="25"/>
      <c r="W2" s="44"/>
      <c r="X2" s="27"/>
      <c r="Y2" s="27"/>
      <c r="Z2" s="24"/>
      <c r="AA2" s="44"/>
      <c r="AB2" s="27"/>
      <c r="AC2" s="27"/>
      <c r="AD2" s="44"/>
      <c r="AE2" s="27"/>
      <c r="AF2" s="27"/>
      <c r="AG2" s="24"/>
      <c r="AH2" s="24"/>
      <c r="AI2" s="24"/>
      <c r="AJ2" s="44"/>
      <c r="AK2" s="23"/>
      <c r="AL2" s="23"/>
      <c r="AM2" s="23"/>
      <c r="AN2" s="23"/>
      <c r="AO2" s="23"/>
      <c r="AP2" s="23"/>
      <c r="AQ2" s="23"/>
      <c r="AR2" s="23"/>
      <c r="AS2" s="23"/>
      <c r="AT2" s="23"/>
    </row>
    <row r="3" spans="1:46" x14ac:dyDescent="0.2">
      <c r="A3" s="28" t="s">
        <v>57</v>
      </c>
      <c r="B3" s="23"/>
      <c r="C3" s="23"/>
      <c r="D3" s="23"/>
      <c r="E3" s="40"/>
      <c r="F3" s="40"/>
      <c r="G3" s="24"/>
      <c r="H3" s="25"/>
      <c r="I3" s="25"/>
      <c r="J3" s="26"/>
      <c r="K3" s="25"/>
      <c r="L3" s="24"/>
      <c r="M3" s="24"/>
      <c r="N3" s="44"/>
      <c r="O3" s="25"/>
      <c r="P3" s="44"/>
      <c r="Q3" s="26"/>
      <c r="R3" s="44"/>
      <c r="S3" s="44"/>
      <c r="T3" s="44"/>
      <c r="U3" s="44"/>
      <c r="V3" s="25"/>
      <c r="W3" s="44"/>
      <c r="X3" s="27"/>
      <c r="Y3" s="27"/>
      <c r="Z3" s="24"/>
      <c r="AA3" s="44"/>
      <c r="AB3" s="27"/>
      <c r="AC3" s="27"/>
      <c r="AD3" s="44"/>
      <c r="AE3" s="27"/>
      <c r="AF3" s="27"/>
      <c r="AG3" s="24"/>
      <c r="AH3" s="24"/>
      <c r="AI3" s="24"/>
      <c r="AJ3" s="44"/>
      <c r="AK3" s="23"/>
      <c r="AL3" s="23"/>
      <c r="AM3" s="23"/>
      <c r="AN3" s="23"/>
      <c r="AO3" s="23"/>
      <c r="AP3" s="23"/>
      <c r="AQ3" s="23"/>
      <c r="AR3" s="23"/>
      <c r="AS3" s="23"/>
      <c r="AT3" s="23"/>
    </row>
    <row r="4" spans="1:46" x14ac:dyDescent="0.2">
      <c r="A4" s="28" t="s">
        <v>58</v>
      </c>
      <c r="B4" s="23"/>
      <c r="C4" s="23"/>
      <c r="D4" s="23"/>
      <c r="E4" s="40"/>
      <c r="F4" s="40"/>
      <c r="G4" s="24"/>
      <c r="H4" s="25"/>
      <c r="I4" s="25"/>
      <c r="J4" s="26"/>
      <c r="K4" s="25"/>
      <c r="L4" s="24"/>
      <c r="M4" s="24"/>
      <c r="N4" s="44"/>
      <c r="O4" s="25"/>
      <c r="P4" s="44"/>
      <c r="Q4" s="26"/>
      <c r="R4" s="44"/>
      <c r="S4" s="44"/>
      <c r="T4" s="44"/>
      <c r="U4" s="44"/>
      <c r="V4" s="25"/>
      <c r="W4" s="44"/>
      <c r="X4" s="27"/>
      <c r="Y4" s="27"/>
      <c r="Z4" s="24"/>
      <c r="AA4" s="44"/>
      <c r="AB4" s="27"/>
      <c r="AC4" s="27"/>
      <c r="AD4" s="44"/>
      <c r="AE4" s="27"/>
      <c r="AF4" s="27"/>
      <c r="AG4" s="24"/>
      <c r="AH4" s="24"/>
      <c r="AI4" s="24"/>
      <c r="AJ4" s="44"/>
      <c r="AK4" s="23"/>
      <c r="AL4" s="23"/>
      <c r="AM4" s="23"/>
      <c r="AN4" s="23"/>
      <c r="AO4" s="23"/>
      <c r="AP4" s="23"/>
      <c r="AQ4" s="23"/>
      <c r="AR4" s="23"/>
      <c r="AS4" s="23"/>
      <c r="AT4" s="23"/>
    </row>
    <row r="5" spans="1:46" x14ac:dyDescent="0.2">
      <c r="A5" s="28" t="s">
        <v>59</v>
      </c>
      <c r="B5" s="23"/>
      <c r="C5" s="23"/>
      <c r="D5" s="23"/>
      <c r="E5" s="40"/>
      <c r="F5" s="40"/>
      <c r="G5" s="24"/>
      <c r="H5" s="25"/>
      <c r="I5" s="25"/>
      <c r="J5" s="26"/>
      <c r="K5" s="25"/>
      <c r="L5" s="24"/>
      <c r="M5" s="24"/>
      <c r="N5" s="44"/>
      <c r="O5" s="25"/>
      <c r="P5" s="44"/>
      <c r="Q5" s="26"/>
      <c r="R5" s="44"/>
      <c r="S5" s="44"/>
      <c r="T5" s="44"/>
      <c r="U5" s="44"/>
      <c r="V5" s="25"/>
      <c r="W5" s="44"/>
      <c r="X5" s="27"/>
      <c r="Y5" s="27"/>
      <c r="Z5" s="24"/>
      <c r="AA5" s="44"/>
      <c r="AB5" s="27"/>
      <c r="AC5" s="27"/>
      <c r="AD5" s="44"/>
      <c r="AE5" s="27"/>
      <c r="AF5" s="27"/>
      <c r="AG5" s="24"/>
      <c r="AH5" s="24"/>
      <c r="AI5" s="24"/>
      <c r="AJ5" s="44"/>
      <c r="AK5" s="23"/>
      <c r="AL5" s="23"/>
      <c r="AM5" s="23"/>
      <c r="AN5" s="23"/>
      <c r="AO5" s="23"/>
      <c r="AP5" s="23"/>
      <c r="AQ5" s="23"/>
      <c r="AR5" s="23"/>
      <c r="AS5" s="23"/>
      <c r="AT5" s="23"/>
    </row>
    <row r="6" spans="1:46" x14ac:dyDescent="0.2">
      <c r="A6" s="28" t="s">
        <v>60</v>
      </c>
      <c r="B6" s="23"/>
      <c r="C6" s="23"/>
      <c r="D6" s="23"/>
      <c r="E6" s="40"/>
      <c r="F6" s="40"/>
      <c r="G6" s="24"/>
      <c r="H6" s="25"/>
      <c r="I6" s="25"/>
      <c r="J6" s="26"/>
      <c r="K6" s="25"/>
      <c r="L6" s="24"/>
      <c r="M6" s="24"/>
      <c r="N6" s="44"/>
      <c r="O6" s="25"/>
      <c r="P6" s="44"/>
      <c r="Q6" s="26"/>
      <c r="R6" s="44"/>
      <c r="S6" s="44"/>
      <c r="T6" s="44"/>
      <c r="U6" s="44"/>
      <c r="V6" s="25"/>
      <c r="W6" s="44"/>
      <c r="X6" s="27"/>
      <c r="Y6" s="27"/>
      <c r="Z6" s="24"/>
      <c r="AA6" s="44"/>
      <c r="AB6" s="27"/>
      <c r="AC6" s="27"/>
      <c r="AD6" s="44"/>
      <c r="AE6" s="27"/>
      <c r="AF6" s="27"/>
      <c r="AG6" s="24"/>
      <c r="AH6" s="24"/>
      <c r="AI6" s="24"/>
      <c r="AJ6" s="44"/>
      <c r="AK6" s="23"/>
      <c r="AL6" s="23"/>
      <c r="AM6" s="23"/>
      <c r="AN6" s="23"/>
      <c r="AO6" s="23"/>
      <c r="AP6" s="23"/>
      <c r="AQ6" s="23"/>
      <c r="AR6" s="23"/>
      <c r="AS6" s="23"/>
      <c r="AT6" s="23"/>
    </row>
    <row r="7" spans="1:46" x14ac:dyDescent="0.2">
      <c r="A7" s="28" t="s">
        <v>61</v>
      </c>
      <c r="B7" s="23"/>
      <c r="C7" s="23"/>
      <c r="D7" s="23"/>
      <c r="E7" s="40"/>
      <c r="F7" s="40"/>
      <c r="G7" s="24"/>
      <c r="H7" s="25"/>
      <c r="I7" s="25"/>
      <c r="J7" s="26"/>
      <c r="K7" s="25"/>
      <c r="L7" s="24"/>
      <c r="M7" s="24"/>
      <c r="N7" s="44"/>
      <c r="O7" s="25"/>
      <c r="P7" s="44"/>
      <c r="Q7" s="26"/>
      <c r="R7" s="44"/>
      <c r="S7" s="44"/>
      <c r="T7" s="44"/>
      <c r="U7" s="44"/>
      <c r="V7" s="25"/>
      <c r="W7" s="44"/>
      <c r="X7" s="27"/>
      <c r="Y7" s="27"/>
      <c r="Z7" s="24"/>
      <c r="AA7" s="44"/>
      <c r="AB7" s="27"/>
      <c r="AC7" s="27"/>
      <c r="AD7" s="44"/>
      <c r="AE7" s="27"/>
      <c r="AF7" s="27"/>
      <c r="AG7" s="24"/>
      <c r="AH7" s="24"/>
      <c r="AI7" s="24"/>
      <c r="AJ7" s="44"/>
      <c r="AK7" s="23"/>
      <c r="AL7" s="23"/>
      <c r="AM7" s="23"/>
      <c r="AN7" s="23"/>
      <c r="AO7" s="23"/>
      <c r="AP7" s="23"/>
      <c r="AQ7" s="23"/>
      <c r="AR7" s="23"/>
      <c r="AS7" s="23"/>
      <c r="AT7" s="23"/>
    </row>
    <row r="8" spans="1:46" x14ac:dyDescent="0.2">
      <c r="A8" s="28" t="s">
        <v>62</v>
      </c>
      <c r="B8" s="23"/>
      <c r="C8" s="23"/>
      <c r="D8" s="23"/>
      <c r="E8" s="40"/>
      <c r="F8" s="40"/>
      <c r="G8" s="24"/>
      <c r="H8" s="25"/>
      <c r="I8" s="25"/>
      <c r="J8" s="26"/>
      <c r="K8" s="25"/>
      <c r="L8" s="24"/>
      <c r="M8" s="24"/>
      <c r="N8" s="44"/>
      <c r="O8" s="25"/>
      <c r="P8" s="44"/>
      <c r="Q8" s="26"/>
      <c r="R8" s="44"/>
      <c r="S8" s="44"/>
      <c r="T8" s="44"/>
      <c r="U8" s="44"/>
      <c r="V8" s="25"/>
      <c r="W8" s="44"/>
      <c r="X8" s="27"/>
      <c r="Y8" s="27"/>
      <c r="Z8" s="24"/>
      <c r="AA8" s="44"/>
      <c r="AB8" s="27"/>
      <c r="AC8" s="27"/>
      <c r="AD8" s="44"/>
      <c r="AE8" s="27"/>
      <c r="AF8" s="27"/>
      <c r="AG8" s="24"/>
      <c r="AH8" s="24"/>
      <c r="AI8" s="24"/>
      <c r="AJ8" s="44"/>
      <c r="AK8" s="23"/>
      <c r="AL8" s="23"/>
      <c r="AM8" s="23"/>
      <c r="AN8" s="23"/>
      <c r="AO8" s="23"/>
      <c r="AP8" s="23"/>
      <c r="AQ8" s="23"/>
      <c r="AR8" s="23"/>
      <c r="AS8" s="23"/>
      <c r="AT8" s="23"/>
    </row>
    <row r="9" spans="1:46" x14ac:dyDescent="0.2">
      <c r="A9" s="28" t="s">
        <v>63</v>
      </c>
      <c r="B9" s="23"/>
      <c r="C9" s="23"/>
      <c r="D9" s="23"/>
      <c r="E9" s="40"/>
      <c r="F9" s="40"/>
      <c r="G9" s="24"/>
      <c r="H9" s="25"/>
      <c r="I9" s="25"/>
      <c r="J9" s="26"/>
      <c r="K9" s="25"/>
      <c r="L9" s="24"/>
      <c r="M9" s="24"/>
      <c r="N9" s="44"/>
      <c r="O9" s="25"/>
      <c r="P9" s="44"/>
      <c r="Q9" s="26"/>
      <c r="R9" s="44"/>
      <c r="S9" s="44"/>
      <c r="T9" s="44"/>
      <c r="U9" s="44"/>
      <c r="V9" s="25"/>
      <c r="W9" s="44"/>
      <c r="X9" s="27"/>
      <c r="Y9" s="27"/>
      <c r="Z9" s="24"/>
      <c r="AA9" s="44"/>
      <c r="AB9" s="27"/>
      <c r="AC9" s="27"/>
      <c r="AD9" s="44"/>
      <c r="AE9" s="27"/>
      <c r="AF9" s="27"/>
      <c r="AG9" s="24"/>
      <c r="AH9" s="24"/>
      <c r="AI9" s="24"/>
      <c r="AJ9" s="44"/>
      <c r="AK9" s="23"/>
      <c r="AL9" s="23"/>
      <c r="AM9" s="23"/>
      <c r="AN9" s="23"/>
      <c r="AO9" s="23"/>
      <c r="AP9" s="23"/>
      <c r="AQ9" s="23"/>
      <c r="AR9" s="23"/>
      <c r="AS9" s="23"/>
      <c r="AT9" s="23"/>
    </row>
    <row r="10" spans="1:46" x14ac:dyDescent="0.2">
      <c r="A10" s="28" t="s">
        <v>64</v>
      </c>
      <c r="B10" s="23"/>
      <c r="C10" s="23"/>
      <c r="D10" s="23"/>
      <c r="E10" s="40"/>
      <c r="F10" s="40"/>
      <c r="G10" s="24"/>
      <c r="H10" s="25"/>
      <c r="I10" s="25"/>
      <c r="J10" s="26"/>
      <c r="K10" s="25"/>
      <c r="L10" s="24"/>
      <c r="M10" s="24"/>
      <c r="N10" s="44"/>
      <c r="O10" s="25"/>
      <c r="P10" s="44"/>
      <c r="Q10" s="26"/>
      <c r="R10" s="44"/>
      <c r="S10" s="44"/>
      <c r="T10" s="44"/>
      <c r="U10" s="44"/>
      <c r="V10" s="25"/>
      <c r="W10" s="44"/>
      <c r="X10" s="27"/>
      <c r="Y10" s="27"/>
      <c r="Z10" s="24"/>
      <c r="AA10" s="44"/>
      <c r="AB10" s="27"/>
      <c r="AC10" s="27"/>
      <c r="AD10" s="44"/>
      <c r="AE10" s="27"/>
      <c r="AF10" s="27"/>
      <c r="AG10" s="24"/>
      <c r="AH10" s="24"/>
      <c r="AI10" s="24"/>
      <c r="AJ10" s="44"/>
      <c r="AK10" s="23"/>
      <c r="AL10" s="23"/>
      <c r="AM10" s="23"/>
      <c r="AN10" s="23"/>
      <c r="AO10" s="23"/>
      <c r="AP10" s="23"/>
      <c r="AQ10" s="23"/>
      <c r="AR10" s="23"/>
      <c r="AS10" s="23"/>
      <c r="AT10" s="23"/>
    </row>
    <row r="11" spans="1:46" x14ac:dyDescent="0.2">
      <c r="A11" s="28" t="s">
        <v>65</v>
      </c>
      <c r="B11" s="23"/>
      <c r="C11" s="23"/>
      <c r="D11" s="23"/>
      <c r="E11" s="40"/>
      <c r="F11" s="40"/>
      <c r="G11" s="24"/>
      <c r="H11" s="25"/>
      <c r="I11" s="25"/>
      <c r="J11" s="26"/>
      <c r="K11" s="25"/>
      <c r="L11" s="24"/>
      <c r="M11" s="24"/>
      <c r="N11" s="44"/>
      <c r="O11" s="25"/>
      <c r="P11" s="44"/>
      <c r="Q11" s="26"/>
      <c r="R11" s="44"/>
      <c r="S11" s="44"/>
      <c r="T11" s="44"/>
      <c r="U11" s="44"/>
      <c r="V11" s="25"/>
      <c r="W11" s="44"/>
      <c r="X11" s="27"/>
      <c r="Y11" s="27"/>
      <c r="Z11" s="24"/>
      <c r="AA11" s="44"/>
      <c r="AB11" s="27"/>
      <c r="AC11" s="27"/>
      <c r="AD11" s="44"/>
      <c r="AE11" s="27"/>
      <c r="AF11" s="27"/>
      <c r="AG11" s="24"/>
      <c r="AH11" s="24"/>
      <c r="AI11" s="24"/>
      <c r="AJ11" s="44"/>
      <c r="AK11" s="23"/>
      <c r="AL11" s="23"/>
      <c r="AM11" s="23"/>
      <c r="AN11" s="23"/>
      <c r="AO11" s="23"/>
      <c r="AP11" s="23"/>
      <c r="AQ11" s="23"/>
      <c r="AR11" s="23"/>
      <c r="AS11" s="23"/>
      <c r="AT11" s="23"/>
    </row>
    <row r="12" spans="1:46" x14ac:dyDescent="0.2">
      <c r="A12" s="28" t="s">
        <v>66</v>
      </c>
      <c r="B12" s="23"/>
      <c r="C12" s="23"/>
      <c r="D12" s="23"/>
      <c r="E12" s="40"/>
      <c r="F12" s="40"/>
      <c r="G12" s="24"/>
      <c r="H12" s="25"/>
      <c r="I12" s="25"/>
      <c r="J12" s="26"/>
      <c r="K12" s="25"/>
      <c r="L12" s="24"/>
      <c r="M12" s="24"/>
      <c r="N12" s="44"/>
      <c r="O12" s="25"/>
      <c r="P12" s="44"/>
      <c r="Q12" s="26"/>
      <c r="R12" s="44"/>
      <c r="S12" s="44"/>
      <c r="T12" s="44"/>
      <c r="U12" s="44"/>
      <c r="V12" s="25"/>
      <c r="W12" s="44"/>
      <c r="X12" s="27"/>
      <c r="Y12" s="27"/>
      <c r="Z12" s="24"/>
      <c r="AA12" s="44"/>
      <c r="AB12" s="27"/>
      <c r="AC12" s="27"/>
      <c r="AD12" s="44"/>
      <c r="AE12" s="27"/>
      <c r="AF12" s="27"/>
      <c r="AG12" s="24"/>
      <c r="AH12" s="24"/>
      <c r="AI12" s="24"/>
      <c r="AJ12" s="44"/>
      <c r="AK12" s="23"/>
      <c r="AL12" s="23"/>
      <c r="AM12" s="23"/>
      <c r="AN12" s="23"/>
      <c r="AO12" s="23"/>
      <c r="AP12" s="23"/>
      <c r="AQ12" s="23"/>
      <c r="AR12" s="23"/>
      <c r="AS12" s="23"/>
      <c r="AT12" s="23"/>
    </row>
    <row r="13" spans="1:46" x14ac:dyDescent="0.2">
      <c r="A13" s="29" t="s">
        <v>67</v>
      </c>
      <c r="B13" s="23"/>
      <c r="C13" s="23"/>
      <c r="D13" s="23"/>
      <c r="E13" s="40"/>
      <c r="F13" s="40"/>
      <c r="G13" s="24"/>
      <c r="H13" s="25"/>
      <c r="I13" s="25"/>
      <c r="J13" s="26"/>
      <c r="K13" s="25"/>
      <c r="L13" s="24"/>
      <c r="M13" s="24"/>
      <c r="N13" s="44"/>
      <c r="O13" s="25"/>
      <c r="P13" s="44"/>
      <c r="Q13" s="26"/>
      <c r="R13" s="44"/>
      <c r="S13" s="44"/>
      <c r="T13" s="44"/>
      <c r="U13" s="44"/>
      <c r="V13" s="25"/>
      <c r="W13" s="44"/>
      <c r="X13" s="27"/>
      <c r="Y13" s="27"/>
      <c r="Z13" s="24"/>
      <c r="AA13" s="44"/>
      <c r="AB13" s="27"/>
      <c r="AC13" s="27"/>
      <c r="AD13" s="44"/>
      <c r="AE13" s="27"/>
      <c r="AF13" s="27"/>
      <c r="AG13" s="24"/>
      <c r="AH13" s="24"/>
      <c r="AI13" s="24"/>
      <c r="AJ13" s="44"/>
      <c r="AK13" s="23"/>
      <c r="AL13" s="23"/>
      <c r="AM13" s="23"/>
      <c r="AN13" s="23"/>
      <c r="AO13" s="23"/>
      <c r="AP13" s="23"/>
      <c r="AQ13" s="23"/>
      <c r="AR13" s="23"/>
      <c r="AS13" s="23"/>
      <c r="AT13" s="23"/>
    </row>
    <row r="14" spans="1:46" x14ac:dyDescent="0.2">
      <c r="A14" s="29" t="s">
        <v>68</v>
      </c>
      <c r="B14" s="23"/>
      <c r="C14" s="23"/>
      <c r="D14" s="23"/>
      <c r="E14" s="40"/>
      <c r="F14" s="40"/>
      <c r="G14" s="24"/>
      <c r="H14" s="25"/>
      <c r="I14" s="25"/>
      <c r="J14" s="26"/>
      <c r="K14" s="25"/>
      <c r="L14" s="24"/>
      <c r="M14" s="24"/>
      <c r="N14" s="44"/>
      <c r="O14" s="25"/>
      <c r="P14" s="44"/>
      <c r="Q14" s="26"/>
      <c r="R14" s="44"/>
      <c r="S14" s="44"/>
      <c r="T14" s="44"/>
      <c r="U14" s="44"/>
      <c r="V14" s="25"/>
      <c r="W14" s="44"/>
      <c r="X14" s="27"/>
      <c r="Y14" s="27"/>
      <c r="Z14" s="24"/>
      <c r="AA14" s="44"/>
      <c r="AB14" s="27"/>
      <c r="AC14" s="27"/>
      <c r="AD14" s="44"/>
      <c r="AE14" s="27"/>
      <c r="AF14" s="27"/>
      <c r="AG14" s="24"/>
      <c r="AH14" s="24"/>
      <c r="AI14" s="24"/>
      <c r="AJ14" s="44"/>
      <c r="AK14" s="23"/>
      <c r="AL14" s="23"/>
      <c r="AM14" s="23"/>
      <c r="AN14" s="23"/>
      <c r="AO14" s="23"/>
      <c r="AP14" s="23"/>
      <c r="AQ14" s="23"/>
      <c r="AR14" s="23"/>
      <c r="AS14" s="23"/>
      <c r="AT14" s="23"/>
    </row>
    <row r="15" spans="1:46" x14ac:dyDescent="0.2">
      <c r="A15" s="29" t="s">
        <v>69</v>
      </c>
      <c r="B15" s="23"/>
      <c r="C15" s="23"/>
      <c r="D15" s="23"/>
      <c r="E15" s="40"/>
      <c r="F15" s="40"/>
      <c r="G15" s="24"/>
      <c r="H15" s="25"/>
      <c r="I15" s="25"/>
      <c r="J15" s="26"/>
      <c r="K15" s="25"/>
      <c r="L15" s="24"/>
      <c r="M15" s="24"/>
      <c r="N15" s="44"/>
      <c r="O15" s="25"/>
      <c r="P15" s="44"/>
      <c r="Q15" s="26"/>
      <c r="R15" s="44"/>
      <c r="S15" s="44"/>
      <c r="T15" s="44"/>
      <c r="U15" s="44"/>
      <c r="V15" s="25"/>
      <c r="W15" s="44"/>
      <c r="X15" s="27"/>
      <c r="Y15" s="27"/>
      <c r="Z15" s="24"/>
      <c r="AA15" s="44"/>
      <c r="AB15" s="27"/>
      <c r="AC15" s="27"/>
      <c r="AD15" s="44"/>
      <c r="AE15" s="27"/>
      <c r="AF15" s="27"/>
      <c r="AG15" s="24"/>
      <c r="AH15" s="24"/>
      <c r="AI15" s="24"/>
      <c r="AJ15" s="44"/>
      <c r="AK15" s="23"/>
      <c r="AL15" s="23"/>
      <c r="AM15" s="23"/>
      <c r="AN15" s="23"/>
      <c r="AO15" s="23"/>
      <c r="AP15" s="23"/>
      <c r="AQ15" s="23"/>
      <c r="AR15" s="23"/>
      <c r="AS15" s="23"/>
      <c r="AT15" s="23"/>
    </row>
    <row r="16" spans="1:46" x14ac:dyDescent="0.2">
      <c r="A16" s="28"/>
      <c r="B16" s="23"/>
      <c r="C16" s="23"/>
      <c r="D16" s="23"/>
      <c r="E16" s="40"/>
      <c r="F16" s="40"/>
      <c r="G16" s="24"/>
      <c r="H16" s="25"/>
      <c r="I16" s="25"/>
      <c r="J16" s="26"/>
      <c r="K16" s="25"/>
      <c r="L16" s="24"/>
      <c r="M16" s="24"/>
      <c r="N16" s="44"/>
      <c r="O16" s="25"/>
      <c r="P16" s="44"/>
      <c r="Q16" s="26"/>
      <c r="R16" s="44"/>
      <c r="S16" s="44"/>
      <c r="T16" s="44"/>
      <c r="U16" s="44"/>
      <c r="V16" s="25"/>
      <c r="W16" s="44"/>
      <c r="X16" s="27"/>
      <c r="Y16" s="27"/>
      <c r="Z16" s="24"/>
      <c r="AA16" s="44"/>
      <c r="AB16" s="27"/>
      <c r="AC16" s="27"/>
      <c r="AD16" s="44"/>
      <c r="AE16" s="27"/>
      <c r="AF16" s="27"/>
      <c r="AG16" s="24"/>
      <c r="AH16" s="24"/>
      <c r="AI16" s="24"/>
      <c r="AJ16" s="44"/>
      <c r="AK16" s="23"/>
      <c r="AL16" s="23"/>
      <c r="AM16" s="23"/>
      <c r="AN16" s="23"/>
      <c r="AO16" s="23"/>
      <c r="AP16" s="23"/>
      <c r="AQ16" s="23"/>
      <c r="AR16" s="23"/>
      <c r="AS16" s="23"/>
      <c r="AT16" s="23"/>
    </row>
    <row r="17" spans="1:46" x14ac:dyDescent="0.2">
      <c r="A17" s="30" t="s">
        <v>70</v>
      </c>
      <c r="B17" s="23"/>
      <c r="C17" s="23"/>
      <c r="D17" s="23"/>
      <c r="E17" s="40"/>
      <c r="F17" s="40"/>
      <c r="G17" s="24"/>
      <c r="H17" s="25"/>
      <c r="I17" s="25"/>
      <c r="J17" s="26"/>
      <c r="K17" s="25"/>
      <c r="L17" s="24"/>
      <c r="M17" s="24"/>
      <c r="N17" s="44"/>
      <c r="O17" s="25"/>
      <c r="P17" s="44"/>
      <c r="Q17" s="26"/>
      <c r="R17" s="44"/>
      <c r="S17" s="44"/>
      <c r="T17" s="44"/>
      <c r="U17" s="44"/>
      <c r="V17" s="25"/>
      <c r="W17" s="44"/>
      <c r="X17" s="27"/>
      <c r="Y17" s="27"/>
      <c r="Z17" s="24"/>
      <c r="AA17" s="44"/>
      <c r="AB17" s="27"/>
      <c r="AC17" s="27"/>
      <c r="AD17" s="44"/>
      <c r="AE17" s="27"/>
      <c r="AF17" s="27"/>
      <c r="AG17" s="24"/>
      <c r="AH17" s="24"/>
      <c r="AI17" s="24"/>
      <c r="AJ17" s="44"/>
      <c r="AK17" s="23"/>
      <c r="AL17" s="23"/>
      <c r="AM17" s="23"/>
      <c r="AN17" s="23"/>
      <c r="AO17" s="23"/>
      <c r="AP17" s="23"/>
      <c r="AQ17" s="23"/>
      <c r="AR17" s="23"/>
      <c r="AS17" s="23"/>
      <c r="AT17" s="23"/>
    </row>
    <row r="18" spans="1:46" x14ac:dyDescent="0.2">
      <c r="A18" s="28"/>
      <c r="B18" s="23"/>
      <c r="C18" s="23"/>
      <c r="D18" s="23"/>
      <c r="E18" s="40"/>
      <c r="F18" s="40"/>
      <c r="G18" s="24"/>
      <c r="H18" s="25"/>
      <c r="I18" s="25"/>
      <c r="J18" s="26"/>
      <c r="K18" s="25"/>
      <c r="L18" s="24"/>
      <c r="M18" s="24"/>
      <c r="N18" s="44"/>
      <c r="O18" s="25"/>
      <c r="P18" s="44"/>
      <c r="Q18" s="26"/>
      <c r="R18" s="44"/>
      <c r="S18" s="44"/>
      <c r="T18" s="44"/>
      <c r="U18" s="44"/>
      <c r="V18" s="25"/>
      <c r="W18" s="44"/>
      <c r="X18" s="27"/>
      <c r="Y18" s="27"/>
      <c r="Z18" s="24"/>
      <c r="AA18" s="44"/>
      <c r="AB18" s="27"/>
      <c r="AC18" s="27"/>
      <c r="AD18" s="44"/>
      <c r="AE18" s="27"/>
      <c r="AF18" s="27"/>
      <c r="AG18" s="24"/>
      <c r="AH18" s="24"/>
      <c r="AI18" s="24"/>
      <c r="AJ18" s="44"/>
      <c r="AK18" s="23"/>
      <c r="AL18" s="23"/>
      <c r="AM18" s="23"/>
      <c r="AN18" s="23"/>
      <c r="AO18" s="23"/>
      <c r="AP18" s="23"/>
      <c r="AQ18" s="23"/>
      <c r="AR18" s="23"/>
      <c r="AS18" s="23"/>
      <c r="AT18" s="23"/>
    </row>
    <row r="19" spans="1:46" x14ac:dyDescent="0.2">
      <c r="A19" s="29" t="s">
        <v>71</v>
      </c>
      <c r="B19" s="23"/>
      <c r="C19" s="23"/>
      <c r="D19" s="23"/>
      <c r="E19" s="40"/>
      <c r="F19" s="40"/>
      <c r="G19" s="24"/>
      <c r="H19" s="25"/>
      <c r="I19" s="25"/>
      <c r="J19" s="26"/>
      <c r="K19" s="25"/>
      <c r="L19" s="24"/>
      <c r="M19" s="24"/>
      <c r="N19" s="44"/>
      <c r="O19" s="25"/>
      <c r="P19" s="44"/>
      <c r="Q19" s="26"/>
      <c r="R19" s="44"/>
      <c r="S19" s="44"/>
      <c r="T19" s="44"/>
      <c r="U19" s="44"/>
      <c r="V19" s="25"/>
      <c r="W19" s="44"/>
      <c r="X19" s="27"/>
      <c r="Y19" s="27"/>
      <c r="Z19" s="24"/>
      <c r="AA19" s="44"/>
      <c r="AB19" s="27"/>
      <c r="AC19" s="27"/>
      <c r="AD19" s="44"/>
      <c r="AE19" s="27"/>
      <c r="AF19" s="27"/>
      <c r="AG19" s="24"/>
      <c r="AH19" s="24"/>
      <c r="AI19" s="24"/>
      <c r="AJ19" s="44"/>
      <c r="AK19" s="23"/>
      <c r="AL19" s="23"/>
      <c r="AM19" s="23"/>
      <c r="AN19" s="23"/>
      <c r="AO19" s="23"/>
      <c r="AP19" s="23"/>
      <c r="AQ19" s="23"/>
      <c r="AR19" s="23"/>
      <c r="AS19" s="23"/>
      <c r="AT19" s="23"/>
    </row>
    <row r="20" spans="1:46" x14ac:dyDescent="0.2">
      <c r="A20" s="29" t="s">
        <v>72</v>
      </c>
      <c r="B20" s="23"/>
      <c r="C20" s="23"/>
      <c r="D20" s="23"/>
      <c r="E20" s="40"/>
      <c r="F20" s="40"/>
      <c r="G20" s="24"/>
      <c r="H20" s="25"/>
      <c r="I20" s="25"/>
      <c r="J20" s="26"/>
      <c r="K20" s="25"/>
      <c r="L20" s="24"/>
      <c r="M20" s="24"/>
      <c r="N20" s="44"/>
      <c r="O20" s="25"/>
      <c r="P20" s="44"/>
      <c r="Q20" s="26"/>
      <c r="R20" s="44"/>
      <c r="S20" s="44"/>
      <c r="T20" s="44"/>
      <c r="U20" s="44"/>
      <c r="V20" s="25"/>
      <c r="W20" s="44"/>
      <c r="X20" s="27"/>
      <c r="Y20" s="27"/>
      <c r="Z20" s="24"/>
      <c r="AA20" s="44"/>
      <c r="AB20" s="27"/>
      <c r="AC20" s="27"/>
      <c r="AD20" s="44"/>
      <c r="AE20" s="27"/>
      <c r="AF20" s="27"/>
      <c r="AG20" s="24"/>
      <c r="AH20" s="24"/>
      <c r="AI20" s="24"/>
      <c r="AJ20" s="44"/>
      <c r="AK20" s="23"/>
      <c r="AL20" s="23"/>
      <c r="AM20" s="23"/>
      <c r="AN20" s="23"/>
      <c r="AO20" s="23"/>
      <c r="AP20" s="23"/>
      <c r="AQ20" s="23"/>
      <c r="AR20" s="23"/>
      <c r="AS20" s="23"/>
      <c r="AT20" s="23"/>
    </row>
    <row r="21" spans="1:46" x14ac:dyDescent="0.2">
      <c r="A21" s="29" t="s">
        <v>73</v>
      </c>
      <c r="B21" s="23"/>
      <c r="C21" s="23"/>
      <c r="D21" s="23"/>
      <c r="E21" s="40"/>
      <c r="F21" s="40"/>
      <c r="G21" s="24"/>
      <c r="H21" s="25"/>
      <c r="I21" s="25"/>
      <c r="J21" s="26"/>
      <c r="K21" s="25"/>
      <c r="L21" s="24"/>
      <c r="M21" s="24"/>
      <c r="N21" s="44"/>
      <c r="O21" s="25"/>
      <c r="P21" s="44"/>
      <c r="Q21" s="26"/>
      <c r="R21" s="44"/>
      <c r="S21" s="44"/>
      <c r="T21" s="44"/>
      <c r="U21" s="44"/>
      <c r="V21" s="25"/>
      <c r="W21" s="44"/>
      <c r="X21" s="27"/>
      <c r="Y21" s="27"/>
      <c r="Z21" s="24"/>
      <c r="AA21" s="44"/>
      <c r="AB21" s="27"/>
      <c r="AC21" s="27"/>
      <c r="AD21" s="44"/>
      <c r="AE21" s="27"/>
      <c r="AF21" s="27"/>
      <c r="AG21" s="24"/>
      <c r="AH21" s="24"/>
      <c r="AI21" s="24"/>
      <c r="AJ21" s="44"/>
      <c r="AK21" s="23"/>
      <c r="AL21" s="23"/>
      <c r="AM21" s="23"/>
      <c r="AN21" s="23"/>
      <c r="AO21" s="23"/>
      <c r="AP21" s="23"/>
      <c r="AQ21" s="23"/>
      <c r="AR21" s="23"/>
      <c r="AS21" s="23"/>
      <c r="AT21" s="23"/>
    </row>
    <row r="22" spans="1:46" x14ac:dyDescent="0.2">
      <c r="A22" s="29" t="s">
        <v>74</v>
      </c>
      <c r="B22" s="23"/>
      <c r="C22" s="23"/>
      <c r="D22" s="23"/>
      <c r="E22" s="40"/>
      <c r="F22" s="40"/>
      <c r="G22" s="24"/>
      <c r="H22" s="25"/>
      <c r="I22" s="25"/>
      <c r="J22" s="26"/>
      <c r="K22" s="25"/>
      <c r="L22" s="24"/>
      <c r="M22" s="24"/>
      <c r="N22" s="44"/>
      <c r="O22" s="25"/>
      <c r="P22" s="44"/>
      <c r="Q22" s="26"/>
      <c r="R22" s="44"/>
      <c r="S22" s="44"/>
      <c r="T22" s="44"/>
      <c r="U22" s="44"/>
      <c r="V22" s="25"/>
      <c r="W22" s="44"/>
      <c r="X22" s="27"/>
      <c r="Y22" s="27"/>
      <c r="Z22" s="24"/>
      <c r="AA22" s="44"/>
      <c r="AB22" s="27"/>
      <c r="AC22" s="27"/>
      <c r="AD22" s="44"/>
      <c r="AE22" s="27"/>
      <c r="AF22" s="27"/>
      <c r="AG22" s="24"/>
      <c r="AH22" s="24"/>
      <c r="AI22" s="24"/>
      <c r="AJ22" s="44"/>
      <c r="AK22" s="23"/>
      <c r="AL22" s="23"/>
      <c r="AM22" s="23"/>
      <c r="AN22" s="23"/>
      <c r="AO22" s="23"/>
      <c r="AP22" s="23"/>
      <c r="AQ22" s="23"/>
      <c r="AR22" s="23"/>
      <c r="AS22" s="23"/>
      <c r="AT22" s="23"/>
    </row>
    <row r="23" spans="1:46" x14ac:dyDescent="0.2">
      <c r="A23" s="29" t="s">
        <v>98</v>
      </c>
      <c r="B23" s="23"/>
      <c r="C23" s="23"/>
      <c r="D23" s="23"/>
      <c r="E23" s="40"/>
      <c r="F23" s="40"/>
      <c r="G23" s="24"/>
      <c r="H23" s="25"/>
      <c r="I23" s="25"/>
      <c r="J23" s="26"/>
      <c r="K23" s="25"/>
      <c r="L23" s="24"/>
      <c r="M23" s="24"/>
      <c r="N23" s="44"/>
      <c r="O23" s="25"/>
      <c r="P23" s="44"/>
      <c r="Q23" s="26"/>
      <c r="R23" s="44"/>
      <c r="S23" s="44"/>
      <c r="T23" s="44"/>
      <c r="U23" s="44"/>
      <c r="V23" s="25"/>
      <c r="W23" s="44"/>
      <c r="X23" s="27"/>
      <c r="Y23" s="27"/>
      <c r="Z23" s="24"/>
      <c r="AA23" s="44"/>
      <c r="AB23" s="27"/>
      <c r="AC23" s="27"/>
      <c r="AD23" s="44"/>
      <c r="AE23" s="27"/>
      <c r="AF23" s="27"/>
      <c r="AG23" s="24"/>
      <c r="AH23" s="24"/>
      <c r="AI23" s="24"/>
      <c r="AJ23" s="44"/>
      <c r="AK23" s="23"/>
      <c r="AL23" s="23"/>
      <c r="AM23" s="23"/>
      <c r="AN23" s="23"/>
      <c r="AO23" s="23"/>
      <c r="AP23" s="23"/>
      <c r="AQ23" s="23"/>
      <c r="AR23" s="23"/>
      <c r="AS23" s="23"/>
      <c r="AT23" s="23"/>
    </row>
    <row r="24" spans="1:46" x14ac:dyDescent="0.2">
      <c r="A24" s="29" t="s">
        <v>75</v>
      </c>
      <c r="B24" s="23"/>
      <c r="C24" s="23"/>
      <c r="D24" s="23"/>
      <c r="E24" s="40"/>
      <c r="F24" s="40"/>
      <c r="G24" s="24"/>
      <c r="H24" s="25"/>
      <c r="I24" s="25"/>
      <c r="J24" s="26"/>
      <c r="K24" s="25"/>
      <c r="L24" s="24"/>
      <c r="M24" s="24"/>
      <c r="N24" s="44"/>
      <c r="O24" s="25"/>
      <c r="P24" s="44"/>
      <c r="Q24" s="26"/>
      <c r="R24" s="44"/>
      <c r="S24" s="44"/>
      <c r="T24" s="44"/>
      <c r="U24" s="44"/>
      <c r="V24" s="25"/>
      <c r="W24" s="44"/>
      <c r="X24" s="27"/>
      <c r="Y24" s="27"/>
      <c r="Z24" s="24"/>
      <c r="AA24" s="44"/>
      <c r="AB24" s="27"/>
      <c r="AC24" s="27"/>
      <c r="AD24" s="44"/>
      <c r="AE24" s="27"/>
      <c r="AF24" s="27"/>
      <c r="AG24" s="24"/>
      <c r="AH24" s="24"/>
      <c r="AI24" s="24"/>
      <c r="AJ24" s="44"/>
      <c r="AK24" s="23"/>
      <c r="AL24" s="23"/>
      <c r="AM24" s="23"/>
      <c r="AN24" s="23"/>
      <c r="AO24" s="23"/>
      <c r="AP24" s="23"/>
      <c r="AQ24" s="23"/>
      <c r="AR24" s="23"/>
      <c r="AS24" s="23"/>
      <c r="AT24" s="23"/>
    </row>
    <row r="25" spans="1:46" x14ac:dyDescent="0.2">
      <c r="A25" s="29" t="s">
        <v>76</v>
      </c>
      <c r="B25" s="23"/>
      <c r="C25" s="23"/>
      <c r="D25" s="23"/>
      <c r="E25" s="40"/>
      <c r="F25" s="40"/>
      <c r="G25" s="24"/>
      <c r="H25" s="25"/>
      <c r="I25" s="25"/>
      <c r="J25" s="26"/>
      <c r="K25" s="25"/>
      <c r="L25" s="24"/>
      <c r="M25" s="24"/>
      <c r="N25" s="44"/>
      <c r="O25" s="25"/>
      <c r="P25" s="44"/>
      <c r="Q25" s="26"/>
      <c r="R25" s="44"/>
      <c r="S25" s="44"/>
      <c r="T25" s="44"/>
      <c r="U25" s="44"/>
      <c r="V25" s="25"/>
      <c r="W25" s="44"/>
      <c r="X25" s="27"/>
      <c r="Y25" s="27"/>
      <c r="Z25" s="24"/>
      <c r="AA25" s="44"/>
      <c r="AB25" s="27"/>
      <c r="AC25" s="27"/>
      <c r="AD25" s="44"/>
      <c r="AE25" s="27"/>
      <c r="AF25" s="27"/>
      <c r="AG25" s="24"/>
      <c r="AH25" s="24"/>
      <c r="AI25" s="24"/>
      <c r="AJ25" s="44"/>
      <c r="AK25" s="23"/>
      <c r="AL25" s="23"/>
      <c r="AM25" s="23"/>
      <c r="AN25" s="23"/>
      <c r="AO25" s="23"/>
      <c r="AP25" s="23"/>
      <c r="AQ25" s="23"/>
      <c r="AR25" s="23"/>
      <c r="AS25" s="23"/>
      <c r="AT25" s="23"/>
    </row>
    <row r="26" spans="1:46" x14ac:dyDescent="0.2">
      <c r="A26" s="23"/>
      <c r="B26" s="23"/>
      <c r="C26" s="23"/>
      <c r="D26" s="23"/>
      <c r="E26" s="40"/>
      <c r="F26" s="40"/>
      <c r="G26" s="24"/>
      <c r="H26" s="25"/>
      <c r="I26" s="25"/>
      <c r="J26" s="26"/>
      <c r="K26" s="25"/>
      <c r="L26" s="24"/>
      <c r="M26" s="24"/>
      <c r="N26" s="44"/>
      <c r="O26" s="25"/>
      <c r="P26" s="44"/>
      <c r="Q26" s="26"/>
      <c r="R26" s="44"/>
      <c r="S26" s="44"/>
      <c r="T26" s="44"/>
      <c r="U26" s="44"/>
      <c r="V26" s="25"/>
      <c r="W26" s="44"/>
      <c r="X26" s="27"/>
      <c r="Y26" s="27"/>
      <c r="Z26" s="24"/>
      <c r="AA26" s="44"/>
      <c r="AB26" s="27"/>
      <c r="AC26" s="27"/>
      <c r="AD26" s="44"/>
      <c r="AE26" s="27"/>
      <c r="AF26" s="27"/>
      <c r="AG26" s="24"/>
      <c r="AH26" s="24"/>
      <c r="AI26" s="24"/>
      <c r="AJ26" s="44"/>
      <c r="AK26" s="23"/>
      <c r="AL26" s="23"/>
      <c r="AM26" s="23"/>
      <c r="AN26" s="23"/>
      <c r="AO26" s="23"/>
      <c r="AP26" s="23"/>
      <c r="AQ26" s="23"/>
      <c r="AR26" s="23"/>
      <c r="AS26" s="23"/>
      <c r="AT26" s="23"/>
    </row>
    <row r="27" spans="1:46" x14ac:dyDescent="0.2">
      <c r="A27" s="29" t="s">
        <v>77</v>
      </c>
      <c r="B27" s="23"/>
      <c r="C27" s="23"/>
      <c r="D27" s="23"/>
      <c r="E27" s="40"/>
      <c r="F27" s="40"/>
      <c r="G27" s="24"/>
      <c r="H27" s="25"/>
      <c r="I27" s="25"/>
      <c r="J27" s="26"/>
      <c r="K27" s="25"/>
      <c r="L27" s="24"/>
      <c r="M27" s="24"/>
      <c r="N27" s="44"/>
      <c r="O27" s="25"/>
      <c r="P27" s="44"/>
      <c r="Q27" s="26"/>
      <c r="R27" s="44"/>
      <c r="S27" s="44"/>
      <c r="T27" s="44"/>
      <c r="U27" s="44"/>
      <c r="V27" s="25"/>
      <c r="W27" s="44"/>
      <c r="X27" s="27"/>
      <c r="Y27" s="27"/>
      <c r="Z27" s="24"/>
      <c r="AA27" s="44"/>
      <c r="AB27" s="27"/>
      <c r="AC27" s="27"/>
      <c r="AD27" s="44"/>
      <c r="AE27" s="27"/>
      <c r="AF27" s="27"/>
      <c r="AG27" s="24"/>
      <c r="AH27" s="24"/>
      <c r="AI27" s="24"/>
      <c r="AJ27" s="44"/>
      <c r="AK27" s="23"/>
      <c r="AL27" s="23"/>
      <c r="AM27" s="23"/>
      <c r="AN27" s="23"/>
      <c r="AO27" s="23"/>
      <c r="AP27" s="23"/>
      <c r="AQ27" s="23"/>
      <c r="AR27" s="23"/>
      <c r="AS27" s="23"/>
      <c r="AT27" s="23"/>
    </row>
    <row r="28" spans="1:46" ht="17" thickBot="1" x14ac:dyDescent="0.25">
      <c r="A28" s="23"/>
      <c r="B28" s="23"/>
      <c r="C28" s="23"/>
      <c r="D28" s="23"/>
      <c r="E28" s="40"/>
      <c r="F28" s="40"/>
      <c r="G28" s="24"/>
      <c r="H28" s="25"/>
      <c r="I28" s="25"/>
      <c r="J28" s="26"/>
      <c r="K28" s="25"/>
      <c r="L28" s="24"/>
      <c r="M28" s="24"/>
      <c r="N28" s="44"/>
      <c r="O28" s="25"/>
      <c r="P28" s="44"/>
      <c r="Q28" s="26"/>
      <c r="R28" s="44"/>
      <c r="S28" s="44"/>
      <c r="T28" s="44"/>
      <c r="U28" s="44"/>
      <c r="V28" s="25"/>
      <c r="W28" s="44"/>
      <c r="X28" s="27"/>
      <c r="Y28" s="27"/>
      <c r="Z28" s="24"/>
      <c r="AA28" s="44"/>
      <c r="AB28" s="27"/>
      <c r="AC28" s="27"/>
      <c r="AD28" s="44"/>
      <c r="AE28" s="27"/>
      <c r="AF28" s="27"/>
      <c r="AG28" s="24"/>
      <c r="AH28" s="24"/>
      <c r="AI28" s="24"/>
      <c r="AJ28" s="44"/>
      <c r="AK28" s="23"/>
      <c r="AL28" s="23"/>
      <c r="AM28" s="23"/>
      <c r="AN28" s="23"/>
      <c r="AO28" s="23"/>
      <c r="AP28" s="23"/>
      <c r="AQ28" s="23"/>
      <c r="AR28" s="23"/>
      <c r="AS28" s="23"/>
      <c r="AT28" s="23"/>
    </row>
    <row r="29" spans="1:46" x14ac:dyDescent="0.2">
      <c r="A29" s="1" t="s">
        <v>0</v>
      </c>
      <c r="B29" s="2" t="s">
        <v>1</v>
      </c>
      <c r="C29" s="2" t="s">
        <v>50</v>
      </c>
      <c r="D29" s="2" t="s">
        <v>2</v>
      </c>
      <c r="E29" s="3" t="s">
        <v>3</v>
      </c>
      <c r="F29" s="3" t="s">
        <v>4</v>
      </c>
      <c r="G29" s="4" t="s">
        <v>5</v>
      </c>
      <c r="H29" s="34" t="s">
        <v>6</v>
      </c>
      <c r="I29" s="34" t="s">
        <v>7</v>
      </c>
      <c r="J29" s="37" t="s">
        <v>8</v>
      </c>
      <c r="K29" s="34" t="s">
        <v>9</v>
      </c>
      <c r="L29" s="4" t="s">
        <v>10</v>
      </c>
      <c r="M29" s="4" t="s">
        <v>11</v>
      </c>
      <c r="N29" s="45" t="s">
        <v>12</v>
      </c>
      <c r="O29" s="48" t="s">
        <v>13</v>
      </c>
      <c r="P29" s="50" t="s">
        <v>14</v>
      </c>
      <c r="Q29" s="52" t="s">
        <v>15</v>
      </c>
      <c r="R29" s="45" t="s">
        <v>16</v>
      </c>
      <c r="S29" s="50" t="s">
        <v>17</v>
      </c>
      <c r="T29" s="53" t="s">
        <v>18</v>
      </c>
      <c r="U29" s="45" t="s">
        <v>19</v>
      </c>
      <c r="V29" s="48" t="s">
        <v>20</v>
      </c>
      <c r="W29" s="50" t="s">
        <v>21</v>
      </c>
      <c r="X29" s="60" t="s">
        <v>22</v>
      </c>
      <c r="Y29" s="61" t="s">
        <v>23</v>
      </c>
      <c r="Z29" s="64" t="s">
        <v>24</v>
      </c>
      <c r="AA29" s="50" t="s">
        <v>25</v>
      </c>
      <c r="AB29" s="60" t="s">
        <v>26</v>
      </c>
      <c r="AC29" s="61" t="s">
        <v>27</v>
      </c>
      <c r="AD29" s="45" t="s">
        <v>28</v>
      </c>
      <c r="AE29" s="60" t="s">
        <v>29</v>
      </c>
      <c r="AF29" s="61" t="s">
        <v>30</v>
      </c>
      <c r="AG29" s="67" t="s">
        <v>53</v>
      </c>
      <c r="AH29" s="68" t="s">
        <v>54</v>
      </c>
      <c r="AI29" s="67" t="s">
        <v>55</v>
      </c>
      <c r="AJ29" s="53" t="s">
        <v>56</v>
      </c>
      <c r="AK29" s="23"/>
      <c r="AL29" s="23"/>
      <c r="AM29" s="23"/>
      <c r="AN29" s="23"/>
      <c r="AO29" s="23"/>
      <c r="AP29" s="23"/>
      <c r="AQ29" s="23"/>
      <c r="AR29" s="23"/>
      <c r="AS29" s="23"/>
      <c r="AT29" s="23"/>
    </row>
    <row r="30" spans="1:46" x14ac:dyDescent="0.2">
      <c r="A30" s="13" t="s">
        <v>31</v>
      </c>
      <c r="B30" s="5" t="s">
        <v>32</v>
      </c>
      <c r="C30" s="5" t="s">
        <v>88</v>
      </c>
      <c r="D30" s="5">
        <v>9</v>
      </c>
      <c r="E30" s="41">
        <v>1.639560825</v>
      </c>
      <c r="F30" s="6">
        <v>1</v>
      </c>
      <c r="G30" s="32">
        <v>118.178</v>
      </c>
      <c r="H30" s="35">
        <v>684.9</v>
      </c>
      <c r="I30" s="35">
        <v>39.5</v>
      </c>
      <c r="J30" s="38">
        <v>3.8099999999999999E-4</v>
      </c>
      <c r="K30" s="35">
        <f>1/LEFT(J30,8)*G30/1000</f>
        <v>310.17847769028867</v>
      </c>
      <c r="L30" s="32">
        <f>LEFT(I30,5)*100000/(K30*8.314/(G30/1000)*H30)</f>
        <v>0.26429252791575009</v>
      </c>
      <c r="M30" s="32">
        <v>0.309</v>
      </c>
      <c r="N30" s="46">
        <v>-7.3304</v>
      </c>
      <c r="O30" s="49">
        <v>1330.6</v>
      </c>
      <c r="P30" s="51">
        <v>1.26E-2</v>
      </c>
      <c r="Q30" s="7">
        <v>-8.6008000000000007E-6</v>
      </c>
      <c r="R30" s="54">
        <v>0.31019999999999998</v>
      </c>
      <c r="S30" s="55">
        <v>0.26119999999999999</v>
      </c>
      <c r="T30" s="56">
        <v>0.30220000000000002</v>
      </c>
      <c r="U30" s="57">
        <v>37.357999999999997</v>
      </c>
      <c r="V30" s="58">
        <v>-3733.7</v>
      </c>
      <c r="W30" s="59">
        <v>-10.039999999999999</v>
      </c>
      <c r="X30" s="20">
        <v>6.3179E-11</v>
      </c>
      <c r="Y30" s="21">
        <v>2.2062000000000002E-6</v>
      </c>
      <c r="Z30" s="65">
        <v>87.076999999999998</v>
      </c>
      <c r="AA30" s="8">
        <v>0.68757000000000001</v>
      </c>
      <c r="AB30" s="9">
        <v>-1.7066E-3</v>
      </c>
      <c r="AC30" s="10">
        <v>1.8819999999999999E-6</v>
      </c>
      <c r="AD30" s="66">
        <v>0.1721</v>
      </c>
      <c r="AE30" s="11">
        <v>-7.4925999999999994E-5</v>
      </c>
      <c r="AF30" s="12">
        <v>-1.7688000000000001E-7</v>
      </c>
      <c r="AG30" s="69">
        <v>62.106999999999999</v>
      </c>
      <c r="AH30" s="70">
        <v>0.42</v>
      </c>
      <c r="AI30" s="71">
        <v>69.245000000000005</v>
      </c>
      <c r="AJ30" s="72">
        <v>1.2434000000000001</v>
      </c>
      <c r="AK30" s="23"/>
      <c r="AL30" s="23"/>
      <c r="AM30" s="23"/>
      <c r="AN30" s="23"/>
      <c r="AO30" s="23"/>
      <c r="AP30" s="23"/>
      <c r="AQ30" s="23"/>
      <c r="AR30" s="23"/>
      <c r="AS30" s="23"/>
      <c r="AT30" s="23"/>
    </row>
    <row r="31" spans="1:46" x14ac:dyDescent="0.2">
      <c r="A31" s="14" t="s">
        <v>33</v>
      </c>
      <c r="B31" s="5" t="s">
        <v>34</v>
      </c>
      <c r="C31" s="5" t="s">
        <v>89</v>
      </c>
      <c r="D31" s="5">
        <v>10</v>
      </c>
      <c r="E31" s="41">
        <v>1.67458354875</v>
      </c>
      <c r="F31" s="6">
        <v>1</v>
      </c>
      <c r="G31" s="32">
        <v>132.20500000000001</v>
      </c>
      <c r="H31" s="35">
        <v>720.15</v>
      </c>
      <c r="I31" s="35">
        <v>36.200000000000003</v>
      </c>
      <c r="J31" s="38">
        <v>4.4099999999999999E-4</v>
      </c>
      <c r="K31" s="35">
        <f t="shared" ref="K31:K41" si="0">1/LEFT(J31,8)*G31/1000</f>
        <v>299.78458049886626</v>
      </c>
      <c r="L31" s="32">
        <f t="shared" ref="L31:L41" si="1">LEFT(I31,5)*100000/(K31*8.314/(G31/1000)*H31)</f>
        <v>0.26663316924842806</v>
      </c>
      <c r="M31" s="32">
        <v>0.32800000000000001</v>
      </c>
      <c r="N31" s="46">
        <v>-6.3710000000000004</v>
      </c>
      <c r="O31" s="49">
        <v>1274</v>
      </c>
      <c r="P31" s="51">
        <v>1.0500000000000001E-2</v>
      </c>
      <c r="Q31" s="7">
        <v>-8.1163000000000005E-6</v>
      </c>
      <c r="R31" s="54">
        <v>0.2984</v>
      </c>
      <c r="S31" s="55">
        <v>0.25750000000000001</v>
      </c>
      <c r="T31" s="56">
        <v>0.26769999999999999</v>
      </c>
      <c r="U31" s="57">
        <v>39.917000000000002</v>
      </c>
      <c r="V31" s="58">
        <v>-4132</v>
      </c>
      <c r="W31" s="59">
        <v>-10.78</v>
      </c>
      <c r="X31" s="20">
        <v>1.9691E-10</v>
      </c>
      <c r="Y31" s="21">
        <v>2.0405000000000002E-6</v>
      </c>
      <c r="Z31" s="65">
        <v>154.31800000000001</v>
      </c>
      <c r="AA31" s="8">
        <v>0.35231000000000001</v>
      </c>
      <c r="AB31" s="9">
        <v>-7.7636999999999997E-4</v>
      </c>
      <c r="AC31" s="10">
        <v>1.0222999999999999E-6</v>
      </c>
      <c r="AD31" s="66">
        <v>0.13389999999999999</v>
      </c>
      <c r="AE31" s="11">
        <v>2.2092000000000001E-5</v>
      </c>
      <c r="AF31" s="12">
        <v>-1.1331E-7</v>
      </c>
      <c r="AG31" s="69">
        <v>59.454999999999998</v>
      </c>
      <c r="AH31" s="70">
        <v>0.308</v>
      </c>
      <c r="AI31" s="71">
        <v>64.027000000000001</v>
      </c>
      <c r="AJ31" s="72">
        <v>1.2312000000000001</v>
      </c>
      <c r="AK31" s="23"/>
      <c r="AL31" s="23"/>
      <c r="AM31" s="23"/>
      <c r="AN31" s="23"/>
      <c r="AO31" s="23"/>
      <c r="AP31" s="23"/>
      <c r="AQ31" s="23"/>
      <c r="AR31" s="23"/>
      <c r="AS31" s="23"/>
      <c r="AT31" s="23"/>
    </row>
    <row r="32" spans="1:46" x14ac:dyDescent="0.2">
      <c r="A32" s="15" t="s">
        <v>35</v>
      </c>
      <c r="B32" s="5" t="s">
        <v>36</v>
      </c>
      <c r="C32" s="5" t="s">
        <v>90</v>
      </c>
      <c r="D32" s="5">
        <v>11</v>
      </c>
      <c r="E32" s="41">
        <v>2.9793781250000002</v>
      </c>
      <c r="F32" s="42">
        <f>(E32-MIN($E$32:$E$33))/(MAX($E$32:$E$33)-MIN($E$32:$E$33))</f>
        <v>0</v>
      </c>
      <c r="G32" s="32">
        <v>146.232</v>
      </c>
      <c r="H32" s="35">
        <v>722.13</v>
      </c>
      <c r="I32" s="35">
        <v>30.76</v>
      </c>
      <c r="J32" s="38">
        <v>4.9249999999999999E-4</v>
      </c>
      <c r="K32" s="35">
        <f t="shared" si="0"/>
        <v>297.21951219512192</v>
      </c>
      <c r="L32" s="32">
        <f t="shared" si="1"/>
        <v>0.25207282357409772</v>
      </c>
      <c r="M32" s="32">
        <v>0.379</v>
      </c>
      <c r="N32" s="46">
        <v>-6.6379000000000001</v>
      </c>
      <c r="O32" s="49">
        <v>1332</v>
      </c>
      <c r="P32" s="51">
        <v>1.12E-2</v>
      </c>
      <c r="Q32" s="7">
        <v>-8.8482999999999996E-6</v>
      </c>
      <c r="R32" s="54">
        <v>0.2969</v>
      </c>
      <c r="S32" s="55">
        <v>0.25669999999999998</v>
      </c>
      <c r="T32" s="56">
        <v>0.28570000000000001</v>
      </c>
      <c r="U32" s="57">
        <v>18.456</v>
      </c>
      <c r="V32" s="58">
        <v>-3186.9</v>
      </c>
      <c r="W32" s="59">
        <v>-3.3862000000000001</v>
      </c>
      <c r="X32" s="62">
        <v>0</v>
      </c>
      <c r="Y32" s="62">
        <v>0</v>
      </c>
      <c r="Z32" s="65">
        <v>173.71100000000001</v>
      </c>
      <c r="AA32" s="8">
        <v>0.42986999999999997</v>
      </c>
      <c r="AB32" s="9">
        <v>-9.6141E-4</v>
      </c>
      <c r="AC32" s="10">
        <v>1.2443000000000001E-6</v>
      </c>
      <c r="AD32" s="66">
        <v>0.15959999999999999</v>
      </c>
      <c r="AE32" s="11">
        <v>-6.0467000000000002E-5</v>
      </c>
      <c r="AF32" s="12">
        <v>-1.5571000000000001E-7</v>
      </c>
      <c r="AG32" s="69">
        <v>67.563000000000002</v>
      </c>
      <c r="AH32" s="70">
        <v>0.38</v>
      </c>
      <c r="AI32" s="71">
        <v>63.371000000000002</v>
      </c>
      <c r="AJ32" s="72">
        <v>1.2222</v>
      </c>
      <c r="AK32" s="23"/>
      <c r="AL32" s="23"/>
      <c r="AM32" s="23"/>
      <c r="AN32" s="23"/>
      <c r="AO32" s="23"/>
      <c r="AP32" s="23"/>
      <c r="AQ32" s="23"/>
      <c r="AR32" s="23"/>
      <c r="AS32" s="23"/>
      <c r="AT32" s="23"/>
    </row>
    <row r="33" spans="1:46" x14ac:dyDescent="0.2">
      <c r="A33" s="15" t="s">
        <v>37</v>
      </c>
      <c r="B33" s="5" t="s">
        <v>36</v>
      </c>
      <c r="C33" s="5" t="s">
        <v>91</v>
      </c>
      <c r="D33" s="5">
        <v>11</v>
      </c>
      <c r="E33" s="41">
        <v>3.2193477937499999</v>
      </c>
      <c r="F33" s="42">
        <f>(E33-MIN($E$32:$E$33))/(MAX($E$32:$E$33)-MIN($E$32:$E$33))</f>
        <v>1</v>
      </c>
      <c r="G33" s="32">
        <v>146.232</v>
      </c>
      <c r="H33" s="35">
        <v>721.27</v>
      </c>
      <c r="I33" s="35">
        <v>30.76</v>
      </c>
      <c r="J33" s="38">
        <v>4.9249999999999999E-4</v>
      </c>
      <c r="K33" s="35">
        <f t="shared" si="0"/>
        <v>297.21951219512192</v>
      </c>
      <c r="L33" s="32">
        <f t="shared" si="1"/>
        <v>0.25237338040894974</v>
      </c>
      <c r="M33" s="32">
        <v>0.379</v>
      </c>
      <c r="N33" s="46">
        <v>-6.5876000000000001</v>
      </c>
      <c r="O33" s="49">
        <v>1322.3</v>
      </c>
      <c r="P33" s="51">
        <v>1.12E-2</v>
      </c>
      <c r="Q33" s="7">
        <v>-8.8100000000000004E-6</v>
      </c>
      <c r="R33" s="54">
        <v>0.2969</v>
      </c>
      <c r="S33" s="55">
        <v>0.26150000000000001</v>
      </c>
      <c r="T33" s="56">
        <v>0.28570000000000001</v>
      </c>
      <c r="U33" s="57">
        <v>18.451000000000001</v>
      </c>
      <c r="V33" s="58">
        <v>-3182.8</v>
      </c>
      <c r="W33" s="59">
        <v>-3.3849999999999998</v>
      </c>
      <c r="X33" s="62">
        <v>0</v>
      </c>
      <c r="Y33" s="62">
        <v>0</v>
      </c>
      <c r="Z33" s="65">
        <v>175.14400000000001</v>
      </c>
      <c r="AA33" s="8">
        <v>0.42009999999999997</v>
      </c>
      <c r="AB33" s="9">
        <v>-9.3775E-4</v>
      </c>
      <c r="AC33" s="10">
        <v>1.2187000000000001E-6</v>
      </c>
      <c r="AD33" s="66">
        <v>0.15970000000000001</v>
      </c>
      <c r="AE33" s="11">
        <v>-6.1002000000000003E-5</v>
      </c>
      <c r="AF33" s="12">
        <v>-1.5566000000000001E-7</v>
      </c>
      <c r="AG33" s="69">
        <v>67.477999999999994</v>
      </c>
      <c r="AH33" s="70">
        <v>0.38</v>
      </c>
      <c r="AI33" s="71">
        <v>63.344000000000001</v>
      </c>
      <c r="AJ33" s="72">
        <v>1.2222</v>
      </c>
      <c r="AK33" s="23"/>
      <c r="AL33" s="23"/>
      <c r="AM33" s="23"/>
      <c r="AN33" s="23"/>
      <c r="AO33" s="23"/>
      <c r="AP33" s="23"/>
      <c r="AQ33" s="23"/>
      <c r="AR33" s="23"/>
      <c r="AS33" s="23"/>
      <c r="AT33" s="23"/>
    </row>
    <row r="34" spans="1:46" x14ac:dyDescent="0.2">
      <c r="A34" s="16" t="s">
        <v>38</v>
      </c>
      <c r="B34" s="5" t="s">
        <v>39</v>
      </c>
      <c r="C34" s="5" t="s">
        <v>92</v>
      </c>
      <c r="D34" s="5">
        <v>12</v>
      </c>
      <c r="E34" s="41">
        <v>2.4765805312500002</v>
      </c>
      <c r="F34" s="42">
        <f>(E34-MIN($E$34:$E$35))/(MAX($E$34:$E$35)-MIN($E$34:$E$35))</f>
        <v>0</v>
      </c>
      <c r="G34" s="32">
        <v>160.25899999999999</v>
      </c>
      <c r="H34" s="35">
        <v>735.44</v>
      </c>
      <c r="I34" s="35">
        <v>27.73</v>
      </c>
      <c r="J34" s="38">
        <v>5.4850000000000005E-4</v>
      </c>
      <c r="K34" s="35">
        <f t="shared" si="0"/>
        <v>292.44343065693425</v>
      </c>
      <c r="L34" s="32">
        <f t="shared" si="1"/>
        <v>0.24852676157123557</v>
      </c>
      <c r="M34" s="32">
        <v>0.42399999999999999</v>
      </c>
      <c r="N34" s="46">
        <v>-8.2171000000000003</v>
      </c>
      <c r="O34" s="49">
        <v>1633.9</v>
      </c>
      <c r="P34" s="51">
        <v>1.4E-2</v>
      </c>
      <c r="Q34" s="7">
        <v>-1.0373999999999999E-5</v>
      </c>
      <c r="R34" s="54">
        <v>0.29220000000000002</v>
      </c>
      <c r="S34" s="55">
        <v>0.25480000000000003</v>
      </c>
      <c r="T34" s="56">
        <v>0.28570000000000001</v>
      </c>
      <c r="U34" s="57">
        <v>18.931999999999999</v>
      </c>
      <c r="V34" s="58">
        <v>-3362.5</v>
      </c>
      <c r="W34" s="59">
        <v>-3.5032000000000001</v>
      </c>
      <c r="X34" s="62">
        <v>0</v>
      </c>
      <c r="Y34" s="62">
        <v>0</v>
      </c>
      <c r="Z34" s="65">
        <v>191.511</v>
      </c>
      <c r="AA34" s="8">
        <v>0.51073999999999997</v>
      </c>
      <c r="AB34" s="9">
        <v>-1.1421000000000001E-3</v>
      </c>
      <c r="AC34" s="10">
        <v>1.4161000000000001E-6</v>
      </c>
      <c r="AD34" s="66">
        <v>0.15479999999999999</v>
      </c>
      <c r="AE34" s="11">
        <v>-5.3122999999999999E-5</v>
      </c>
      <c r="AF34" s="12">
        <v>-1.5155E-7</v>
      </c>
      <c r="AG34" s="69">
        <v>71.022000000000006</v>
      </c>
      <c r="AH34" s="70">
        <v>0.38</v>
      </c>
      <c r="AI34" s="71">
        <v>62.015000000000001</v>
      </c>
      <c r="AJ34" s="72">
        <v>1.2222</v>
      </c>
      <c r="AK34" s="23"/>
      <c r="AL34" s="23"/>
      <c r="AM34" s="23"/>
      <c r="AN34" s="23"/>
      <c r="AO34" s="23"/>
      <c r="AP34" s="23"/>
      <c r="AQ34" s="23"/>
      <c r="AR34" s="23"/>
      <c r="AS34" s="23"/>
      <c r="AT34" s="23"/>
    </row>
    <row r="35" spans="1:46" x14ac:dyDescent="0.2">
      <c r="A35" s="16" t="s">
        <v>40</v>
      </c>
      <c r="B35" s="5" t="s">
        <v>39</v>
      </c>
      <c r="C35" s="5" t="s">
        <v>93</v>
      </c>
      <c r="D35" s="5">
        <v>12</v>
      </c>
      <c r="E35" s="41">
        <v>2.7211104937499999</v>
      </c>
      <c r="F35" s="42">
        <f>(E35-MIN($E$34:$E$35))/(MAX($E$34:$E$35)-MIN($E$34:$E$35))</f>
        <v>1</v>
      </c>
      <c r="G35" s="32">
        <v>160.25899999999999</v>
      </c>
      <c r="H35" s="35">
        <v>739.79</v>
      </c>
      <c r="I35" s="35">
        <v>27.73</v>
      </c>
      <c r="J35" s="38">
        <v>5.4850000000000005E-4</v>
      </c>
      <c r="K35" s="35">
        <f t="shared" si="0"/>
        <v>292.44343065693425</v>
      </c>
      <c r="L35" s="32">
        <f t="shared" si="1"/>
        <v>0.24706541252240435</v>
      </c>
      <c r="M35" s="32">
        <v>0.42399999999999999</v>
      </c>
      <c r="N35" s="46">
        <v>-8.4404000000000003</v>
      </c>
      <c r="O35" s="49">
        <v>1679.2</v>
      </c>
      <c r="P35" s="51">
        <v>1.43E-2</v>
      </c>
      <c r="Q35" s="7">
        <v>-1.0514E-5</v>
      </c>
      <c r="R35" s="54">
        <v>0.29220000000000002</v>
      </c>
      <c r="S35" s="55">
        <v>0.25869999999999999</v>
      </c>
      <c r="T35" s="56">
        <v>0.28570000000000001</v>
      </c>
      <c r="U35" s="57">
        <v>18.959</v>
      </c>
      <c r="V35" s="58">
        <v>-3383.8</v>
      </c>
      <c r="W35" s="59">
        <v>-3.5087000000000002</v>
      </c>
      <c r="X35" s="62">
        <v>0</v>
      </c>
      <c r="Y35" s="62">
        <v>0</v>
      </c>
      <c r="Z35" s="65">
        <v>197.87799999999999</v>
      </c>
      <c r="AA35" s="8">
        <v>0.46838000000000002</v>
      </c>
      <c r="AB35" s="9">
        <v>-1.0399999999999999E-3</v>
      </c>
      <c r="AC35" s="10">
        <v>1.3209999999999999E-6</v>
      </c>
      <c r="AD35" s="66">
        <v>0.15609999999999999</v>
      </c>
      <c r="AE35" s="11">
        <v>-5.7166000000000001E-5</v>
      </c>
      <c r="AF35" s="12">
        <v>-1.4618E-7</v>
      </c>
      <c r="AG35" s="69">
        <v>71.480999999999995</v>
      </c>
      <c r="AH35" s="70">
        <v>0.38</v>
      </c>
      <c r="AI35" s="71">
        <v>62.143000000000001</v>
      </c>
      <c r="AJ35" s="72">
        <v>1.2222</v>
      </c>
      <c r="AK35" s="23"/>
      <c r="AL35" s="23"/>
      <c r="AM35" s="23"/>
      <c r="AN35" s="23"/>
      <c r="AO35" s="23"/>
      <c r="AP35" s="23"/>
      <c r="AQ35" s="23"/>
      <c r="AR35" s="23"/>
      <c r="AS35" s="23"/>
      <c r="AT35" s="23"/>
    </row>
    <row r="36" spans="1:46" x14ac:dyDescent="0.2">
      <c r="A36" s="17" t="s">
        <v>41</v>
      </c>
      <c r="B36" s="5" t="s">
        <v>42</v>
      </c>
      <c r="C36" s="5" t="s">
        <v>94</v>
      </c>
      <c r="D36" s="5">
        <v>13</v>
      </c>
      <c r="E36" s="41">
        <v>2.7560105687499998</v>
      </c>
      <c r="F36" s="42">
        <f>(E36-MIN($E$36:$E$37))/(MAX($E$36:$E$37)-MIN($E$36:$E$37))</f>
        <v>1</v>
      </c>
      <c r="G36" s="32">
        <v>174.286</v>
      </c>
      <c r="H36" s="35">
        <v>752.45</v>
      </c>
      <c r="I36" s="35">
        <v>25.13</v>
      </c>
      <c r="J36" s="38">
        <v>6.045E-4</v>
      </c>
      <c r="K36" s="35">
        <f t="shared" si="0"/>
        <v>288.55298013245027</v>
      </c>
      <c r="L36" s="32">
        <f t="shared" si="1"/>
        <v>0.24262847051488112</v>
      </c>
      <c r="M36" s="32">
        <v>0.46800000000000003</v>
      </c>
      <c r="N36" s="46">
        <v>-9.8388000000000009</v>
      </c>
      <c r="O36" s="49">
        <v>1954.3</v>
      </c>
      <c r="P36" s="51">
        <v>1.67E-2</v>
      </c>
      <c r="Q36" s="7">
        <v>-1.1764E-5</v>
      </c>
      <c r="R36" s="54">
        <v>0.2883</v>
      </c>
      <c r="S36" s="55">
        <v>0.25869999999999999</v>
      </c>
      <c r="T36" s="56">
        <v>0.28570000000000001</v>
      </c>
      <c r="U36" s="57">
        <v>59.119599999999998</v>
      </c>
      <c r="V36" s="58">
        <v>-5967.4</v>
      </c>
      <c r="W36" s="59">
        <v>-16.525500000000001</v>
      </c>
      <c r="X36" s="62">
        <v>-2E-3</v>
      </c>
      <c r="Y36" s="21">
        <v>3.7154999999999998E-6</v>
      </c>
      <c r="Z36" s="65">
        <v>208.65700000000001</v>
      </c>
      <c r="AA36" s="8">
        <v>0.59857000000000005</v>
      </c>
      <c r="AB36" s="9">
        <v>-1.3236999999999999E-3</v>
      </c>
      <c r="AC36" s="10">
        <v>1.5538000000000001E-6</v>
      </c>
      <c r="AD36" s="66">
        <v>0.14979999999999999</v>
      </c>
      <c r="AE36" s="11">
        <v>-4.3757999999999997E-5</v>
      </c>
      <c r="AF36" s="12">
        <v>-1.4856E-7</v>
      </c>
      <c r="AG36" s="69">
        <v>75.497</v>
      </c>
      <c r="AH36" s="70">
        <v>0.38</v>
      </c>
      <c r="AI36" s="71">
        <v>61.030999999999999</v>
      </c>
      <c r="AJ36" s="72">
        <v>1.2222</v>
      </c>
      <c r="AK36" s="23"/>
      <c r="AL36" s="23"/>
      <c r="AM36" s="23"/>
      <c r="AN36" s="23"/>
      <c r="AO36" s="23"/>
      <c r="AP36" s="23"/>
      <c r="AQ36" s="23"/>
      <c r="AR36" s="23"/>
      <c r="AS36" s="23"/>
      <c r="AT36" s="23"/>
    </row>
    <row r="37" spans="1:46" x14ac:dyDescent="0.2">
      <c r="A37" s="17" t="s">
        <v>43</v>
      </c>
      <c r="B37" s="5" t="s">
        <v>42</v>
      </c>
      <c r="C37" s="5" t="s">
        <v>95</v>
      </c>
      <c r="D37" s="5">
        <v>13</v>
      </c>
      <c r="E37" s="41">
        <v>2.50771650625</v>
      </c>
      <c r="F37" s="42">
        <f>(E37-MIN($E$36:$E$37))/(MAX($E$36:$E$37)-MIN($E$36:$E$37))</f>
        <v>0</v>
      </c>
      <c r="G37" s="32">
        <v>174.286</v>
      </c>
      <c r="H37" s="35">
        <v>745.97</v>
      </c>
      <c r="I37" s="35">
        <v>25.13</v>
      </c>
      <c r="J37" s="38">
        <v>6.045E-4</v>
      </c>
      <c r="K37" s="35">
        <f t="shared" si="0"/>
        <v>288.55298013245027</v>
      </c>
      <c r="L37" s="32">
        <f t="shared" si="1"/>
        <v>0.24473610552558728</v>
      </c>
      <c r="M37" s="32">
        <v>0.46800000000000003</v>
      </c>
      <c r="N37" s="46">
        <v>-9.5336999999999996</v>
      </c>
      <c r="O37" s="49">
        <v>1890</v>
      </c>
      <c r="P37" s="51">
        <v>1.6299999999999999E-2</v>
      </c>
      <c r="Q37" s="7">
        <v>-1.1606E-5</v>
      </c>
      <c r="R37" s="54">
        <v>0.2883</v>
      </c>
      <c r="S37" s="55">
        <v>0.25459999999999999</v>
      </c>
      <c r="T37" s="56">
        <v>0.28570000000000001</v>
      </c>
      <c r="U37" s="57">
        <v>58.8474</v>
      </c>
      <c r="V37" s="58">
        <v>-5948.1</v>
      </c>
      <c r="W37" s="59">
        <v>-16.3552</v>
      </c>
      <c r="X37" s="62">
        <v>-2.5000000000000001E-3</v>
      </c>
      <c r="Y37" s="21">
        <v>4.0060999999999996E-6</v>
      </c>
      <c r="Z37" s="65">
        <v>208.05500000000001</v>
      </c>
      <c r="AA37" s="8">
        <v>0.60087000000000002</v>
      </c>
      <c r="AB37" s="9">
        <v>-1.3449E-3</v>
      </c>
      <c r="AC37" s="10">
        <v>1.6030999999999999E-6</v>
      </c>
      <c r="AD37" s="66">
        <v>0.15049999999999999</v>
      </c>
      <c r="AE37" s="11">
        <v>-4.6387999999999997E-5</v>
      </c>
      <c r="AF37" s="12">
        <v>-1.4917999999999999E-7</v>
      </c>
      <c r="AG37" s="69">
        <v>74.786000000000001</v>
      </c>
      <c r="AH37" s="70">
        <v>0.38</v>
      </c>
      <c r="AI37" s="71">
        <v>60.847000000000001</v>
      </c>
      <c r="AJ37" s="72">
        <v>1.2222</v>
      </c>
      <c r="AK37" s="23"/>
      <c r="AL37" s="23"/>
      <c r="AM37" s="23"/>
      <c r="AN37" s="23"/>
      <c r="AO37" s="23"/>
      <c r="AP37" s="23"/>
      <c r="AQ37" s="23"/>
      <c r="AR37" s="23"/>
      <c r="AS37" s="23"/>
      <c r="AT37" s="23"/>
    </row>
    <row r="38" spans="1:46" x14ac:dyDescent="0.2">
      <c r="A38" s="18" t="s">
        <v>44</v>
      </c>
      <c r="B38" s="5" t="s">
        <v>45</v>
      </c>
      <c r="C38" s="5" t="s">
        <v>96</v>
      </c>
      <c r="D38" s="5">
        <v>14</v>
      </c>
      <c r="E38" s="41">
        <v>2.7889662075000001</v>
      </c>
      <c r="F38" s="42">
        <f>(E38-MIN($E$38:$E$39))/(MAX($E$38:$E$39)-MIN($E$38:$E$39))</f>
        <v>1</v>
      </c>
      <c r="G38" s="32">
        <v>188.31299999999999</v>
      </c>
      <c r="H38" s="35">
        <v>764.18</v>
      </c>
      <c r="I38" s="35">
        <v>22.87</v>
      </c>
      <c r="J38" s="38">
        <v>6.6049999999999995E-4</v>
      </c>
      <c r="K38" s="35">
        <f t="shared" si="0"/>
        <v>285.32272727272732</v>
      </c>
      <c r="L38" s="32">
        <f t="shared" si="1"/>
        <v>0.23757701027418968</v>
      </c>
      <c r="M38" s="32">
        <v>0.51100000000000001</v>
      </c>
      <c r="N38" s="46">
        <v>-11.087</v>
      </c>
      <c r="O38" s="49">
        <v>2205</v>
      </c>
      <c r="P38" s="51">
        <v>1.8800000000000001E-2</v>
      </c>
      <c r="Q38" s="7">
        <v>-1.2816000000000001E-5</v>
      </c>
      <c r="R38" s="54">
        <v>0.28510000000000002</v>
      </c>
      <c r="S38" s="55">
        <v>0.25829999999999997</v>
      </c>
      <c r="T38" s="56">
        <v>0.28570000000000001</v>
      </c>
      <c r="U38" s="57">
        <v>19.885000000000002</v>
      </c>
      <c r="V38" s="58">
        <v>-3733</v>
      </c>
      <c r="W38" s="59">
        <v>-3.7338</v>
      </c>
      <c r="X38" s="62">
        <v>0</v>
      </c>
      <c r="Y38" s="62">
        <v>0</v>
      </c>
      <c r="Z38" s="65">
        <v>234.58199999999999</v>
      </c>
      <c r="AA38" s="8">
        <v>0.62666999999999995</v>
      </c>
      <c r="AB38" s="9">
        <v>-1.3916E-3</v>
      </c>
      <c r="AC38" s="10">
        <v>1.6398E-6</v>
      </c>
      <c r="AD38" s="66">
        <v>0.1484</v>
      </c>
      <c r="AE38" s="11">
        <v>-4.5157000000000002E-5</v>
      </c>
      <c r="AF38" s="12">
        <v>-1.3997999999999999E-7</v>
      </c>
      <c r="AG38" s="69">
        <v>79.472999999999999</v>
      </c>
      <c r="AH38" s="70">
        <v>0.38</v>
      </c>
      <c r="AI38" s="71">
        <v>60.116999999999997</v>
      </c>
      <c r="AJ38" s="72">
        <v>1.2222</v>
      </c>
      <c r="AK38" s="23"/>
      <c r="AL38" s="23"/>
      <c r="AM38" s="23"/>
      <c r="AN38" s="23"/>
      <c r="AO38" s="23"/>
      <c r="AP38" s="23"/>
      <c r="AQ38" s="23"/>
      <c r="AR38" s="23"/>
      <c r="AS38" s="23"/>
      <c r="AT38" s="23"/>
    </row>
    <row r="39" spans="1:46" x14ac:dyDescent="0.2">
      <c r="A39" s="18" t="s">
        <v>46</v>
      </c>
      <c r="B39" s="5" t="s">
        <v>45</v>
      </c>
      <c r="C39" s="5" t="s">
        <v>97</v>
      </c>
      <c r="D39" s="5">
        <v>14</v>
      </c>
      <c r="E39" s="41">
        <v>2.5367801249999999</v>
      </c>
      <c r="F39" s="42">
        <f>(E39-MIN($E$38:$E$39))/(MAX($E$38:$E$39)-MIN($E$38:$E$39))</f>
        <v>0</v>
      </c>
      <c r="G39" s="32">
        <v>188.31299999999999</v>
      </c>
      <c r="H39" s="35">
        <v>756.75</v>
      </c>
      <c r="I39" s="35">
        <v>22.87</v>
      </c>
      <c r="J39" s="38">
        <v>6.6049999999999995E-4</v>
      </c>
      <c r="K39" s="35">
        <f t="shared" si="0"/>
        <v>285.32272727272732</v>
      </c>
      <c r="L39" s="32">
        <f t="shared" si="1"/>
        <v>0.23990961309723191</v>
      </c>
      <c r="M39" s="32">
        <v>0.51100000000000001</v>
      </c>
      <c r="N39" s="46">
        <v>-10.765000000000001</v>
      </c>
      <c r="O39" s="49">
        <v>2134.6</v>
      </c>
      <c r="P39" s="51">
        <v>1.83E-2</v>
      </c>
      <c r="Q39" s="7">
        <v>-1.2685E-5</v>
      </c>
      <c r="R39" s="54">
        <v>0.28510000000000002</v>
      </c>
      <c r="S39" s="55">
        <v>0.25540000000000002</v>
      </c>
      <c r="T39" s="56">
        <v>0.28570000000000001</v>
      </c>
      <c r="U39" s="57">
        <v>19.84</v>
      </c>
      <c r="V39" s="58">
        <v>-3694.2</v>
      </c>
      <c r="W39" s="59">
        <v>-3.7248000000000001</v>
      </c>
      <c r="X39" s="62">
        <v>0</v>
      </c>
      <c r="Y39" s="62">
        <v>0</v>
      </c>
      <c r="Z39" s="65">
        <v>223.90600000000001</v>
      </c>
      <c r="AA39" s="8">
        <v>0.69642000000000004</v>
      </c>
      <c r="AB39" s="9">
        <v>-1.5564000000000001E-3</v>
      </c>
      <c r="AC39" s="10">
        <v>1.787E-6</v>
      </c>
      <c r="AD39" s="66">
        <v>0.1467</v>
      </c>
      <c r="AE39" s="11">
        <v>-4.0043999999999998E-5</v>
      </c>
      <c r="AF39" s="12">
        <v>-1.4712999999999999E-7</v>
      </c>
      <c r="AG39" s="69">
        <v>78.626999999999995</v>
      </c>
      <c r="AH39" s="70">
        <v>0.38</v>
      </c>
      <c r="AI39" s="71">
        <v>59.911999999999999</v>
      </c>
      <c r="AJ39" s="72">
        <v>1.2222</v>
      </c>
      <c r="AK39" s="23"/>
      <c r="AL39" s="23"/>
      <c r="AM39" s="23"/>
      <c r="AN39" s="23"/>
      <c r="AO39" s="23"/>
      <c r="AP39" s="23"/>
      <c r="AQ39" s="23"/>
      <c r="AR39" s="23"/>
      <c r="AS39" s="23"/>
      <c r="AT39" s="23"/>
    </row>
    <row r="40" spans="1:46" x14ac:dyDescent="0.2">
      <c r="A40" s="19" t="s">
        <v>47</v>
      </c>
      <c r="B40" s="5" t="s">
        <v>48</v>
      </c>
      <c r="C40" s="5" t="s">
        <v>51</v>
      </c>
      <c r="D40" s="5">
        <v>15</v>
      </c>
      <c r="E40" s="41">
        <v>2.5629608250000002</v>
      </c>
      <c r="F40" s="42">
        <f>(E40-MIN($E$40:$E$41))/(MAX($E$40:$E$41)-MIN($E$40:$E$41))</f>
        <v>0</v>
      </c>
      <c r="G40" s="32">
        <v>202.34</v>
      </c>
      <c r="H40" s="35">
        <v>767.6</v>
      </c>
      <c r="I40" s="35">
        <v>20.91</v>
      </c>
      <c r="J40" s="38">
        <v>7.1650000000000001E-4</v>
      </c>
      <c r="K40" s="35">
        <f t="shared" si="0"/>
        <v>282.59776536312853</v>
      </c>
      <c r="L40" s="32">
        <f t="shared" si="1"/>
        <v>0.23459679191524224</v>
      </c>
      <c r="M40" s="32">
        <v>0.55400000000000005</v>
      </c>
      <c r="N40" s="46">
        <v>-11.904999999999999</v>
      </c>
      <c r="O40" s="49">
        <v>2366.1999999999998</v>
      </c>
      <c r="P40" s="51">
        <v>2.0199999999999999E-2</v>
      </c>
      <c r="Q40" s="7">
        <v>-1.3618000000000001E-5</v>
      </c>
      <c r="R40" s="54">
        <v>0.28239999999999998</v>
      </c>
      <c r="S40" s="55">
        <v>0.25580000000000003</v>
      </c>
      <c r="T40" s="56">
        <v>0.28570000000000001</v>
      </c>
      <c r="U40" s="57">
        <v>20.280999999999999</v>
      </c>
      <c r="V40" s="58">
        <v>-3862</v>
      </c>
      <c r="W40" s="59">
        <v>-3.8315999999999999</v>
      </c>
      <c r="X40" s="62">
        <v>0</v>
      </c>
      <c r="Y40" s="62">
        <v>0</v>
      </c>
      <c r="Z40" s="65">
        <v>238.45699999999999</v>
      </c>
      <c r="AA40" s="8">
        <v>0.80069000000000001</v>
      </c>
      <c r="AB40" s="9">
        <v>-1.7842999999999999E-3</v>
      </c>
      <c r="AC40" s="10">
        <v>1.9769999999999999E-6</v>
      </c>
      <c r="AD40" s="66">
        <v>0.14319999999999999</v>
      </c>
      <c r="AE40" s="11">
        <v>-3.4032000000000002E-5</v>
      </c>
      <c r="AF40" s="12">
        <v>-1.4536E-7</v>
      </c>
      <c r="AG40" s="69">
        <v>82.518000000000001</v>
      </c>
      <c r="AH40" s="70">
        <v>0.38</v>
      </c>
      <c r="AI40" s="71">
        <v>59.164999999999999</v>
      </c>
      <c r="AJ40" s="72">
        <v>1.2222</v>
      </c>
      <c r="AK40" s="23"/>
      <c r="AL40" s="23"/>
      <c r="AM40" s="23"/>
      <c r="AN40" s="23"/>
      <c r="AO40" s="23"/>
      <c r="AP40" s="23"/>
      <c r="AQ40" s="23"/>
      <c r="AR40" s="23"/>
      <c r="AS40" s="23"/>
      <c r="AT40" s="23"/>
    </row>
    <row r="41" spans="1:46" x14ac:dyDescent="0.2">
      <c r="A41" s="19" t="s">
        <v>49</v>
      </c>
      <c r="B41" s="5" t="s">
        <v>48</v>
      </c>
      <c r="C41" s="5" t="s">
        <v>52</v>
      </c>
      <c r="D41" s="5">
        <v>15</v>
      </c>
      <c r="E41" s="41">
        <v>2.8129403900000001</v>
      </c>
      <c r="F41" s="42">
        <f>(E41-MIN($E$40:$E$41))/(MAX($E$40:$E$41)-MIN($E$40:$E$41))</f>
        <v>1</v>
      </c>
      <c r="G41" s="32">
        <v>202.34</v>
      </c>
      <c r="H41" s="35">
        <v>774.92</v>
      </c>
      <c r="I41" s="35">
        <v>20.91</v>
      </c>
      <c r="J41" s="38">
        <v>7.1650000000000001E-4</v>
      </c>
      <c r="K41" s="35">
        <f t="shared" si="0"/>
        <v>282.59776536312853</v>
      </c>
      <c r="L41" s="32">
        <f t="shared" si="1"/>
        <v>0.23238075862558713</v>
      </c>
      <c r="M41" s="32">
        <v>0.55400000000000005</v>
      </c>
      <c r="N41" s="46">
        <v>-12.2</v>
      </c>
      <c r="O41" s="49">
        <v>2432.8000000000002</v>
      </c>
      <c r="P41" s="51">
        <v>2.06E-2</v>
      </c>
      <c r="Q41" s="7">
        <v>-1.3706000000000001E-5</v>
      </c>
      <c r="R41" s="54">
        <v>0.28239999999999998</v>
      </c>
      <c r="S41" s="55">
        <v>0.25800000000000001</v>
      </c>
      <c r="T41" s="56">
        <v>0.28570000000000001</v>
      </c>
      <c r="U41" s="57">
        <v>20.326000000000001</v>
      </c>
      <c r="V41" s="58">
        <v>-3901.3</v>
      </c>
      <c r="W41" s="59">
        <v>-3.8403</v>
      </c>
      <c r="X41" s="62">
        <v>0</v>
      </c>
      <c r="Y41" s="62">
        <v>0</v>
      </c>
      <c r="Z41" s="65">
        <v>242.47800000000001</v>
      </c>
      <c r="AA41" s="8">
        <v>0.77539999999999998</v>
      </c>
      <c r="AB41" s="9">
        <v>-1.7117E-3</v>
      </c>
      <c r="AC41" s="10">
        <v>1.8916E-6</v>
      </c>
      <c r="AD41" s="66">
        <v>0.1434</v>
      </c>
      <c r="AE41" s="11">
        <v>-3.4075999999999997E-5</v>
      </c>
      <c r="AF41" s="12">
        <v>-1.4245999999999999E-7</v>
      </c>
      <c r="AG41" s="69">
        <v>83.379000000000005</v>
      </c>
      <c r="AH41" s="70">
        <v>0.38</v>
      </c>
      <c r="AI41" s="71">
        <v>59.362000000000002</v>
      </c>
      <c r="AJ41" s="72">
        <v>1.2222</v>
      </c>
      <c r="AK41" s="23"/>
      <c r="AL41" s="23"/>
      <c r="AM41" s="23"/>
      <c r="AN41" s="23"/>
      <c r="AO41" s="23"/>
      <c r="AP41" s="23"/>
      <c r="AQ41" s="23"/>
      <c r="AR41" s="23"/>
      <c r="AS41" s="23"/>
      <c r="AT41" s="23"/>
    </row>
    <row r="42" spans="1:46" x14ac:dyDescent="0.2">
      <c r="A42" s="23"/>
      <c r="B42" s="23"/>
      <c r="C42" s="23"/>
      <c r="D42" s="23"/>
      <c r="E42" s="40"/>
      <c r="F42" s="40"/>
      <c r="G42" s="24"/>
      <c r="H42" s="25"/>
      <c r="I42" s="25"/>
      <c r="J42" s="26"/>
      <c r="K42" s="25"/>
      <c r="L42" s="24"/>
      <c r="M42" s="24"/>
      <c r="N42" s="44"/>
      <c r="O42" s="25"/>
      <c r="P42" s="44"/>
      <c r="Q42" s="26"/>
      <c r="R42" s="44"/>
      <c r="S42" s="44"/>
      <c r="T42" s="44"/>
      <c r="U42" s="44"/>
      <c r="V42" s="25"/>
      <c r="W42" s="44"/>
      <c r="X42" s="27"/>
      <c r="Y42" s="27"/>
      <c r="Z42" s="24"/>
      <c r="AA42" s="44"/>
      <c r="AB42" s="27"/>
      <c r="AC42" s="27"/>
      <c r="AD42" s="44"/>
      <c r="AE42" s="27"/>
      <c r="AF42" s="27"/>
      <c r="AG42" s="24"/>
      <c r="AH42" s="24"/>
      <c r="AI42" s="24"/>
      <c r="AJ42" s="44"/>
      <c r="AK42" s="23"/>
      <c r="AL42" s="23"/>
      <c r="AM42" s="23"/>
      <c r="AN42" s="23"/>
      <c r="AO42" s="23"/>
      <c r="AP42" s="23"/>
      <c r="AQ42" s="23"/>
      <c r="AR42" s="23"/>
      <c r="AS42" s="23"/>
      <c r="AT42" s="23"/>
    </row>
    <row r="43" spans="1:46" x14ac:dyDescent="0.2">
      <c r="A43" s="31" t="s">
        <v>78</v>
      </c>
      <c r="B43" s="28"/>
      <c r="C43" s="28"/>
      <c r="D43" s="23"/>
      <c r="E43" s="40"/>
      <c r="F43" s="40"/>
      <c r="G43" s="24"/>
      <c r="H43" s="25"/>
      <c r="I43" s="25"/>
      <c r="J43" s="26"/>
      <c r="K43" s="25"/>
      <c r="L43" s="24"/>
      <c r="M43" s="24"/>
      <c r="N43" s="44"/>
      <c r="O43" s="25"/>
      <c r="P43" s="44"/>
      <c r="Q43" s="26"/>
      <c r="R43" s="44"/>
      <c r="S43" s="44"/>
      <c r="T43" s="44"/>
      <c r="U43" s="44"/>
      <c r="V43" s="25"/>
      <c r="W43" s="44"/>
      <c r="X43" s="27"/>
      <c r="Y43" s="27"/>
      <c r="Z43" s="24"/>
      <c r="AA43" s="44"/>
      <c r="AB43" s="27"/>
      <c r="AC43" s="27"/>
      <c r="AD43" s="44"/>
      <c r="AE43" s="27"/>
      <c r="AF43" s="27"/>
      <c r="AG43" s="24"/>
      <c r="AH43" s="24"/>
      <c r="AI43" s="24"/>
      <c r="AJ43" s="44"/>
      <c r="AK43" s="23"/>
      <c r="AL43" s="23"/>
      <c r="AM43" s="23"/>
      <c r="AN43" s="23"/>
      <c r="AO43" s="23"/>
      <c r="AP43" s="23"/>
      <c r="AQ43" s="23"/>
      <c r="AR43" s="23"/>
      <c r="AS43" s="23"/>
      <c r="AT43" s="23"/>
    </row>
    <row r="44" spans="1:46" x14ac:dyDescent="0.2">
      <c r="A44" s="28"/>
      <c r="B44" s="28"/>
      <c r="C44" s="28"/>
      <c r="D44" s="23"/>
      <c r="E44" s="40"/>
      <c r="F44" s="40"/>
      <c r="G44" s="24"/>
      <c r="H44" s="25"/>
      <c r="I44" s="25"/>
      <c r="J44" s="26"/>
      <c r="K44" s="25"/>
      <c r="L44" s="24"/>
      <c r="M44" s="24"/>
      <c r="N44" s="44"/>
      <c r="O44" s="25"/>
      <c r="P44" s="44"/>
      <c r="Q44" s="26"/>
      <c r="R44" s="44"/>
      <c r="S44" s="44"/>
      <c r="T44" s="44"/>
      <c r="U44" s="44"/>
      <c r="V44" s="25"/>
      <c r="W44" s="44"/>
      <c r="X44" s="27"/>
      <c r="Y44" s="27"/>
      <c r="Z44" s="24"/>
      <c r="AA44" s="44"/>
      <c r="AB44" s="27"/>
      <c r="AC44" s="27"/>
      <c r="AD44" s="44"/>
      <c r="AE44" s="27"/>
      <c r="AF44" s="27"/>
      <c r="AG44" s="24"/>
      <c r="AH44" s="24"/>
      <c r="AI44" s="24"/>
      <c r="AJ44" s="44"/>
      <c r="AK44" s="23"/>
      <c r="AL44" s="23"/>
      <c r="AM44" s="23"/>
      <c r="AN44" s="23"/>
      <c r="AO44" s="23"/>
      <c r="AP44" s="23"/>
      <c r="AQ44" s="23"/>
      <c r="AR44" s="23"/>
      <c r="AS44" s="23"/>
      <c r="AT44" s="23"/>
    </row>
    <row r="45" spans="1:46" x14ac:dyDescent="0.2">
      <c r="A45" s="28" t="s">
        <v>79</v>
      </c>
      <c r="B45" s="28"/>
      <c r="C45" s="28"/>
      <c r="D45" s="23"/>
      <c r="E45" s="40"/>
      <c r="F45" s="40"/>
      <c r="G45" s="24"/>
      <c r="H45" s="25"/>
      <c r="I45" s="25"/>
      <c r="J45" s="26"/>
      <c r="K45" s="25"/>
      <c r="L45" s="24"/>
      <c r="M45" s="24"/>
      <c r="N45" s="44"/>
      <c r="O45" s="25"/>
      <c r="P45" s="44"/>
      <c r="Q45" s="26"/>
      <c r="R45" s="44"/>
      <c r="S45" s="44"/>
      <c r="T45" s="44"/>
      <c r="U45" s="44"/>
      <c r="V45" s="25"/>
      <c r="W45" s="44"/>
      <c r="X45" s="27"/>
      <c r="Y45" s="27"/>
      <c r="Z45" s="24"/>
      <c r="AA45" s="44"/>
      <c r="AB45" s="27"/>
      <c r="AC45" s="27"/>
      <c r="AD45" s="44"/>
      <c r="AE45" s="27"/>
      <c r="AF45" s="27"/>
      <c r="AG45" s="24"/>
      <c r="AH45" s="24"/>
      <c r="AI45" s="24"/>
      <c r="AJ45" s="44"/>
      <c r="AK45" s="23"/>
      <c r="AL45" s="23"/>
      <c r="AM45" s="23"/>
      <c r="AN45" s="23"/>
      <c r="AO45" s="23"/>
      <c r="AP45" s="23"/>
      <c r="AQ45" s="23"/>
      <c r="AR45" s="23"/>
      <c r="AS45" s="23"/>
      <c r="AT45" s="23"/>
    </row>
    <row r="46" spans="1:46" x14ac:dyDescent="0.2">
      <c r="A46" s="28" t="s">
        <v>80</v>
      </c>
      <c r="B46" s="28"/>
      <c r="C46" s="28"/>
      <c r="D46" s="23"/>
      <c r="E46" s="40"/>
      <c r="F46" s="40"/>
      <c r="G46" s="24"/>
      <c r="H46" s="25"/>
      <c r="I46" s="25"/>
      <c r="J46" s="26"/>
      <c r="K46" s="25"/>
      <c r="L46" s="24"/>
      <c r="M46" s="24"/>
      <c r="N46" s="44"/>
      <c r="O46" s="25"/>
      <c r="P46" s="44"/>
      <c r="Q46" s="26"/>
      <c r="R46" s="44"/>
      <c r="S46" s="44"/>
      <c r="T46" s="44"/>
      <c r="U46" s="44"/>
      <c r="V46" s="25"/>
      <c r="W46" s="44"/>
      <c r="X46" s="27"/>
      <c r="Y46" s="27"/>
      <c r="Z46" s="24"/>
      <c r="AA46" s="44"/>
      <c r="AB46" s="27"/>
      <c r="AC46" s="27"/>
      <c r="AD46" s="44"/>
      <c r="AE46" s="27"/>
      <c r="AF46" s="27"/>
      <c r="AG46" s="24"/>
      <c r="AH46" s="24"/>
      <c r="AI46" s="24"/>
      <c r="AJ46" s="44"/>
      <c r="AK46" s="23"/>
      <c r="AL46" s="23"/>
      <c r="AM46" s="23"/>
      <c r="AN46" s="23"/>
      <c r="AO46" s="23"/>
      <c r="AP46" s="23"/>
      <c r="AQ46" s="23"/>
      <c r="AR46" s="23"/>
      <c r="AS46" s="23"/>
      <c r="AT46" s="23"/>
    </row>
    <row r="47" spans="1:46" x14ac:dyDescent="0.2">
      <c r="A47" s="28" t="s">
        <v>81</v>
      </c>
      <c r="B47" s="28"/>
      <c r="C47" s="28"/>
      <c r="D47" s="23"/>
      <c r="E47" s="40"/>
      <c r="F47" s="40"/>
      <c r="G47" s="24"/>
      <c r="H47" s="25"/>
      <c r="I47" s="25"/>
      <c r="J47" s="26"/>
      <c r="K47" s="25"/>
      <c r="L47" s="24"/>
      <c r="M47" s="24"/>
      <c r="N47" s="44"/>
      <c r="O47" s="25"/>
      <c r="P47" s="44"/>
      <c r="Q47" s="26"/>
      <c r="R47" s="44"/>
      <c r="S47" s="44"/>
      <c r="T47" s="44"/>
      <c r="U47" s="44"/>
      <c r="V47" s="25"/>
      <c r="W47" s="44"/>
      <c r="X47" s="27"/>
      <c r="Y47" s="27"/>
      <c r="Z47" s="24"/>
      <c r="AA47" s="44"/>
      <c r="AB47" s="27"/>
      <c r="AC47" s="27"/>
      <c r="AD47" s="44"/>
      <c r="AE47" s="27"/>
      <c r="AF47" s="27"/>
      <c r="AG47" s="24"/>
      <c r="AH47" s="24"/>
      <c r="AI47" s="24"/>
      <c r="AJ47" s="44"/>
      <c r="AK47" s="23"/>
      <c r="AL47" s="23"/>
      <c r="AM47" s="23"/>
      <c r="AN47" s="23"/>
      <c r="AO47" s="23"/>
      <c r="AP47" s="23"/>
      <c r="AQ47" s="23"/>
      <c r="AR47" s="23"/>
      <c r="AS47" s="23"/>
      <c r="AT47" s="23"/>
    </row>
    <row r="48" spans="1:46" x14ac:dyDescent="0.2">
      <c r="A48" s="28" t="s">
        <v>82</v>
      </c>
      <c r="B48" s="28"/>
      <c r="C48" s="28"/>
      <c r="D48" s="23"/>
      <c r="E48" s="40"/>
      <c r="F48" s="40"/>
      <c r="G48" s="24"/>
      <c r="H48" s="25"/>
      <c r="I48" s="25"/>
      <c r="J48" s="26"/>
      <c r="K48" s="25"/>
      <c r="L48" s="24"/>
      <c r="M48" s="24"/>
      <c r="N48" s="44"/>
      <c r="O48" s="25"/>
      <c r="P48" s="44"/>
      <c r="Q48" s="26"/>
      <c r="R48" s="44"/>
      <c r="S48" s="44"/>
      <c r="T48" s="44"/>
      <c r="U48" s="44"/>
      <c r="V48" s="25"/>
      <c r="W48" s="44"/>
      <c r="X48" s="27"/>
      <c r="Y48" s="27"/>
      <c r="Z48" s="24"/>
      <c r="AA48" s="44"/>
      <c r="AB48" s="27"/>
      <c r="AC48" s="27"/>
      <c r="AD48" s="44"/>
      <c r="AE48" s="27"/>
      <c r="AF48" s="27"/>
      <c r="AG48" s="24"/>
      <c r="AH48" s="24"/>
      <c r="AI48" s="24"/>
      <c r="AJ48" s="44"/>
      <c r="AK48" s="23"/>
      <c r="AL48" s="23"/>
      <c r="AM48" s="23"/>
      <c r="AN48" s="23"/>
      <c r="AO48" s="23"/>
      <c r="AP48" s="23"/>
      <c r="AQ48" s="23"/>
      <c r="AR48" s="23"/>
      <c r="AS48" s="23"/>
      <c r="AT48" s="23"/>
    </row>
    <row r="49" spans="1:46" x14ac:dyDescent="0.2">
      <c r="A49" s="28" t="s">
        <v>83</v>
      </c>
      <c r="B49" s="28"/>
      <c r="C49" s="28"/>
      <c r="D49" s="23"/>
      <c r="E49" s="40"/>
      <c r="F49" s="40"/>
      <c r="G49" s="24"/>
      <c r="H49" s="25"/>
      <c r="I49" s="25"/>
      <c r="J49" s="26"/>
      <c r="K49" s="25"/>
      <c r="L49" s="24"/>
      <c r="M49" s="24"/>
      <c r="N49" s="44"/>
      <c r="O49" s="25"/>
      <c r="P49" s="44"/>
      <c r="Q49" s="26"/>
      <c r="R49" s="44"/>
      <c r="S49" s="44"/>
      <c r="T49" s="44"/>
      <c r="U49" s="44"/>
      <c r="V49" s="25"/>
      <c r="W49" s="44"/>
      <c r="X49" s="27"/>
      <c r="Y49" s="27"/>
      <c r="Z49" s="24"/>
      <c r="AA49" s="44"/>
      <c r="AB49" s="27"/>
      <c r="AC49" s="27"/>
      <c r="AD49" s="44"/>
      <c r="AE49" s="27"/>
      <c r="AF49" s="27"/>
      <c r="AG49" s="24"/>
      <c r="AH49" s="24"/>
      <c r="AI49" s="24"/>
      <c r="AJ49" s="44"/>
      <c r="AK49" s="23"/>
      <c r="AL49" s="23"/>
      <c r="AM49" s="23"/>
      <c r="AN49" s="23"/>
      <c r="AO49" s="23"/>
      <c r="AP49" s="23"/>
      <c r="AQ49" s="23"/>
      <c r="AR49" s="23"/>
      <c r="AS49" s="23"/>
      <c r="AT49" s="23"/>
    </row>
    <row r="50" spans="1:46" x14ac:dyDescent="0.2">
      <c r="A50" s="28" t="s">
        <v>84</v>
      </c>
      <c r="B50" s="23"/>
      <c r="C50" s="23"/>
      <c r="D50" s="23"/>
      <c r="E50" s="40"/>
      <c r="F50" s="40"/>
      <c r="G50" s="24"/>
      <c r="H50" s="25"/>
      <c r="I50" s="25"/>
      <c r="J50" s="26"/>
      <c r="K50" s="25"/>
      <c r="L50" s="24"/>
      <c r="M50" s="24"/>
      <c r="N50" s="44"/>
      <c r="O50" s="25"/>
      <c r="P50" s="44"/>
      <c r="Q50" s="26"/>
      <c r="R50" s="44"/>
      <c r="S50" s="44"/>
      <c r="T50" s="44"/>
      <c r="U50" s="44"/>
      <c r="V50" s="25"/>
      <c r="W50" s="44"/>
      <c r="X50" s="27"/>
      <c r="Y50" s="27"/>
      <c r="Z50" s="24"/>
      <c r="AA50" s="44"/>
      <c r="AB50" s="27"/>
      <c r="AC50" s="27"/>
      <c r="AD50" s="44"/>
      <c r="AE50" s="27"/>
      <c r="AF50" s="27"/>
      <c r="AG50" s="24"/>
      <c r="AH50" s="24"/>
      <c r="AI50" s="24"/>
      <c r="AJ50" s="44"/>
      <c r="AK50" s="23"/>
      <c r="AL50" s="23"/>
      <c r="AM50" s="23"/>
      <c r="AN50" s="23"/>
      <c r="AO50" s="23"/>
      <c r="AP50" s="23"/>
      <c r="AQ50" s="23"/>
      <c r="AR50" s="23"/>
      <c r="AS50" s="23"/>
      <c r="AT50" s="23"/>
    </row>
    <row r="51" spans="1:46" x14ac:dyDescent="0.2">
      <c r="A51" s="28" t="s">
        <v>85</v>
      </c>
      <c r="B51" s="23"/>
      <c r="C51" s="23"/>
      <c r="D51" s="23"/>
      <c r="E51" s="40"/>
      <c r="F51" s="40"/>
      <c r="G51" s="24"/>
      <c r="H51" s="25"/>
      <c r="I51" s="25"/>
      <c r="J51" s="26"/>
      <c r="K51" s="25"/>
      <c r="L51" s="24"/>
      <c r="M51" s="24"/>
      <c r="N51" s="44"/>
      <c r="O51" s="25"/>
      <c r="P51" s="44"/>
      <c r="Q51" s="26"/>
      <c r="R51" s="44"/>
      <c r="S51" s="44"/>
      <c r="T51" s="44"/>
      <c r="U51" s="44"/>
      <c r="V51" s="25"/>
      <c r="W51" s="44"/>
      <c r="X51" s="27"/>
      <c r="Y51" s="27"/>
      <c r="Z51" s="24"/>
      <c r="AA51" s="44"/>
      <c r="AB51" s="27"/>
      <c r="AC51" s="27"/>
      <c r="AD51" s="44"/>
      <c r="AE51" s="27"/>
      <c r="AF51" s="27"/>
      <c r="AG51" s="24"/>
      <c r="AH51" s="24"/>
      <c r="AI51" s="24"/>
      <c r="AJ51" s="44"/>
      <c r="AK51" s="23"/>
      <c r="AL51" s="23"/>
      <c r="AM51" s="23"/>
      <c r="AN51" s="23"/>
      <c r="AO51" s="23"/>
      <c r="AP51" s="23"/>
      <c r="AQ51" s="23"/>
      <c r="AR51" s="23"/>
      <c r="AS51" s="23"/>
      <c r="AT51" s="23"/>
    </row>
    <row r="52" spans="1:46" x14ac:dyDescent="0.2">
      <c r="A52" s="28" t="s">
        <v>86</v>
      </c>
      <c r="B52" s="23"/>
      <c r="C52" s="23"/>
      <c r="D52" s="23"/>
      <c r="E52" s="40"/>
      <c r="F52" s="40"/>
      <c r="G52" s="24"/>
      <c r="H52" s="25"/>
      <c r="I52" s="25"/>
      <c r="J52" s="26"/>
      <c r="K52" s="25"/>
      <c r="L52" s="24"/>
      <c r="M52" s="24"/>
      <c r="N52" s="44"/>
      <c r="O52" s="25"/>
      <c r="P52" s="44"/>
      <c r="Q52" s="26"/>
      <c r="R52" s="44"/>
      <c r="S52" s="44"/>
      <c r="T52" s="44"/>
      <c r="U52" s="44"/>
      <c r="V52" s="25"/>
      <c r="W52" s="44"/>
      <c r="X52" s="27"/>
      <c r="Y52" s="27"/>
      <c r="Z52" s="24"/>
      <c r="AA52" s="44"/>
      <c r="AB52" s="27"/>
      <c r="AC52" s="27"/>
      <c r="AD52" s="44"/>
      <c r="AE52" s="27"/>
      <c r="AF52" s="27"/>
      <c r="AG52" s="24"/>
      <c r="AH52" s="24"/>
      <c r="AI52" s="24"/>
      <c r="AJ52" s="44"/>
      <c r="AK52" s="23"/>
      <c r="AL52" s="23"/>
      <c r="AM52" s="23"/>
      <c r="AN52" s="23"/>
      <c r="AO52" s="23"/>
      <c r="AP52" s="23"/>
      <c r="AQ52" s="23"/>
      <c r="AR52" s="23"/>
      <c r="AS52" s="23"/>
      <c r="AT52" s="23"/>
    </row>
  </sheetData>
  <conditionalFormatting sqref="C1:C104857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 Liberatori</dc:creator>
  <cp:lastModifiedBy>Jacopo Liberatori</cp:lastModifiedBy>
  <dcterms:created xsi:type="dcterms:W3CDTF">2024-04-29T13:30:31Z</dcterms:created>
  <dcterms:modified xsi:type="dcterms:W3CDTF">2024-06-06T09:48:10Z</dcterms:modified>
</cp:coreProperties>
</file>
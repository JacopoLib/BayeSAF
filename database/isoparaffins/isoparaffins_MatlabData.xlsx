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isoparaffins/"/>
    </mc:Choice>
  </mc:AlternateContent>
  <xr:revisionPtr revIDLastSave="0" documentId="13_ncr:1_{791425E2-6FB7-5746-BD51-1188617C5E24}" xr6:coauthVersionLast="47" xr6:coauthVersionMax="47" xr10:uidLastSave="{00000000-0000-0000-0000-000000000000}"/>
  <bookViews>
    <workbookView xWindow="0" yWindow="760" windowWidth="34560" windowHeight="20540" xr2:uid="{F6959CF2-FA73-E540-9FA1-F2B68D8A8484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2" i="1" l="1"/>
  <c r="C663" i="1"/>
  <c r="C664" i="1"/>
  <c r="C665" i="1"/>
  <c r="C666" i="1"/>
  <c r="C661" i="1"/>
  <c r="AE666" i="1" a="1"/>
  <c r="AE666" i="1" s="1"/>
  <c r="AD666" i="1" a="1"/>
  <c r="AD666" i="1" s="1"/>
  <c r="AC666" i="1" a="1"/>
  <c r="AC666" i="1" s="1"/>
  <c r="AB666" i="1" a="1"/>
  <c r="AB666" i="1" s="1"/>
  <c r="AA666" i="1" a="1"/>
  <c r="AA666" i="1" s="1"/>
  <c r="Z666" i="1" a="1"/>
  <c r="Z666" i="1" s="1"/>
  <c r="Y666" i="1" a="1"/>
  <c r="Y666" i="1" s="1"/>
  <c r="W666" i="1" a="1"/>
  <c r="W666" i="1" s="1"/>
  <c r="X666" i="1" a="1"/>
  <c r="X666" i="1" s="1"/>
  <c r="H666" i="1"/>
  <c r="I666" i="1" s="1"/>
  <c r="Q685" i="1" a="1"/>
  <c r="Q685" i="1" s="1"/>
  <c r="Q686" i="1" s="1" a="1"/>
  <c r="Q686" i="1" s="1"/>
  <c r="C10" i="1"/>
  <c r="H10" i="1"/>
  <c r="I10" i="1" s="1"/>
  <c r="C11" i="1"/>
  <c r="H11" i="1"/>
  <c r="I11" i="1" s="1"/>
  <c r="C12" i="1"/>
  <c r="H12" i="1"/>
  <c r="I12" i="1" s="1"/>
  <c r="C13" i="1"/>
  <c r="H13" i="1"/>
  <c r="I13" i="1" s="1"/>
  <c r="C14" i="1"/>
  <c r="H14" i="1"/>
  <c r="I14" i="1" s="1"/>
  <c r="C15" i="1"/>
  <c r="H15" i="1"/>
  <c r="I15" i="1" s="1"/>
  <c r="C16" i="1"/>
  <c r="H16" i="1"/>
  <c r="I16" i="1" s="1"/>
  <c r="C17" i="1"/>
  <c r="H17" i="1"/>
  <c r="I17" i="1" s="1"/>
  <c r="C18" i="1"/>
  <c r="H18" i="1"/>
  <c r="I18" i="1" s="1"/>
  <c r="C19" i="1"/>
  <c r="H19" i="1"/>
  <c r="I19" i="1" s="1"/>
  <c r="C20" i="1"/>
  <c r="H20" i="1"/>
  <c r="I20" i="1" s="1"/>
  <c r="C21" i="1"/>
  <c r="H21" i="1"/>
  <c r="I21" i="1" s="1"/>
  <c r="C22" i="1"/>
  <c r="H22" i="1"/>
  <c r="I22" i="1" s="1"/>
  <c r="C23" i="1"/>
  <c r="H23" i="1"/>
  <c r="I23" i="1" s="1"/>
  <c r="C24" i="1"/>
  <c r="H24" i="1"/>
  <c r="I24" i="1" s="1"/>
  <c r="C25" i="1"/>
  <c r="H25" i="1"/>
  <c r="I25" i="1" s="1"/>
  <c r="C26" i="1"/>
  <c r="H26" i="1"/>
  <c r="I26" i="1" s="1"/>
  <c r="C3" i="1"/>
  <c r="C4" i="1"/>
  <c r="C5" i="1"/>
  <c r="C6" i="1"/>
  <c r="C7" i="1"/>
  <c r="C8" i="1"/>
  <c r="C9" i="1"/>
  <c r="P685" i="1" a="1"/>
  <c r="P685" i="1" s="1"/>
  <c r="P686" i="1" s="1" a="1"/>
  <c r="P686" i="1" s="1"/>
  <c r="O685" i="1" a="1"/>
  <c r="O685" i="1" s="1"/>
  <c r="O686" i="1" s="1" a="1"/>
  <c r="O686" i="1" s="1"/>
  <c r="Q680" i="1" a="1"/>
  <c r="Q680" i="1" s="1"/>
  <c r="P680" i="1" a="1"/>
  <c r="P680" i="1" s="1"/>
  <c r="O680" i="1" a="1"/>
  <c r="O680" i="1" s="1"/>
  <c r="V588" i="1" a="1"/>
  <c r="V588" i="1" s="1"/>
  <c r="U588" i="1" a="1"/>
  <c r="U588" i="1" s="1"/>
  <c r="T588" i="1" a="1"/>
  <c r="T588" i="1" s="1"/>
  <c r="S588" i="1" a="1"/>
  <c r="S588" i="1" s="1"/>
  <c r="R588" i="1" a="1"/>
  <c r="R588" i="1" s="1"/>
  <c r="V639" i="1" a="1"/>
  <c r="V639" i="1" s="1"/>
  <c r="V640" i="1" a="1"/>
  <c r="V640" i="1" s="1"/>
  <c r="V641" i="1" a="1"/>
  <c r="V641" i="1" s="1"/>
  <c r="V642" i="1" a="1"/>
  <c r="V642" i="1" s="1"/>
  <c r="V643" i="1" a="1"/>
  <c r="V643" i="1" s="1"/>
  <c r="V644" i="1" a="1"/>
  <c r="V644" i="1" s="1"/>
  <c r="V645" i="1" a="1"/>
  <c r="V645" i="1" s="1"/>
  <c r="V638" i="1" a="1"/>
  <c r="V638" i="1" s="1"/>
  <c r="U639" i="1" a="1"/>
  <c r="U639" i="1" s="1"/>
  <c r="U640" i="1" a="1"/>
  <c r="U640" i="1" s="1"/>
  <c r="U641" i="1" a="1"/>
  <c r="U641" i="1" s="1"/>
  <c r="U642" i="1" a="1"/>
  <c r="U642" i="1" s="1"/>
  <c r="U643" i="1" a="1"/>
  <c r="U643" i="1" s="1"/>
  <c r="U644" i="1" a="1"/>
  <c r="U644" i="1" s="1"/>
  <c r="U645" i="1" a="1"/>
  <c r="U645" i="1" s="1"/>
  <c r="U638" i="1" a="1"/>
  <c r="U638" i="1" s="1"/>
  <c r="T639" i="1" a="1"/>
  <c r="T639" i="1" s="1"/>
  <c r="T640" i="1" a="1"/>
  <c r="T640" i="1" s="1"/>
  <c r="T641" i="1" a="1"/>
  <c r="T641" i="1" s="1"/>
  <c r="T642" i="1" a="1"/>
  <c r="T642" i="1" s="1"/>
  <c r="T643" i="1" a="1"/>
  <c r="T643" i="1" s="1"/>
  <c r="T644" i="1" a="1"/>
  <c r="T644" i="1" s="1"/>
  <c r="T645" i="1" a="1"/>
  <c r="T645" i="1" s="1"/>
  <c r="T638" i="1" a="1"/>
  <c r="T638" i="1" s="1"/>
  <c r="S639" i="1" a="1"/>
  <c r="S639" i="1" s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 s="1"/>
  <c r="S638" i="1" a="1"/>
  <c r="S638" i="1" s="1"/>
  <c r="R639" i="1" a="1"/>
  <c r="R639" i="1" s="1"/>
  <c r="R640" i="1" a="1"/>
  <c r="R640" i="1" s="1"/>
  <c r="R641" i="1" a="1"/>
  <c r="R641" i="1" s="1"/>
  <c r="R642" i="1" a="1"/>
  <c r="R642" i="1" s="1"/>
  <c r="R643" i="1" a="1"/>
  <c r="R643" i="1" s="1"/>
  <c r="R644" i="1" a="1"/>
  <c r="R644" i="1" s="1"/>
  <c r="R645" i="1" a="1"/>
  <c r="R645" i="1" s="1"/>
  <c r="R638" i="1" a="1"/>
  <c r="R638" i="1" s="1"/>
  <c r="V590" i="1" a="1"/>
  <c r="V590" i="1" s="1"/>
  <c r="V518" i="1" s="1" a="1"/>
  <c r="V518" i="1" s="1"/>
  <c r="V591" i="1" a="1"/>
  <c r="V591" i="1" s="1"/>
  <c r="V589" i="1" a="1"/>
  <c r="V589" i="1" s="1"/>
  <c r="U590" i="1" a="1"/>
  <c r="U590" i="1" s="1"/>
  <c r="U518" i="1" s="1" a="1"/>
  <c r="U518" i="1" s="1"/>
  <c r="U591" i="1" a="1"/>
  <c r="U591" i="1" s="1"/>
  <c r="U589" i="1" a="1"/>
  <c r="U589" i="1" s="1"/>
  <c r="T590" i="1" a="1"/>
  <c r="T590" i="1" s="1"/>
  <c r="T518" i="1" s="1" a="1"/>
  <c r="T518" i="1" s="1"/>
  <c r="T591" i="1" a="1"/>
  <c r="T591" i="1" s="1"/>
  <c r="T589" i="1" a="1"/>
  <c r="T589" i="1" s="1"/>
  <c r="S590" i="1" a="1"/>
  <c r="S590" i="1" s="1"/>
  <c r="S591" i="1" a="1"/>
  <c r="S591" i="1" s="1"/>
  <c r="S589" i="1" a="1"/>
  <c r="S589" i="1" s="1"/>
  <c r="R590" i="1" a="1"/>
  <c r="R590" i="1" s="1"/>
  <c r="R591" i="1" a="1"/>
  <c r="R591" i="1" s="1"/>
  <c r="R589" i="1" a="1"/>
  <c r="R589" i="1" s="1"/>
  <c r="V558" i="1" a="1"/>
  <c r="V558" i="1" s="1"/>
  <c r="V559" i="1" a="1"/>
  <c r="V559" i="1" s="1"/>
  <c r="V561" i="1" a="1"/>
  <c r="V561" i="1" s="1"/>
  <c r="V562" i="1" a="1"/>
  <c r="V562" i="1" s="1"/>
  <c r="V557" i="1" a="1"/>
  <c r="V557" i="1" s="1"/>
  <c r="U558" i="1" a="1"/>
  <c r="U558" i="1" s="1"/>
  <c r="U559" i="1" a="1"/>
  <c r="U559" i="1" s="1"/>
  <c r="U561" i="1" a="1"/>
  <c r="U561" i="1" s="1"/>
  <c r="U562" i="1" a="1"/>
  <c r="U562" i="1" s="1"/>
  <c r="U557" i="1" a="1"/>
  <c r="U557" i="1" s="1"/>
  <c r="T558" i="1" a="1"/>
  <c r="T558" i="1" s="1"/>
  <c r="T559" i="1" a="1"/>
  <c r="T559" i="1" s="1"/>
  <c r="T561" i="1" a="1"/>
  <c r="T561" i="1" s="1"/>
  <c r="T562" i="1" a="1"/>
  <c r="T562" i="1" s="1"/>
  <c r="T557" i="1" a="1"/>
  <c r="T557" i="1" s="1"/>
  <c r="S558" i="1" a="1"/>
  <c r="S558" i="1" s="1"/>
  <c r="S559" i="1" a="1"/>
  <c r="S559" i="1" s="1"/>
  <c r="S561" i="1" a="1"/>
  <c r="S561" i="1" s="1"/>
  <c r="S562" i="1" a="1"/>
  <c r="S562" i="1" s="1"/>
  <c r="S557" i="1" a="1"/>
  <c r="S557" i="1" s="1"/>
  <c r="R558" i="1" a="1"/>
  <c r="R558" i="1" s="1"/>
  <c r="R559" i="1" a="1"/>
  <c r="R559" i="1" s="1"/>
  <c r="R561" i="1" a="1"/>
  <c r="R561" i="1" s="1"/>
  <c r="R562" i="1" a="1"/>
  <c r="R562" i="1" s="1"/>
  <c r="R557" i="1" a="1"/>
  <c r="R557" i="1" s="1"/>
  <c r="V505" i="1" a="1"/>
  <c r="V505" i="1" s="1"/>
  <c r="V506" i="1" a="1"/>
  <c r="V506" i="1" s="1"/>
  <c r="V507" i="1" a="1"/>
  <c r="V507" i="1" s="1"/>
  <c r="V508" i="1" a="1"/>
  <c r="V508" i="1" s="1"/>
  <c r="V509" i="1" a="1"/>
  <c r="V509" i="1" s="1"/>
  <c r="V512" i="1" a="1"/>
  <c r="V512" i="1" s="1"/>
  <c r="V513" i="1" a="1"/>
  <c r="V513" i="1" s="1"/>
  <c r="V514" i="1" a="1"/>
  <c r="V514" i="1" s="1"/>
  <c r="V515" i="1" a="1"/>
  <c r="V515" i="1" s="1"/>
  <c r="V516" i="1" a="1"/>
  <c r="V516" i="1" s="1"/>
  <c r="V517" i="1" a="1"/>
  <c r="V517" i="1" s="1"/>
  <c r="V519" i="1" a="1"/>
  <c r="V519" i="1" s="1"/>
  <c r="V520" i="1" a="1"/>
  <c r="V520" i="1" s="1"/>
  <c r="V521" i="1" a="1"/>
  <c r="V521" i="1" s="1"/>
  <c r="V522" i="1" a="1"/>
  <c r="V522" i="1" s="1"/>
  <c r="V504" i="1" a="1"/>
  <c r="V504" i="1" s="1"/>
  <c r="U505" i="1" a="1"/>
  <c r="U505" i="1" s="1"/>
  <c r="U506" i="1" a="1"/>
  <c r="U506" i="1" s="1"/>
  <c r="U507" i="1" a="1"/>
  <c r="U507" i="1" s="1"/>
  <c r="U508" i="1" a="1"/>
  <c r="U508" i="1" s="1"/>
  <c r="U509" i="1" a="1"/>
  <c r="U509" i="1" s="1"/>
  <c r="U512" i="1" a="1"/>
  <c r="U512" i="1" s="1"/>
  <c r="U513" i="1" a="1"/>
  <c r="U513" i="1" s="1"/>
  <c r="U514" i="1" a="1"/>
  <c r="U514" i="1" s="1"/>
  <c r="U515" i="1" a="1"/>
  <c r="U515" i="1" s="1"/>
  <c r="U516" i="1" a="1"/>
  <c r="U516" i="1" s="1"/>
  <c r="U517" i="1" a="1"/>
  <c r="U517" i="1" s="1"/>
  <c r="U519" i="1" a="1"/>
  <c r="U519" i="1" s="1"/>
  <c r="U520" i="1" a="1"/>
  <c r="U520" i="1" s="1"/>
  <c r="U521" i="1" a="1"/>
  <c r="U521" i="1" s="1"/>
  <c r="U522" i="1" a="1"/>
  <c r="U522" i="1" s="1"/>
  <c r="U504" i="1" a="1"/>
  <c r="U504" i="1" s="1"/>
  <c r="T505" i="1" a="1"/>
  <c r="T505" i="1" s="1"/>
  <c r="T506" i="1" a="1"/>
  <c r="T506" i="1" s="1"/>
  <c r="T507" i="1" a="1"/>
  <c r="T507" i="1" s="1"/>
  <c r="T508" i="1" a="1"/>
  <c r="T508" i="1" s="1"/>
  <c r="T509" i="1" a="1"/>
  <c r="T509" i="1" s="1"/>
  <c r="T512" i="1" a="1"/>
  <c r="T512" i="1" s="1"/>
  <c r="T513" i="1" a="1"/>
  <c r="T513" i="1" s="1"/>
  <c r="T514" i="1" a="1"/>
  <c r="T514" i="1" s="1"/>
  <c r="T515" i="1" a="1"/>
  <c r="T515" i="1" s="1"/>
  <c r="T516" i="1" a="1"/>
  <c r="T516" i="1" s="1"/>
  <c r="T517" i="1" a="1"/>
  <c r="T517" i="1" s="1"/>
  <c r="T519" i="1" a="1"/>
  <c r="T519" i="1" s="1"/>
  <c r="T520" i="1" a="1"/>
  <c r="T520" i="1" s="1"/>
  <c r="T521" i="1" a="1"/>
  <c r="T521" i="1" s="1"/>
  <c r="T522" i="1" a="1"/>
  <c r="T522" i="1" s="1"/>
  <c r="T504" i="1" a="1"/>
  <c r="T504" i="1" s="1"/>
  <c r="S505" i="1" a="1"/>
  <c r="S505" i="1" s="1"/>
  <c r="S506" i="1" a="1"/>
  <c r="S506" i="1" s="1"/>
  <c r="S507" i="1" a="1"/>
  <c r="S507" i="1" s="1"/>
  <c r="S508" i="1" a="1"/>
  <c r="S508" i="1" s="1"/>
  <c r="S509" i="1" a="1"/>
  <c r="S509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04" i="1" a="1"/>
  <c r="S504" i="1" s="1"/>
  <c r="R505" i="1" a="1"/>
  <c r="R505" i="1" s="1"/>
  <c r="R506" i="1" a="1"/>
  <c r="R506" i="1" s="1"/>
  <c r="R507" i="1" a="1"/>
  <c r="R507" i="1" s="1"/>
  <c r="R508" i="1" a="1"/>
  <c r="R508" i="1" s="1"/>
  <c r="R509" i="1" a="1"/>
  <c r="R509" i="1" s="1"/>
  <c r="R512" i="1" a="1"/>
  <c r="R512" i="1" s="1"/>
  <c r="R513" i="1" a="1"/>
  <c r="R513" i="1" s="1"/>
  <c r="R514" i="1" a="1"/>
  <c r="R514" i="1" s="1"/>
  <c r="R515" i="1" a="1"/>
  <c r="R515" i="1" s="1"/>
  <c r="R516" i="1" a="1"/>
  <c r="R516" i="1" s="1"/>
  <c r="R517" i="1" a="1"/>
  <c r="R517" i="1" s="1"/>
  <c r="R518" i="1" a="1"/>
  <c r="R518" i="1" s="1"/>
  <c r="R519" i="1" a="1"/>
  <c r="R519" i="1" s="1"/>
  <c r="R520" i="1" a="1"/>
  <c r="R520" i="1" s="1"/>
  <c r="R521" i="1" a="1"/>
  <c r="R521" i="1" s="1"/>
  <c r="R522" i="1" a="1"/>
  <c r="R522" i="1" s="1"/>
  <c r="R504" i="1" a="1"/>
  <c r="R504" i="1" s="1"/>
  <c r="V492" i="1" a="1"/>
  <c r="V492" i="1" s="1"/>
  <c r="U492" i="1" a="1"/>
  <c r="U492" i="1" s="1"/>
  <c r="T492" i="1" a="1"/>
  <c r="T492" i="1" s="1"/>
  <c r="S492" i="1" a="1"/>
  <c r="S492" i="1" s="1"/>
  <c r="R492" i="1" a="1"/>
  <c r="R492" i="1" s="1"/>
  <c r="Q479" i="1" a="1"/>
  <c r="Q479" i="1" s="1"/>
  <c r="Q482" i="1" s="1" a="1"/>
  <c r="Q482" i="1" s="1"/>
  <c r="Q480" i="1" a="1"/>
  <c r="Q480" i="1" s="1"/>
  <c r="Q481" i="1" a="1"/>
  <c r="Q481" i="1" s="1"/>
  <c r="Q483" i="1" a="1"/>
  <c r="Q483" i="1" s="1"/>
  <c r="Q484" i="1" a="1"/>
  <c r="Q484" i="1" s="1"/>
  <c r="Q485" i="1" a="1"/>
  <c r="Q485" i="1" s="1"/>
  <c r="Q486" i="1" a="1"/>
  <c r="Q486" i="1" s="1"/>
  <c r="Q487" i="1" a="1"/>
  <c r="Q487" i="1" s="1"/>
  <c r="Q488" i="1" a="1"/>
  <c r="Q488" i="1" s="1"/>
  <c r="Q489" i="1" a="1"/>
  <c r="Q489" i="1" s="1"/>
  <c r="Q490" i="1" a="1"/>
  <c r="Q490" i="1" s="1"/>
  <c r="Q491" i="1" a="1"/>
  <c r="Q491" i="1" s="1"/>
  <c r="Q478" i="1" a="1"/>
  <c r="Q478" i="1" s="1"/>
  <c r="P479" i="1" a="1"/>
  <c r="P479" i="1" s="1"/>
  <c r="P482" i="1" s="1" a="1"/>
  <c r="P482" i="1" s="1"/>
  <c r="P480" i="1" a="1"/>
  <c r="P480" i="1" s="1"/>
  <c r="P481" i="1" a="1"/>
  <c r="P481" i="1" s="1"/>
  <c r="P483" i="1" a="1"/>
  <c r="P483" i="1" s="1"/>
  <c r="P484" i="1" a="1"/>
  <c r="P484" i="1" s="1"/>
  <c r="P485" i="1" a="1"/>
  <c r="P485" i="1" s="1"/>
  <c r="P486" i="1" a="1"/>
  <c r="P486" i="1" s="1"/>
  <c r="P487" i="1" a="1"/>
  <c r="P487" i="1" s="1"/>
  <c r="P488" i="1" a="1"/>
  <c r="P488" i="1" s="1"/>
  <c r="P489" i="1" a="1"/>
  <c r="P489" i="1" s="1"/>
  <c r="P490" i="1" a="1"/>
  <c r="P490" i="1" s="1"/>
  <c r="P491" i="1" a="1"/>
  <c r="P491" i="1" s="1"/>
  <c r="P478" i="1" a="1"/>
  <c r="P478" i="1" s="1"/>
  <c r="O479" i="1" a="1"/>
  <c r="O479" i="1" s="1"/>
  <c r="O482" i="1" s="1" a="1"/>
  <c r="O482" i="1" s="1"/>
  <c r="O480" i="1" a="1"/>
  <c r="O480" i="1" s="1"/>
  <c r="O481" i="1" a="1"/>
  <c r="O481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78" i="1" a="1"/>
  <c r="O478" i="1" s="1"/>
  <c r="Q453" i="1" a="1"/>
  <c r="Q453" i="1" s="1"/>
  <c r="Q454" i="1" a="1"/>
  <c r="Q454" i="1" s="1"/>
  <c r="Q451" i="1" a="1"/>
  <c r="Q451" i="1" s="1"/>
  <c r="P453" i="1" a="1"/>
  <c r="P453" i="1" s="1"/>
  <c r="P454" i="1" a="1"/>
  <c r="P454" i="1" s="1"/>
  <c r="P451" i="1" a="1"/>
  <c r="P451" i="1" s="1"/>
  <c r="O453" i="1" a="1"/>
  <c r="O453" i="1" s="1"/>
  <c r="O454" i="1" a="1"/>
  <c r="O454" i="1" s="1"/>
  <c r="O451" i="1" a="1"/>
  <c r="O451" i="1" s="1"/>
  <c r="Q431" i="1" a="1"/>
  <c r="Q431" i="1" s="1"/>
  <c r="Q432" i="1" a="1"/>
  <c r="Q432" i="1" s="1"/>
  <c r="Q430" i="1" a="1"/>
  <c r="Q430" i="1" s="1"/>
  <c r="P431" i="1" a="1"/>
  <c r="P431" i="1" s="1"/>
  <c r="P432" i="1" a="1"/>
  <c r="P432" i="1" s="1"/>
  <c r="P430" i="1" a="1"/>
  <c r="P430" i="1" s="1"/>
  <c r="O431" i="1" a="1"/>
  <c r="O431" i="1" s="1"/>
  <c r="O432" i="1" a="1"/>
  <c r="O432" i="1" s="1"/>
  <c r="O430" i="1" a="1"/>
  <c r="O430" i="1" s="1"/>
  <c r="J557" i="1" a="1"/>
  <c r="J557" i="1" s="1"/>
  <c r="J558" i="1" a="1"/>
  <c r="J558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72" i="1" a="1"/>
  <c r="J572" i="1" s="1"/>
  <c r="J573" i="1" a="1"/>
  <c r="J573" i="1" s="1"/>
  <c r="J575" i="1" a="1"/>
  <c r="J575" i="1" s="1"/>
  <c r="J576" i="1" a="1"/>
  <c r="J576" i="1" s="1"/>
  <c r="J580" i="1" a="1"/>
  <c r="J580" i="1" s="1"/>
  <c r="J581" i="1" a="1"/>
  <c r="J581" i="1" s="1"/>
  <c r="J584" i="1" a="1"/>
  <c r="J584" i="1" s="1"/>
  <c r="J586" i="1" a="1"/>
  <c r="J586" i="1" s="1"/>
  <c r="J587" i="1" a="1"/>
  <c r="J587" i="1" s="1"/>
  <c r="J591" i="1" a="1"/>
  <c r="J591" i="1" s="1"/>
  <c r="J592" i="1" a="1"/>
  <c r="J592" i="1" s="1"/>
  <c r="J594" i="1" a="1"/>
  <c r="J594" i="1" s="1"/>
  <c r="J598" i="1" a="1"/>
  <c r="J598" i="1" s="1"/>
  <c r="J600" i="1" a="1"/>
  <c r="J600" i="1" s="1"/>
  <c r="J602" i="1" a="1"/>
  <c r="J602" i="1" s="1"/>
  <c r="J604" i="1" a="1"/>
  <c r="J604" i="1" s="1"/>
  <c r="J607" i="1" a="1"/>
  <c r="J607" i="1" s="1"/>
  <c r="J609" i="1" a="1"/>
  <c r="J609" i="1" s="1"/>
  <c r="J611" i="1" a="1"/>
  <c r="J611" i="1" s="1"/>
  <c r="J624" i="1" s="1" a="1"/>
  <c r="J624" i="1" s="1"/>
  <c r="J612" i="1" a="1"/>
  <c r="J612" i="1" s="1"/>
  <c r="J616" i="1" a="1"/>
  <c r="J616" i="1" s="1"/>
  <c r="J618" i="1" a="1"/>
  <c r="J618" i="1" s="1"/>
  <c r="J622" i="1" a="1"/>
  <c r="J622" i="1" s="1"/>
  <c r="J627" i="1" a="1"/>
  <c r="J627" i="1" s="1"/>
  <c r="J633" i="1" a="1"/>
  <c r="J633" i="1" s="1"/>
  <c r="J635" i="1" a="1"/>
  <c r="J635" i="1" s="1"/>
  <c r="J636" i="1" a="1"/>
  <c r="J636" i="1" s="1"/>
  <c r="J637" i="1" a="1"/>
  <c r="J637" i="1" s="1"/>
  <c r="J638" i="1" a="1"/>
  <c r="J638" i="1" s="1"/>
  <c r="J643" i="1" a="1"/>
  <c r="J643" i="1" s="1"/>
  <c r="J556" i="1" a="1"/>
  <c r="J556" i="1" s="1"/>
  <c r="G557" i="1" a="1"/>
  <c r="G557" i="1" s="1"/>
  <c r="H557" i="1" s="1"/>
  <c r="G558" i="1" a="1"/>
  <c r="G558" i="1" s="1"/>
  <c r="H558" i="1" s="1"/>
  <c r="G560" i="1" a="1"/>
  <c r="G560" i="1" s="1"/>
  <c r="H560" i="1" s="1"/>
  <c r="G561" i="1" a="1"/>
  <c r="G561" i="1" s="1"/>
  <c r="H561" i="1" s="1"/>
  <c r="G562" i="1" a="1"/>
  <c r="G562" i="1" s="1"/>
  <c r="H562" i="1" s="1"/>
  <c r="G563" i="1" a="1"/>
  <c r="G563" i="1" s="1"/>
  <c r="H563" i="1" s="1"/>
  <c r="G564" i="1" a="1"/>
  <c r="G564" i="1" s="1"/>
  <c r="H564" i="1" s="1"/>
  <c r="G565" i="1" a="1"/>
  <c r="G565" i="1" s="1"/>
  <c r="H565" i="1" s="1"/>
  <c r="G566" i="1" a="1"/>
  <c r="G566" i="1" s="1"/>
  <c r="H566" i="1" s="1"/>
  <c r="G567" i="1" a="1"/>
  <c r="G567" i="1" s="1"/>
  <c r="H567" i="1" s="1"/>
  <c r="G572" i="1" a="1"/>
  <c r="G572" i="1" s="1"/>
  <c r="H572" i="1" s="1"/>
  <c r="G573" i="1" a="1"/>
  <c r="G573" i="1" s="1"/>
  <c r="H573" i="1" s="1"/>
  <c r="G575" i="1" a="1"/>
  <c r="G575" i="1" s="1"/>
  <c r="H575" i="1" s="1"/>
  <c r="G576" i="1" a="1"/>
  <c r="G576" i="1" s="1"/>
  <c r="H576" i="1" s="1"/>
  <c r="G580" i="1" a="1"/>
  <c r="G580" i="1" s="1"/>
  <c r="H580" i="1" s="1"/>
  <c r="G581" i="1" a="1"/>
  <c r="G581" i="1" s="1"/>
  <c r="H581" i="1" s="1"/>
  <c r="G584" i="1" a="1"/>
  <c r="G584" i="1" s="1"/>
  <c r="H584" i="1" s="1"/>
  <c r="G586" i="1" a="1"/>
  <c r="G586" i="1" s="1"/>
  <c r="H586" i="1" s="1"/>
  <c r="G587" i="1" a="1"/>
  <c r="G587" i="1" s="1"/>
  <c r="H587" i="1" s="1"/>
  <c r="G591" i="1" a="1"/>
  <c r="G591" i="1" s="1"/>
  <c r="H591" i="1" s="1"/>
  <c r="G592" i="1" a="1"/>
  <c r="G592" i="1" s="1"/>
  <c r="H592" i="1" s="1"/>
  <c r="G594" i="1" a="1"/>
  <c r="G594" i="1" s="1"/>
  <c r="H594" i="1" s="1"/>
  <c r="G598" i="1" a="1"/>
  <c r="G598" i="1" s="1"/>
  <c r="H598" i="1" s="1"/>
  <c r="G600" i="1" a="1"/>
  <c r="G600" i="1" s="1"/>
  <c r="H600" i="1" s="1"/>
  <c r="G602" i="1" a="1"/>
  <c r="G602" i="1" s="1"/>
  <c r="H602" i="1" s="1"/>
  <c r="G604" i="1" a="1"/>
  <c r="G604" i="1" s="1"/>
  <c r="H604" i="1" s="1"/>
  <c r="G607" i="1" a="1"/>
  <c r="G607" i="1" s="1"/>
  <c r="H607" i="1" s="1"/>
  <c r="G609" i="1" a="1"/>
  <c r="G609" i="1" s="1"/>
  <c r="H609" i="1" s="1"/>
  <c r="G611" i="1" a="1"/>
  <c r="G611" i="1" s="1"/>
  <c r="H611" i="1" s="1"/>
  <c r="G612" i="1" a="1"/>
  <c r="G612" i="1" s="1"/>
  <c r="H612" i="1" s="1"/>
  <c r="G616" i="1" a="1"/>
  <c r="G616" i="1" s="1"/>
  <c r="H616" i="1" s="1"/>
  <c r="G618" i="1" a="1"/>
  <c r="G618" i="1" s="1"/>
  <c r="H618" i="1" s="1"/>
  <c r="G622" i="1" a="1"/>
  <c r="G622" i="1" s="1"/>
  <c r="G627" i="1" a="1"/>
  <c r="G627" i="1" s="1"/>
  <c r="H627" i="1" s="1"/>
  <c r="G633" i="1" a="1"/>
  <c r="G633" i="1" s="1"/>
  <c r="H633" i="1" s="1"/>
  <c r="G635" i="1" a="1"/>
  <c r="G635" i="1" s="1"/>
  <c r="H635" i="1" s="1"/>
  <c r="G636" i="1" a="1"/>
  <c r="G636" i="1" s="1"/>
  <c r="H636" i="1" s="1"/>
  <c r="G637" i="1" a="1"/>
  <c r="G637" i="1" s="1"/>
  <c r="H637" i="1" s="1"/>
  <c r="G638" i="1" a="1"/>
  <c r="G638" i="1" s="1"/>
  <c r="H638" i="1" s="1"/>
  <c r="G643" i="1" a="1"/>
  <c r="G643" i="1" s="1"/>
  <c r="H643" i="1" s="1"/>
  <c r="G556" i="1" a="1"/>
  <c r="G556" i="1" s="1"/>
  <c r="H556" i="1" s="1"/>
  <c r="F607" i="1" a="1"/>
  <c r="F607" i="1" s="1"/>
  <c r="F609" i="1" a="1"/>
  <c r="F609" i="1" s="1"/>
  <c r="F611" i="1" a="1"/>
  <c r="F611" i="1" s="1"/>
  <c r="F624" i="1" s="1" a="1"/>
  <c r="F624" i="1" s="1"/>
  <c r="F612" i="1" a="1"/>
  <c r="F612" i="1" s="1"/>
  <c r="F616" i="1" a="1"/>
  <c r="F616" i="1" s="1"/>
  <c r="F618" i="1" a="1"/>
  <c r="F618" i="1" s="1"/>
  <c r="F622" i="1" a="1"/>
  <c r="F622" i="1" s="1"/>
  <c r="F627" i="1" a="1"/>
  <c r="F627" i="1" s="1"/>
  <c r="I627" i="1" s="1"/>
  <c r="F633" i="1" a="1"/>
  <c r="F633" i="1" s="1"/>
  <c r="F635" i="1" a="1"/>
  <c r="F635" i="1" s="1"/>
  <c r="F636" i="1" a="1"/>
  <c r="F636" i="1" s="1"/>
  <c r="F637" i="1" a="1"/>
  <c r="F637" i="1" s="1"/>
  <c r="F638" i="1" a="1"/>
  <c r="F638" i="1" s="1"/>
  <c r="F643" i="1" a="1"/>
  <c r="F643" i="1" s="1"/>
  <c r="F557" i="1" a="1"/>
  <c r="F557" i="1" s="1"/>
  <c r="F558" i="1" a="1"/>
  <c r="F558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72" i="1" a="1"/>
  <c r="F572" i="1" s="1"/>
  <c r="F573" i="1" a="1"/>
  <c r="F573" i="1" s="1"/>
  <c r="F575" i="1" a="1"/>
  <c r="F575" i="1" s="1"/>
  <c r="F576" i="1" a="1"/>
  <c r="F576" i="1" s="1"/>
  <c r="F580" i="1" a="1"/>
  <c r="F580" i="1" s="1"/>
  <c r="F581" i="1" a="1"/>
  <c r="F581" i="1" s="1"/>
  <c r="F584" i="1" a="1"/>
  <c r="F584" i="1" s="1"/>
  <c r="F586" i="1" a="1"/>
  <c r="F586" i="1" s="1"/>
  <c r="F587" i="1" a="1"/>
  <c r="F587" i="1" s="1"/>
  <c r="F591" i="1" a="1"/>
  <c r="F591" i="1" s="1"/>
  <c r="F592" i="1" a="1"/>
  <c r="F592" i="1" s="1"/>
  <c r="F594" i="1" a="1"/>
  <c r="F594" i="1" s="1"/>
  <c r="F598" i="1" a="1"/>
  <c r="F598" i="1" s="1"/>
  <c r="F600" i="1" a="1"/>
  <c r="F600" i="1" s="1"/>
  <c r="F602" i="1" a="1"/>
  <c r="F602" i="1" s="1"/>
  <c r="F604" i="1" a="1"/>
  <c r="F604" i="1" s="1"/>
  <c r="F556" i="1" a="1"/>
  <c r="F556" i="1" s="1"/>
  <c r="J424" i="1" a="1"/>
  <c r="J424" i="1" s="1"/>
  <c r="J423" i="1" a="1"/>
  <c r="J423" i="1" s="1"/>
  <c r="G424" i="1" a="1"/>
  <c r="G424" i="1" s="1"/>
  <c r="H424" i="1" s="1"/>
  <c r="G423" i="1" a="1"/>
  <c r="G423" i="1" s="1"/>
  <c r="H423" i="1" s="1"/>
  <c r="F424" i="1" a="1"/>
  <c r="F424" i="1" s="1"/>
  <c r="F423" i="1" a="1"/>
  <c r="F423" i="1" s="1"/>
  <c r="V269" i="1" a="1"/>
  <c r="V269" i="1" s="1"/>
  <c r="V272" i="1" a="1"/>
  <c r="V272" i="1" s="1"/>
  <c r="V273" i="1" a="1"/>
  <c r="V273" i="1" s="1"/>
  <c r="V270" i="1" s="1" a="1"/>
  <c r="V270" i="1" s="1"/>
  <c r="V271" i="1" s="1" a="1"/>
  <c r="V271" i="1" s="1"/>
  <c r="V274" i="1" a="1"/>
  <c r="V274" i="1" s="1"/>
  <c r="V275" i="1" a="1"/>
  <c r="V275" i="1" s="1"/>
  <c r="V268" i="1" a="1"/>
  <c r="V268" i="1" s="1"/>
  <c r="V262" i="1" s="1" a="1"/>
  <c r="V262" i="1" s="1"/>
  <c r="U269" i="1" a="1"/>
  <c r="U269" i="1" s="1"/>
  <c r="U272" i="1" a="1"/>
  <c r="U272" i="1" s="1"/>
  <c r="U273" i="1" a="1"/>
  <c r="U273" i="1" s="1"/>
  <c r="U270" i="1" s="1" a="1"/>
  <c r="U270" i="1" s="1"/>
  <c r="U271" i="1" s="1" a="1"/>
  <c r="U271" i="1" s="1"/>
  <c r="U274" i="1" a="1"/>
  <c r="U274" i="1" s="1"/>
  <c r="U275" i="1" a="1"/>
  <c r="U275" i="1" s="1"/>
  <c r="U268" i="1" a="1"/>
  <c r="U268" i="1" s="1"/>
  <c r="U262" i="1" s="1" a="1"/>
  <c r="U262" i="1" s="1"/>
  <c r="T269" i="1" a="1"/>
  <c r="T269" i="1" s="1"/>
  <c r="T272" i="1" a="1"/>
  <c r="T272" i="1" s="1"/>
  <c r="T273" i="1" a="1"/>
  <c r="T273" i="1" s="1"/>
  <c r="T270" i="1" s="1" a="1"/>
  <c r="T270" i="1" s="1"/>
  <c r="T271" i="1" s="1" a="1"/>
  <c r="T271" i="1" s="1"/>
  <c r="T274" i="1" a="1"/>
  <c r="T274" i="1" s="1"/>
  <c r="T275" i="1" a="1"/>
  <c r="T275" i="1" s="1"/>
  <c r="T268" i="1" a="1"/>
  <c r="T268" i="1" s="1"/>
  <c r="T262" i="1" s="1" a="1"/>
  <c r="T262" i="1" s="1"/>
  <c r="S269" i="1" a="1"/>
  <c r="S269" i="1" s="1"/>
  <c r="S272" i="1" a="1"/>
  <c r="S272" i="1" s="1"/>
  <c r="S273" i="1" a="1"/>
  <c r="S273" i="1" s="1"/>
  <c r="S270" i="1" s="1" a="1"/>
  <c r="S270" i="1" s="1"/>
  <c r="S271" i="1" s="1" a="1"/>
  <c r="S271" i="1" s="1"/>
  <c r="S274" i="1" a="1"/>
  <c r="S274" i="1" s="1"/>
  <c r="S275" i="1" a="1"/>
  <c r="S275" i="1" s="1"/>
  <c r="S268" i="1" a="1"/>
  <c r="S268" i="1" s="1"/>
  <c r="S262" i="1" s="1" a="1"/>
  <c r="S262" i="1" s="1"/>
  <c r="R269" i="1" a="1"/>
  <c r="R269" i="1" s="1"/>
  <c r="R272" i="1" a="1"/>
  <c r="R272" i="1" s="1"/>
  <c r="R273" i="1" a="1"/>
  <c r="R273" i="1" s="1"/>
  <c r="R270" i="1" s="1" a="1"/>
  <c r="R270" i="1" s="1"/>
  <c r="R271" i="1" s="1" a="1"/>
  <c r="R271" i="1" s="1"/>
  <c r="R274" i="1" a="1"/>
  <c r="R274" i="1" s="1"/>
  <c r="R275" i="1" a="1"/>
  <c r="R275" i="1" s="1"/>
  <c r="R268" i="1" a="1"/>
  <c r="R268" i="1" s="1"/>
  <c r="R262" i="1" s="1" a="1"/>
  <c r="R262" i="1" s="1"/>
  <c r="V261" i="1" a="1"/>
  <c r="V261" i="1" s="1"/>
  <c r="V263" i="1" a="1"/>
  <c r="V263" i="1" s="1"/>
  <c r="V264" i="1" a="1"/>
  <c r="V264" i="1" s="1"/>
  <c r="V265" i="1" a="1"/>
  <c r="V265" i="1" s="1"/>
  <c r="V266" i="1" a="1"/>
  <c r="V266" i="1" s="1"/>
  <c r="V260" i="1" a="1"/>
  <c r="V260" i="1" s="1"/>
  <c r="U261" i="1" a="1"/>
  <c r="U261" i="1" s="1"/>
  <c r="U263" i="1" a="1"/>
  <c r="U263" i="1" s="1"/>
  <c r="U264" i="1" a="1"/>
  <c r="U264" i="1" s="1"/>
  <c r="U265" i="1" a="1"/>
  <c r="U265" i="1" s="1"/>
  <c r="U266" i="1" a="1"/>
  <c r="U266" i="1" s="1"/>
  <c r="U260" i="1" a="1"/>
  <c r="U260" i="1" s="1"/>
  <c r="T261" i="1" a="1"/>
  <c r="T261" i="1" s="1"/>
  <c r="T263" i="1" a="1"/>
  <c r="T263" i="1" s="1"/>
  <c r="T264" i="1" a="1"/>
  <c r="T264" i="1" s="1"/>
  <c r="T265" i="1" a="1"/>
  <c r="T265" i="1" s="1"/>
  <c r="T266" i="1" a="1"/>
  <c r="T266" i="1" s="1"/>
  <c r="T260" i="1" a="1"/>
  <c r="T260" i="1" s="1"/>
  <c r="S261" i="1" a="1"/>
  <c r="S261" i="1" s="1"/>
  <c r="S263" i="1" a="1"/>
  <c r="S263" i="1" s="1"/>
  <c r="S264" i="1" a="1"/>
  <c r="S264" i="1" s="1"/>
  <c r="S265" i="1" a="1"/>
  <c r="S265" i="1" s="1"/>
  <c r="S266" i="1" a="1"/>
  <c r="S266" i="1" s="1"/>
  <c r="S260" i="1" a="1"/>
  <c r="S260" i="1" s="1"/>
  <c r="R261" i="1" a="1"/>
  <c r="R261" i="1" s="1"/>
  <c r="R263" i="1" a="1"/>
  <c r="R263" i="1" s="1"/>
  <c r="R264" i="1" a="1"/>
  <c r="R264" i="1" s="1"/>
  <c r="R265" i="1" a="1"/>
  <c r="R265" i="1" s="1"/>
  <c r="R266" i="1" a="1"/>
  <c r="R266" i="1" s="1"/>
  <c r="R260" i="1" a="1"/>
  <c r="R260" i="1" s="1"/>
  <c r="G291" i="1" a="1"/>
  <c r="G291" i="1" s="1"/>
  <c r="H291" i="1" s="1"/>
  <c r="G289" i="1" a="1"/>
  <c r="G289" i="1" s="1"/>
  <c r="H289" i="1" s="1"/>
  <c r="F291" i="1" a="1"/>
  <c r="F291" i="1" s="1"/>
  <c r="F289" i="1" a="1"/>
  <c r="F289" i="1" s="1"/>
  <c r="G277" i="1" a="1"/>
  <c r="G277" i="1" s="1"/>
  <c r="H277" i="1" s="1"/>
  <c r="G279" i="1" a="1"/>
  <c r="G279" i="1" s="1"/>
  <c r="H279" i="1" s="1"/>
  <c r="G281" i="1" a="1"/>
  <c r="G281" i="1" s="1"/>
  <c r="G284" i="1" a="1"/>
  <c r="G284" i="1" s="1"/>
  <c r="H284" i="1" s="1"/>
  <c r="G287" i="1" a="1"/>
  <c r="G287" i="1" s="1"/>
  <c r="H287" i="1" s="1"/>
  <c r="G275" i="1" a="1"/>
  <c r="G275" i="1" s="1"/>
  <c r="H275" i="1" s="1"/>
  <c r="F277" i="1" a="1"/>
  <c r="F277" i="1" s="1"/>
  <c r="F279" i="1" a="1"/>
  <c r="F279" i="1" s="1"/>
  <c r="F281" i="1" a="1"/>
  <c r="F281" i="1" s="1"/>
  <c r="F284" i="1" a="1"/>
  <c r="F284" i="1" s="1"/>
  <c r="F287" i="1" a="1"/>
  <c r="F287" i="1" s="1"/>
  <c r="F275" i="1" a="1"/>
  <c r="F275" i="1" s="1"/>
  <c r="G273" i="1" a="1"/>
  <c r="G273" i="1" s="1"/>
  <c r="H273" i="1" s="1"/>
  <c r="G271" i="1" a="1"/>
  <c r="G271" i="1" s="1"/>
  <c r="H271" i="1" s="1"/>
  <c r="F273" i="1" a="1"/>
  <c r="F273" i="1" s="1"/>
  <c r="F271" i="1" a="1"/>
  <c r="F271" i="1" s="1"/>
  <c r="J253" i="1" a="1"/>
  <c r="J253" i="1" s="1"/>
  <c r="J255" i="1" a="1"/>
  <c r="J255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3" i="1" a="1"/>
  <c r="J263" i="1" s="1"/>
  <c r="J264" i="1" a="1"/>
  <c r="J264" i="1" s="1"/>
  <c r="J265" i="1" a="1"/>
  <c r="J265" i="1" s="1"/>
  <c r="J278" i="1" s="1" a="1"/>
  <c r="J278" i="1" s="1"/>
  <c r="J269" i="1" a="1"/>
  <c r="J269" i="1" s="1"/>
  <c r="J273" i="1" a="1"/>
  <c r="J273" i="1" s="1"/>
  <c r="J274" i="1" a="1"/>
  <c r="J274" i="1" s="1"/>
  <c r="J277" i="1" a="1"/>
  <c r="J277" i="1" s="1"/>
  <c r="J281" i="1" a="1"/>
  <c r="J281" i="1" s="1"/>
  <c r="J254" i="1" s="1" a="1"/>
  <c r="J254" i="1" s="1"/>
  <c r="J284" i="1" a="1"/>
  <c r="J284" i="1" s="1"/>
  <c r="J287" i="1" a="1"/>
  <c r="J287" i="1" s="1"/>
  <c r="J289" i="1" a="1"/>
  <c r="J289" i="1" s="1"/>
  <c r="J291" i="1" a="1"/>
  <c r="J291" i="1" s="1"/>
  <c r="G253" i="1" a="1"/>
  <c r="G253" i="1" s="1"/>
  <c r="H253" i="1" s="1"/>
  <c r="G255" i="1" a="1"/>
  <c r="G255" i="1" s="1"/>
  <c r="H255" i="1" s="1"/>
  <c r="G257" i="1" a="1"/>
  <c r="G257" i="1" s="1"/>
  <c r="H257" i="1" s="1"/>
  <c r="G258" i="1" a="1"/>
  <c r="G258" i="1" s="1"/>
  <c r="H258" i="1" s="1"/>
  <c r="G259" i="1" a="1"/>
  <c r="G259" i="1" s="1"/>
  <c r="H259" i="1" s="1"/>
  <c r="G260" i="1" a="1"/>
  <c r="G260" i="1" s="1"/>
  <c r="H260" i="1" s="1"/>
  <c r="G261" i="1" a="1"/>
  <c r="G261" i="1" s="1"/>
  <c r="H261" i="1" s="1"/>
  <c r="G263" i="1" a="1"/>
  <c r="G263" i="1" s="1"/>
  <c r="H263" i="1" s="1"/>
  <c r="G264" i="1" a="1"/>
  <c r="G264" i="1" s="1"/>
  <c r="H264" i="1" s="1"/>
  <c r="G265" i="1" a="1"/>
  <c r="G265" i="1" s="1"/>
  <c r="H265" i="1" s="1"/>
  <c r="F253" i="1" a="1"/>
  <c r="F253" i="1" s="1"/>
  <c r="F255" i="1" a="1"/>
  <c r="F255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3" i="1" a="1"/>
  <c r="F263" i="1" s="1"/>
  <c r="F264" i="1" a="1"/>
  <c r="F264" i="1" s="1"/>
  <c r="F265" i="1" a="1"/>
  <c r="F265" i="1" s="1"/>
  <c r="F278" i="1" s="1" a="1"/>
  <c r="F278" i="1" s="1"/>
  <c r="V224" i="1" a="1"/>
  <c r="V224" i="1" s="1"/>
  <c r="U224" i="1" a="1"/>
  <c r="U224" i="1" s="1"/>
  <c r="T224" i="1" a="1"/>
  <c r="T224" i="1" s="1"/>
  <c r="S224" i="1" a="1"/>
  <c r="S224" i="1" s="1"/>
  <c r="R224" i="1" a="1"/>
  <c r="R224" i="1" s="1"/>
  <c r="Q223" i="1" a="1"/>
  <c r="Q223" i="1" s="1"/>
  <c r="P223" i="1" a="1"/>
  <c r="P223" i="1" s="1"/>
  <c r="O223" i="1" a="1"/>
  <c r="O223" i="1" s="1"/>
  <c r="Q216" i="1" a="1"/>
  <c r="Q216" i="1" s="1"/>
  <c r="Q217" i="1" a="1"/>
  <c r="Q217" i="1" s="1"/>
  <c r="Q218" i="1" a="1"/>
  <c r="Q218" i="1" s="1"/>
  <c r="Q219" i="1" a="1"/>
  <c r="Q219" i="1" s="1"/>
  <c r="Q215" i="1" a="1"/>
  <c r="Q215" i="1" s="1"/>
  <c r="P216" i="1" a="1"/>
  <c r="P216" i="1" s="1"/>
  <c r="P217" i="1" a="1"/>
  <c r="P217" i="1" s="1"/>
  <c r="P218" i="1" a="1"/>
  <c r="P218" i="1" s="1"/>
  <c r="P219" i="1" a="1"/>
  <c r="P219" i="1" s="1"/>
  <c r="P215" i="1" a="1"/>
  <c r="P215" i="1" s="1"/>
  <c r="O216" i="1" a="1"/>
  <c r="O216" i="1" s="1"/>
  <c r="O217" i="1" a="1"/>
  <c r="O217" i="1" s="1"/>
  <c r="O218" i="1" a="1"/>
  <c r="O218" i="1" s="1"/>
  <c r="O219" i="1" a="1"/>
  <c r="O219" i="1" s="1"/>
  <c r="O215" i="1" a="1"/>
  <c r="O215" i="1" s="1"/>
  <c r="P210" i="1" a="1"/>
  <c r="P210" i="1" s="1"/>
  <c r="Q210" i="1" a="1"/>
  <c r="Q210" i="1" s="1"/>
  <c r="P211" i="1" a="1"/>
  <c r="P211" i="1" s="1"/>
  <c r="Q211" i="1" a="1"/>
  <c r="Q211" i="1" s="1"/>
  <c r="O210" i="1" a="1"/>
  <c r="O210" i="1" s="1"/>
  <c r="O211" i="1" a="1"/>
  <c r="O211" i="1" s="1"/>
  <c r="Q199" i="1" a="1"/>
  <c r="Q199" i="1" s="1"/>
  <c r="Q200" i="1" a="1"/>
  <c r="Q200" i="1" s="1"/>
  <c r="Q201" i="1" a="1"/>
  <c r="Q201" i="1" s="1"/>
  <c r="P199" i="1" a="1"/>
  <c r="P199" i="1" s="1"/>
  <c r="P200" i="1" a="1"/>
  <c r="P200" i="1" s="1"/>
  <c r="P201" i="1" a="1"/>
  <c r="P201" i="1" s="1"/>
  <c r="O199" i="1" a="1"/>
  <c r="O199" i="1" s="1"/>
  <c r="O200" i="1" a="1"/>
  <c r="O200" i="1" s="1"/>
  <c r="O201" i="1" a="1"/>
  <c r="O201" i="1" s="1"/>
  <c r="Q198" i="1" a="1"/>
  <c r="Q198" i="1" s="1"/>
  <c r="P198" i="1" a="1"/>
  <c r="P198" i="1" s="1"/>
  <c r="O198" i="1" a="1"/>
  <c r="O198" i="1" s="1"/>
  <c r="V127" i="1" a="1"/>
  <c r="V127" i="1" s="1"/>
  <c r="U127" i="1" a="1"/>
  <c r="U127" i="1" s="1"/>
  <c r="T127" i="1" a="1"/>
  <c r="T127" i="1" s="1"/>
  <c r="S127" i="1" a="1"/>
  <c r="S127" i="1" s="1"/>
  <c r="R127" i="1" a="1"/>
  <c r="R127" i="1" s="1"/>
  <c r="V126" i="1" a="1"/>
  <c r="V126" i="1" s="1"/>
  <c r="U126" i="1" a="1"/>
  <c r="U126" i="1" s="1"/>
  <c r="T126" i="1" a="1"/>
  <c r="T126" i="1" s="1"/>
  <c r="S126" i="1" a="1"/>
  <c r="S126" i="1" s="1"/>
  <c r="R126" i="1" a="1"/>
  <c r="R126" i="1" s="1"/>
  <c r="V122" i="1" a="1"/>
  <c r="V122" i="1" s="1"/>
  <c r="S122" i="1" a="1"/>
  <c r="S122" i="1" s="1"/>
  <c r="T122" i="1" a="1"/>
  <c r="T122" i="1" s="1"/>
  <c r="U122" i="1" a="1"/>
  <c r="U122" i="1" s="1"/>
  <c r="R122" i="1" a="1"/>
  <c r="R122" i="1" s="1"/>
  <c r="Q102" i="1" a="1"/>
  <c r="Q102" i="1" s="1"/>
  <c r="P102" i="1" a="1"/>
  <c r="P102" i="1" s="1"/>
  <c r="O102" i="1" a="1"/>
  <c r="O102" i="1" s="1"/>
  <c r="V58" i="1" a="1"/>
  <c r="V58" i="1" s="1"/>
  <c r="V59" i="1" a="1"/>
  <c r="V59" i="1" s="1"/>
  <c r="U58" i="1" a="1"/>
  <c r="U58" i="1" s="1"/>
  <c r="U59" i="1" a="1"/>
  <c r="U59" i="1" s="1"/>
  <c r="T58" i="1" a="1"/>
  <c r="T58" i="1" s="1"/>
  <c r="T59" i="1" a="1"/>
  <c r="T59" i="1" s="1"/>
  <c r="S58" i="1" a="1"/>
  <c r="S58" i="1" s="1"/>
  <c r="S59" i="1" a="1"/>
  <c r="S59" i="1" s="1"/>
  <c r="R58" i="1" a="1"/>
  <c r="R58" i="1" s="1"/>
  <c r="R59" i="1" a="1"/>
  <c r="R59" i="1" s="1"/>
  <c r="J59" i="1" a="1"/>
  <c r="J59" i="1" s="1"/>
  <c r="G59" i="1" a="1"/>
  <c r="G59" i="1" s="1"/>
  <c r="H59" i="1" s="1"/>
  <c r="I544" i="1"/>
  <c r="I298" i="1"/>
  <c r="I51" i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47" i="1"/>
  <c r="I647" i="1" s="1"/>
  <c r="H646" i="1"/>
  <c r="I646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425" i="1"/>
  <c r="I425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292" i="1"/>
  <c r="I292" i="1" s="1"/>
  <c r="H288" i="1"/>
  <c r="I288" i="1" s="1"/>
  <c r="H274" i="1"/>
  <c r="I274" i="1" s="1"/>
  <c r="H270" i="1"/>
  <c r="I270" i="1" s="1"/>
  <c r="H269" i="1"/>
  <c r="I269" i="1" s="1"/>
  <c r="H267" i="1"/>
  <c r="I267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60" i="1"/>
  <c r="I60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2" i="1"/>
  <c r="I2" i="1" s="1"/>
  <c r="F59" i="1" a="1"/>
  <c r="F59" i="1" s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292" i="1"/>
  <c r="C683" i="1"/>
  <c r="C684" i="1"/>
  <c r="C685" i="1"/>
  <c r="C686" i="1"/>
  <c r="C682" i="1"/>
  <c r="C678" i="1"/>
  <c r="C679" i="1"/>
  <c r="C680" i="1"/>
  <c r="C681" i="1"/>
  <c r="C677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23" i="1"/>
  <c r="C224" i="1"/>
  <c r="C215" i="1"/>
  <c r="C216" i="1"/>
  <c r="C217" i="1"/>
  <c r="C218" i="1"/>
  <c r="C219" i="1"/>
  <c r="C208" i="1"/>
  <c r="C209" i="1"/>
  <c r="C210" i="1"/>
  <c r="C211" i="1"/>
  <c r="C198" i="1"/>
  <c r="C199" i="1"/>
  <c r="C200" i="1"/>
  <c r="C201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02" i="1"/>
  <c r="C99" i="1"/>
  <c r="C96" i="1"/>
  <c r="C55" i="1"/>
  <c r="C56" i="1"/>
  <c r="C57" i="1"/>
  <c r="C58" i="1"/>
  <c r="C59" i="1"/>
  <c r="C54" i="1"/>
  <c r="C676" i="1"/>
  <c r="C675" i="1"/>
  <c r="C674" i="1"/>
  <c r="C673" i="1"/>
  <c r="C672" i="1"/>
  <c r="C671" i="1"/>
  <c r="C670" i="1"/>
  <c r="C669" i="1"/>
  <c r="C668" i="1"/>
  <c r="C667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2" i="1"/>
  <c r="C221" i="1"/>
  <c r="C220" i="1"/>
  <c r="C214" i="1"/>
  <c r="C213" i="1"/>
  <c r="C212" i="1"/>
  <c r="C207" i="1"/>
  <c r="C206" i="1"/>
  <c r="C205" i="1"/>
  <c r="C204" i="1"/>
  <c r="C203" i="1"/>
  <c r="C202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1" i="1"/>
  <c r="C100" i="1"/>
  <c r="C98" i="1"/>
  <c r="C97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" i="1"/>
  <c r="I633" i="1" l="1"/>
  <c r="I587" i="1"/>
  <c r="I611" i="1"/>
  <c r="I59" i="1"/>
  <c r="I602" i="1"/>
  <c r="G624" i="1" a="1"/>
  <c r="G624" i="1" s="1"/>
  <c r="H624" i="1" s="1"/>
  <c r="I624" i="1" s="1"/>
  <c r="I609" i="1"/>
  <c r="I598" i="1"/>
  <c r="I638" i="1"/>
  <c r="I575" i="1"/>
  <c r="I563" i="1"/>
  <c r="I557" i="1"/>
  <c r="J270" i="1" a="1"/>
  <c r="J270" i="1" s="1"/>
  <c r="J271" i="1" s="1" a="1"/>
  <c r="J271" i="1" s="1"/>
  <c r="I562" i="1"/>
  <c r="I556" i="1"/>
  <c r="I566" i="1"/>
  <c r="I643" i="1"/>
  <c r="I616" i="1"/>
  <c r="I594" i="1"/>
  <c r="I576" i="1"/>
  <c r="I565" i="1"/>
  <c r="I591" i="1"/>
  <c r="I636" i="1"/>
  <c r="I573" i="1"/>
  <c r="I567" i="1"/>
  <c r="I635" i="1"/>
  <c r="I572" i="1"/>
  <c r="I561" i="1"/>
  <c r="I604" i="1"/>
  <c r="I560" i="1"/>
  <c r="I584" i="1"/>
  <c r="I586" i="1"/>
  <c r="I558" i="1"/>
  <c r="I612" i="1"/>
  <c r="I581" i="1"/>
  <c r="I580" i="1"/>
  <c r="I637" i="1"/>
  <c r="I592" i="1"/>
  <c r="I607" i="1"/>
  <c r="H622" i="1"/>
  <c r="I622" i="1" s="1"/>
  <c r="I618" i="1"/>
  <c r="I600" i="1"/>
  <c r="I564" i="1"/>
  <c r="I424" i="1"/>
  <c r="I423" i="1"/>
  <c r="I291" i="1"/>
  <c r="I289" i="1"/>
  <c r="H281" i="1"/>
  <c r="I281" i="1" s="1"/>
  <c r="G254" i="1" a="1"/>
  <c r="G254" i="1" s="1"/>
  <c r="H254" i="1" s="1"/>
  <c r="I287" i="1"/>
  <c r="I284" i="1"/>
  <c r="I279" i="1"/>
  <c r="I277" i="1"/>
  <c r="G278" i="1" a="1"/>
  <c r="G278" i="1" s="1"/>
  <c r="H278" i="1" s="1"/>
  <c r="I278" i="1" s="1"/>
  <c r="I275" i="1"/>
  <c r="I271" i="1"/>
  <c r="I273" i="1"/>
  <c r="F254" i="1" a="1"/>
  <c r="F254" i="1" s="1"/>
  <c r="I257" i="1"/>
  <c r="I259" i="1"/>
  <c r="I258" i="1"/>
  <c r="I255" i="1"/>
  <c r="I265" i="1"/>
  <c r="I264" i="1"/>
  <c r="I253" i="1"/>
  <c r="I263" i="1"/>
  <c r="I261" i="1"/>
  <c r="I260" i="1"/>
  <c r="I254" i="1" l="1"/>
  <c r="O681" i="1" a="1"/>
  <c r="O681" i="1" s="1"/>
  <c r="P681" i="1" a="1"/>
  <c r="P681" i="1" s="1"/>
  <c r="Q681" i="1" a="1"/>
  <c r="Q681" i="1" s="1"/>
  <c r="F268" i="1" a="1"/>
  <c r="F268" i="1" s="1"/>
  <c r="G268" i="1" a="1"/>
  <c r="G268" i="1" s="1"/>
  <c r="F290" i="1" a="1"/>
  <c r="F290" i="1" s="1"/>
  <c r="G290" i="1" a="1"/>
  <c r="G290" i="1" s="1"/>
  <c r="H290" i="1" s="1"/>
  <c r="I290" i="1" l="1"/>
  <c r="G262" i="1" a="1"/>
  <c r="G262" i="1" s="1"/>
  <c r="H262" i="1" s="1"/>
  <c r="H268" i="1"/>
  <c r="I268" i="1" s="1"/>
  <c r="F262" i="1" a="1"/>
  <c r="F262" i="1" s="1"/>
  <c r="I262" i="1" l="1"/>
  <c r="O452" i="1" a="1"/>
  <c r="O452" i="1" s="1"/>
  <c r="P452" i="1" a="1"/>
  <c r="P452" i="1" s="1"/>
  <c r="Q452" i="1" a="1"/>
  <c r="Q452" i="1" s="1"/>
  <c r="O456" i="1" a="1"/>
  <c r="O456" i="1" s="1"/>
  <c r="P456" i="1" a="1"/>
  <c r="P456" i="1" s="1"/>
  <c r="Q456" i="1" a="1"/>
  <c r="Q456" i="1" s="1"/>
  <c r="F579" i="1" a="1"/>
  <c r="F579" i="1" s="1"/>
  <c r="G579" i="1" a="1"/>
  <c r="G579" i="1" s="1"/>
  <c r="H579" i="1" s="1"/>
  <c r="J579" i="1" a="1"/>
  <c r="J579" i="1" s="1"/>
  <c r="F590" i="1" a="1"/>
  <c r="F590" i="1" s="1"/>
  <c r="G590" i="1" a="1"/>
  <c r="G590" i="1" s="1"/>
  <c r="H590" i="1" s="1"/>
  <c r="J590" i="1" a="1"/>
  <c r="J590" i="1" s="1"/>
  <c r="F597" i="1" a="1"/>
  <c r="F597" i="1" s="1"/>
  <c r="G597" i="1" a="1"/>
  <c r="G597" i="1" s="1"/>
  <c r="H597" i="1" s="1"/>
  <c r="J597" i="1" a="1"/>
  <c r="J597" i="1" s="1"/>
  <c r="F599" i="1" a="1"/>
  <c r="F599" i="1" s="1"/>
  <c r="G599" i="1" a="1"/>
  <c r="G599" i="1" s="1"/>
  <c r="H599" i="1" s="1"/>
  <c r="J599" i="1" a="1"/>
  <c r="J599" i="1" s="1"/>
  <c r="F625" i="1" a="1"/>
  <c r="F625" i="1" s="1"/>
  <c r="I625" i="1" s="1"/>
  <c r="G625" i="1" a="1"/>
  <c r="G625" i="1" s="1"/>
  <c r="H625" i="1" s="1"/>
  <c r="J625" i="1" a="1"/>
  <c r="J625" i="1" s="1"/>
  <c r="F641" i="1" a="1"/>
  <c r="F641" i="1" s="1"/>
  <c r="G641" i="1" a="1"/>
  <c r="G641" i="1" s="1"/>
  <c r="H641" i="1" s="1"/>
  <c r="J641" i="1" a="1"/>
  <c r="J641" i="1" s="1"/>
  <c r="I579" i="1" l="1"/>
  <c r="I599" i="1"/>
  <c r="I597" i="1"/>
  <c r="I641" i="1"/>
  <c r="I590" i="1"/>
  <c r="F595" i="1" a="1"/>
  <c r="F595" i="1" s="1"/>
  <c r="G595" i="1" a="1"/>
  <c r="G595" i="1" s="1"/>
  <c r="F582" i="1" a="1"/>
  <c r="F582" i="1" s="1"/>
  <c r="G582" i="1" a="1"/>
  <c r="G582" i="1" s="1"/>
  <c r="H582" i="1" s="1"/>
  <c r="J595" i="1" a="1"/>
  <c r="J595" i="1" s="1"/>
  <c r="J601" i="1" s="1" a="1"/>
  <c r="J601" i="1" s="1"/>
  <c r="J582" i="1" a="1"/>
  <c r="J582" i="1" s="1"/>
  <c r="I582" i="1" l="1"/>
  <c r="G601" i="1" a="1"/>
  <c r="G601" i="1" s="1"/>
  <c r="H601" i="1" s="1"/>
  <c r="H595" i="1"/>
  <c r="I595" i="1" s="1"/>
  <c r="F601" i="1" a="1"/>
  <c r="F601" i="1" s="1"/>
  <c r="I601" i="1" l="1"/>
  <c r="O96" i="1" a="1"/>
  <c r="O96" i="1"/>
  <c r="P96" i="1" a="1"/>
  <c r="P96" i="1"/>
  <c r="Q96" i="1" a="1"/>
  <c r="Q96" i="1"/>
  <c r="O99" i="1" a="1"/>
  <c r="O99" i="1"/>
  <c r="P99" i="1" a="1"/>
  <c r="P99" i="1"/>
  <c r="Q99" i="1" a="1"/>
  <c r="Q99" i="1"/>
  <c r="O208" i="1" a="1"/>
  <c r="O208" i="1"/>
  <c r="P208" i="1" a="1"/>
  <c r="P208" i="1"/>
  <c r="Q208" i="1" a="1"/>
  <c r="Q208" i="1"/>
  <c r="O209" i="1" a="1"/>
  <c r="O209" i="1"/>
  <c r="P209" i="1" a="1"/>
  <c r="P209" i="1"/>
  <c r="Q209" i="1" a="1"/>
  <c r="Q209" i="1"/>
  <c r="F252" i="1" a="1"/>
  <c r="F252" i="1"/>
  <c r="G252" i="1" a="1"/>
  <c r="G252" i="1"/>
  <c r="H252" i="1"/>
  <c r="I252" i="1"/>
  <c r="J252" i="1" a="1"/>
  <c r="J252" i="1"/>
  <c r="F256" i="1" a="1"/>
  <c r="F256" i="1"/>
  <c r="G256" i="1" a="1"/>
  <c r="G256" i="1"/>
  <c r="H256" i="1"/>
  <c r="I256" i="1"/>
  <c r="J256" i="1" a="1"/>
  <c r="J256" i="1"/>
  <c r="J262" i="1" a="1"/>
  <c r="J262" i="1"/>
  <c r="F266" i="1" a="1"/>
  <c r="F266" i="1"/>
  <c r="G266" i="1" a="1"/>
  <c r="G266" i="1"/>
  <c r="H266" i="1"/>
  <c r="I266" i="1"/>
  <c r="J266" i="1" a="1"/>
  <c r="J266" i="1"/>
  <c r="J267" i="1" a="1"/>
  <c r="J267" i="1"/>
  <c r="J268" i="1" a="1"/>
  <c r="J268" i="1"/>
  <c r="F272" i="1" a="1"/>
  <c r="F272" i="1"/>
  <c r="G272" i="1" a="1"/>
  <c r="G272" i="1"/>
  <c r="H272" i="1"/>
  <c r="I272" i="1"/>
  <c r="J272" i="1" a="1"/>
  <c r="J272" i="1"/>
  <c r="J275" i="1" a="1"/>
  <c r="J275" i="1"/>
  <c r="F276" i="1" a="1"/>
  <c r="F276" i="1"/>
  <c r="G276" i="1" a="1"/>
  <c r="G276" i="1"/>
  <c r="H276" i="1"/>
  <c r="I276" i="1"/>
  <c r="J276" i="1" a="1"/>
  <c r="J276" i="1"/>
  <c r="J279" i="1" a="1"/>
  <c r="J279" i="1"/>
  <c r="F280" i="1" a="1"/>
  <c r="F280" i="1"/>
  <c r="G280" i="1" a="1"/>
  <c r="G280" i="1"/>
  <c r="H280" i="1"/>
  <c r="I280" i="1"/>
  <c r="J280" i="1" a="1"/>
  <c r="J280" i="1"/>
  <c r="F282" i="1" a="1"/>
  <c r="F282" i="1"/>
  <c r="G282" i="1" a="1"/>
  <c r="G282" i="1"/>
  <c r="H282" i="1"/>
  <c r="I282" i="1"/>
  <c r="J282" i="1" a="1"/>
  <c r="J282" i="1"/>
  <c r="F283" i="1" a="1"/>
  <c r="F283" i="1"/>
  <c r="G283" i="1" a="1"/>
  <c r="G283" i="1"/>
  <c r="H283" i="1"/>
  <c r="I283" i="1"/>
  <c r="J283" i="1" a="1"/>
  <c r="J283" i="1"/>
  <c r="F285" i="1" a="1"/>
  <c r="F285" i="1"/>
  <c r="G285" i="1" a="1"/>
  <c r="G285" i="1"/>
  <c r="H285" i="1"/>
  <c r="I285" i="1"/>
  <c r="J285" i="1" a="1"/>
  <c r="J285" i="1"/>
  <c r="F286" i="1" a="1"/>
  <c r="F286" i="1"/>
  <c r="G286" i="1" a="1"/>
  <c r="G286" i="1"/>
  <c r="H286" i="1"/>
  <c r="I286" i="1"/>
  <c r="J286" i="1" a="1"/>
  <c r="J286" i="1"/>
  <c r="J288" i="1" a="1"/>
  <c r="J288" i="1"/>
  <c r="J290" i="1" a="1"/>
  <c r="J290" i="1"/>
  <c r="R510" i="1" a="1"/>
  <c r="R510" i="1"/>
  <c r="S510" i="1" a="1"/>
  <c r="S510" i="1"/>
  <c r="T510" i="1" a="1"/>
  <c r="T510" i="1"/>
  <c r="U510" i="1" a="1"/>
  <c r="U510" i="1"/>
  <c r="V510" i="1" a="1"/>
  <c r="V510" i="1"/>
  <c r="R511" i="1" a="1"/>
  <c r="R511" i="1"/>
  <c r="S511" i="1" a="1"/>
  <c r="S511" i="1"/>
  <c r="T511" i="1" a="1"/>
  <c r="T511" i="1"/>
  <c r="U511" i="1" a="1"/>
  <c r="U511" i="1"/>
  <c r="V511" i="1" a="1"/>
  <c r="V511" i="1"/>
  <c r="F559" i="1" a="1"/>
  <c r="F559" i="1"/>
  <c r="G559" i="1" a="1"/>
  <c r="G559" i="1"/>
  <c r="H559" i="1"/>
  <c r="I559" i="1"/>
  <c r="J559" i="1" a="1"/>
  <c r="J559" i="1"/>
  <c r="R560" i="1" a="1"/>
  <c r="R560" i="1"/>
  <c r="S560" i="1" a="1"/>
  <c r="S560" i="1"/>
  <c r="T560" i="1" a="1"/>
  <c r="T560" i="1"/>
  <c r="U560" i="1" a="1"/>
  <c r="U560" i="1"/>
  <c r="V560" i="1" a="1"/>
  <c r="V560" i="1"/>
  <c r="F568" i="1" a="1"/>
  <c r="F568" i="1"/>
  <c r="G568" i="1" a="1"/>
  <c r="G568" i="1"/>
  <c r="H568" i="1"/>
  <c r="I568" i="1"/>
  <c r="J568" i="1" a="1"/>
  <c r="J568" i="1"/>
  <c r="F569" i="1" a="1"/>
  <c r="F569" i="1"/>
  <c r="G569" i="1" a="1"/>
  <c r="G569" i="1"/>
  <c r="H569" i="1"/>
  <c r="I569" i="1"/>
  <c r="J569" i="1" a="1"/>
  <c r="J569" i="1"/>
  <c r="F570" i="1" a="1"/>
  <c r="F570" i="1"/>
  <c r="G570" i="1" a="1"/>
  <c r="G570" i="1"/>
  <c r="H570" i="1"/>
  <c r="I570" i="1"/>
  <c r="J570" i="1" a="1"/>
  <c r="J570" i="1"/>
  <c r="F571" i="1" a="1"/>
  <c r="F571" i="1"/>
  <c r="G571" i="1" a="1"/>
  <c r="G571" i="1"/>
  <c r="H571" i="1"/>
  <c r="I571" i="1"/>
  <c r="J571" i="1" a="1"/>
  <c r="J571" i="1"/>
  <c r="F574" i="1" a="1"/>
  <c r="F574" i="1"/>
  <c r="G574" i="1" a="1"/>
  <c r="G574" i="1"/>
  <c r="H574" i="1"/>
  <c r="I574" i="1"/>
  <c r="J574" i="1" a="1"/>
  <c r="J574" i="1"/>
  <c r="F577" i="1" a="1"/>
  <c r="F577" i="1"/>
  <c r="G577" i="1" a="1"/>
  <c r="G577" i="1"/>
  <c r="H577" i="1"/>
  <c r="I577" i="1"/>
  <c r="J577" i="1" a="1"/>
  <c r="J577" i="1"/>
  <c r="F578" i="1" a="1"/>
  <c r="F578" i="1"/>
  <c r="G578" i="1" a="1"/>
  <c r="G578" i="1"/>
  <c r="H578" i="1"/>
  <c r="I578" i="1"/>
  <c r="J578" i="1" a="1"/>
  <c r="J578" i="1"/>
  <c r="F583" i="1" a="1"/>
  <c r="F583" i="1"/>
  <c r="G583" i="1" a="1"/>
  <c r="G583" i="1"/>
  <c r="H583" i="1"/>
  <c r="I583" i="1"/>
  <c r="J583" i="1" a="1"/>
  <c r="J583" i="1"/>
  <c r="F585" i="1" a="1"/>
  <c r="F585" i="1"/>
  <c r="G585" i="1" a="1"/>
  <c r="G585" i="1"/>
  <c r="H585" i="1"/>
  <c r="I585" i="1"/>
  <c r="J585" i="1" a="1"/>
  <c r="J585" i="1"/>
  <c r="F588" i="1" a="1"/>
  <c r="F588" i="1"/>
  <c r="G588" i="1" a="1"/>
  <c r="G588" i="1"/>
  <c r="H588" i="1"/>
  <c r="I588" i="1"/>
  <c r="J588" i="1" a="1"/>
  <c r="J588" i="1"/>
  <c r="F589" i="1" a="1"/>
  <c r="F589" i="1"/>
  <c r="G589" i="1" a="1"/>
  <c r="G589" i="1"/>
  <c r="H589" i="1"/>
  <c r="I589" i="1"/>
  <c r="J589" i="1" a="1"/>
  <c r="J589" i="1"/>
  <c r="F593" i="1" a="1"/>
  <c r="F593" i="1"/>
  <c r="G593" i="1" a="1"/>
  <c r="G593" i="1"/>
  <c r="H593" i="1"/>
  <c r="I593" i="1"/>
  <c r="J593" i="1" a="1"/>
  <c r="J593" i="1"/>
  <c r="F596" i="1" a="1"/>
  <c r="F596" i="1"/>
  <c r="G596" i="1" a="1"/>
  <c r="G596" i="1"/>
  <c r="H596" i="1"/>
  <c r="I596" i="1"/>
  <c r="J596" i="1" a="1"/>
  <c r="J596" i="1"/>
  <c r="F603" i="1" a="1"/>
  <c r="F603" i="1"/>
  <c r="G603" i="1" a="1"/>
  <c r="G603" i="1"/>
  <c r="H603" i="1"/>
  <c r="I603" i="1"/>
  <c r="J603" i="1" a="1"/>
  <c r="J603" i="1"/>
  <c r="F605" i="1" a="1"/>
  <c r="F605" i="1"/>
  <c r="G605" i="1" a="1"/>
  <c r="G605" i="1"/>
  <c r="H605" i="1"/>
  <c r="I605" i="1"/>
  <c r="J605" i="1" a="1"/>
  <c r="J605" i="1"/>
  <c r="F606" i="1" a="1"/>
  <c r="F606" i="1"/>
  <c r="G606" i="1" a="1"/>
  <c r="G606" i="1"/>
  <c r="H606" i="1"/>
  <c r="I606" i="1"/>
  <c r="J606" i="1" a="1"/>
  <c r="J606" i="1"/>
  <c r="F608" i="1" a="1"/>
  <c r="F608" i="1"/>
  <c r="G608" i="1" a="1"/>
  <c r="G608" i="1"/>
  <c r="H608" i="1"/>
  <c r="I608" i="1"/>
  <c r="J608" i="1" a="1"/>
  <c r="J608" i="1"/>
  <c r="F610" i="1" a="1"/>
  <c r="F610" i="1"/>
  <c r="G610" i="1" a="1"/>
  <c r="G610" i="1"/>
  <c r="H610" i="1"/>
  <c r="I610" i="1"/>
  <c r="J610" i="1" a="1"/>
  <c r="J610" i="1"/>
  <c r="F613" i="1" a="1"/>
  <c r="F613" i="1"/>
  <c r="G613" i="1" a="1"/>
  <c r="G613" i="1"/>
  <c r="H613" i="1"/>
  <c r="I613" i="1"/>
  <c r="J613" i="1" a="1"/>
  <c r="J613" i="1"/>
  <c r="F614" i="1" a="1"/>
  <c r="F614" i="1"/>
  <c r="G614" i="1" a="1"/>
  <c r="G614" i="1"/>
  <c r="H614" i="1"/>
  <c r="I614" i="1"/>
  <c r="J614" i="1" a="1"/>
  <c r="J614" i="1"/>
  <c r="F615" i="1" a="1"/>
  <c r="F615" i="1"/>
  <c r="G615" i="1" a="1"/>
  <c r="G615" i="1"/>
  <c r="H615" i="1"/>
  <c r="I615" i="1"/>
  <c r="J615" i="1" a="1"/>
  <c r="J615" i="1"/>
  <c r="F617" i="1" a="1"/>
  <c r="F617" i="1"/>
  <c r="G617" i="1" a="1"/>
  <c r="G617" i="1"/>
  <c r="H617" i="1"/>
  <c r="I617" i="1"/>
  <c r="J617" i="1" a="1"/>
  <c r="J617" i="1"/>
  <c r="F619" i="1" a="1"/>
  <c r="F619" i="1"/>
  <c r="G619" i="1" a="1"/>
  <c r="G619" i="1"/>
  <c r="H619" i="1"/>
  <c r="I619" i="1"/>
  <c r="J619" i="1" a="1"/>
  <c r="J619" i="1"/>
  <c r="F620" i="1" a="1"/>
  <c r="F620" i="1"/>
  <c r="G620" i="1" a="1"/>
  <c r="G620" i="1"/>
  <c r="H620" i="1"/>
  <c r="I620" i="1"/>
  <c r="J620" i="1" a="1"/>
  <c r="J620" i="1"/>
  <c r="F621" i="1" a="1"/>
  <c r="F621" i="1"/>
  <c r="G621" i="1" a="1"/>
  <c r="G621" i="1"/>
  <c r="H621" i="1"/>
  <c r="I621" i="1"/>
  <c r="J621" i="1" a="1"/>
  <c r="J621" i="1"/>
  <c r="F623" i="1" a="1"/>
  <c r="F623" i="1"/>
  <c r="G623" i="1" a="1"/>
  <c r="G623" i="1"/>
  <c r="H623" i="1"/>
  <c r="I623" i="1"/>
  <c r="J623" i="1" a="1"/>
  <c r="J623" i="1"/>
  <c r="F626" i="1" a="1"/>
  <c r="F626" i="1"/>
  <c r="G626" i="1" a="1"/>
  <c r="G626" i="1"/>
  <c r="H626" i="1"/>
  <c r="I626" i="1"/>
  <c r="J626" i="1" a="1"/>
  <c r="J626" i="1"/>
  <c r="F628" i="1" a="1"/>
  <c r="F628" i="1"/>
  <c r="G628" i="1" a="1"/>
  <c r="G628" i="1"/>
  <c r="H628" i="1"/>
  <c r="I628" i="1"/>
  <c r="J628" i="1" a="1"/>
  <c r="J628" i="1"/>
  <c r="F629" i="1" a="1"/>
  <c r="F629" i="1"/>
  <c r="G629" i="1" a="1"/>
  <c r="G629" i="1"/>
  <c r="H629" i="1"/>
  <c r="I629" i="1"/>
  <c r="J629" i="1" a="1"/>
  <c r="J629" i="1"/>
  <c r="F630" i="1" a="1"/>
  <c r="F630" i="1"/>
  <c r="G630" i="1" a="1"/>
  <c r="G630" i="1"/>
  <c r="H630" i="1"/>
  <c r="I630" i="1"/>
  <c r="J630" i="1" a="1"/>
  <c r="J630" i="1"/>
  <c r="F631" i="1" a="1"/>
  <c r="F631" i="1"/>
  <c r="G631" i="1" a="1"/>
  <c r="G631" i="1"/>
  <c r="H631" i="1"/>
  <c r="I631" i="1"/>
  <c r="J631" i="1" a="1"/>
  <c r="J631" i="1"/>
  <c r="F632" i="1" a="1"/>
  <c r="F632" i="1"/>
  <c r="G632" i="1" a="1"/>
  <c r="G632" i="1"/>
  <c r="H632" i="1"/>
  <c r="I632" i="1"/>
  <c r="J632" i="1" a="1"/>
  <c r="J632" i="1"/>
  <c r="F634" i="1" a="1"/>
  <c r="F634" i="1"/>
  <c r="G634" i="1" a="1"/>
  <c r="G634" i="1"/>
  <c r="H634" i="1"/>
  <c r="I634" i="1"/>
  <c r="J634" i="1" a="1"/>
  <c r="J634" i="1"/>
  <c r="F639" i="1" a="1"/>
  <c r="F639" i="1"/>
  <c r="G639" i="1" a="1"/>
  <c r="G639" i="1"/>
  <c r="H639" i="1"/>
  <c r="I639" i="1"/>
  <c r="J639" i="1" a="1"/>
  <c r="J639" i="1"/>
  <c r="F640" i="1" a="1"/>
  <c r="F640" i="1"/>
  <c r="G640" i="1" a="1"/>
  <c r="G640" i="1"/>
  <c r="H640" i="1"/>
  <c r="I640" i="1"/>
  <c r="J640" i="1" a="1"/>
  <c r="J640" i="1"/>
  <c r="F642" i="1" a="1"/>
  <c r="F642" i="1"/>
  <c r="G642" i="1" a="1"/>
  <c r="G642" i="1"/>
  <c r="H642" i="1"/>
  <c r="I642" i="1"/>
  <c r="J642" i="1" a="1"/>
  <c r="J642" i="1"/>
  <c r="F644" i="1" a="1"/>
  <c r="F644" i="1"/>
  <c r="G644" i="1" a="1"/>
  <c r="G644" i="1"/>
  <c r="H644" i="1"/>
  <c r="I644" i="1"/>
  <c r="J644" i="1" a="1"/>
  <c r="J644" i="1"/>
  <c r="F645" i="1" a="1"/>
  <c r="F645" i="1"/>
  <c r="G645" i="1" a="1"/>
  <c r="G645" i="1"/>
  <c r="H645" i="1"/>
  <c r="I645" i="1"/>
  <c r="J645" i="1" a="1"/>
  <c r="J6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<sst xmlns="http://schemas.openxmlformats.org/spreadsheetml/2006/main" count="34" uniqueCount="34">
  <si>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nC</t>
  </si>
  <si>
    <t>eta_B_star</t>
  </si>
  <si>
    <t>eta_B_star_norm</t>
  </si>
  <si>
    <t>Zc</t>
  </si>
  <si>
    <t>Amu</t>
  </si>
  <si>
    <t>Bmu</t>
  </si>
  <si>
    <t>Cmu</t>
  </si>
  <si>
    <t>Dmu</t>
  </si>
  <si>
    <t>Arho</t>
  </si>
  <si>
    <t>Brho</t>
  </si>
  <si>
    <t>Crho</t>
  </si>
  <si>
    <t>Asat</t>
  </si>
  <si>
    <t>Bsat</t>
  </si>
  <si>
    <t>Csat</t>
  </si>
  <si>
    <t>Dsat</t>
  </si>
  <si>
    <t>Esat</t>
  </si>
  <si>
    <t>Ac</t>
  </si>
  <si>
    <t>Bc</t>
  </si>
  <si>
    <t>Cc</t>
  </si>
  <si>
    <t>Dc</t>
  </si>
  <si>
    <t>Ak</t>
  </si>
  <si>
    <t>Bk</t>
  </si>
  <si>
    <t>Ck</t>
  </si>
  <si>
    <t>omega</t>
  </si>
  <si>
    <t>Avap</t>
  </si>
  <si>
    <t>Bvap</t>
  </si>
  <si>
    <t>Asigma</t>
  </si>
  <si>
    <t>Bsigma</t>
  </si>
  <si>
    <t>W</t>
  </si>
  <si>
    <t>Tc</t>
  </si>
  <si>
    <t>Pc</t>
  </si>
  <si>
    <t>Vc</t>
  </si>
  <si>
    <t>rhoc</t>
  </si>
  <si>
    <t xml:space="preserve">-5.5447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</si>
</sst>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E+00"/>
    <numFmt numFmtId="167" formatCode="0.0000"/>
  </numFmts>
  <fonts count="9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2">
    <xf numFmtId="0" fontId="0" fillId="0" borderId="0" xfId="0"/>
    <xf numFmtId="0" fontId="2" fillId="2" borderId="2" xfId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11" fontId="3" fillId="4" borderId="6" xfId="0" applyNumberFormat="1" applyFont="1" applyFill="1" applyBorder="1"/>
    <xf numFmtId="166" fontId="4" fillId="4" borderId="5" xfId="0" applyNumberFormat="1" applyFont="1" applyFill="1" applyBorder="1" applyAlignment="1">
      <alignment vertical="center"/>
    </xf>
    <xf numFmtId="166" fontId="5" fillId="4" borderId="6" xfId="1" applyNumberFormat="1" applyFont="1" applyFill="1" applyBorder="1" applyAlignment="1">
      <alignment vertical="center"/>
    </xf>
    <xf numFmtId="167" fontId="3" fillId="4" borderId="5" xfId="0" applyNumberFormat="1" applyFont="1" applyFill="1" applyBorder="1" applyAlignment="1">
      <alignment vertical="top"/>
    </xf>
    <xf numFmtId="166" fontId="3" fillId="4" borderId="5" xfId="0" applyNumberFormat="1" applyFont="1" applyFill="1" applyBorder="1" applyAlignment="1">
      <alignment vertical="top"/>
    </xf>
    <xf numFmtId="166" fontId="4" fillId="4" borderId="5" xfId="0" applyNumberFormat="1" applyFont="1" applyFill="1" applyBorder="1"/>
    <xf numFmtId="166" fontId="4" fillId="4" borderId="6" xfId="0" applyNumberFormat="1" applyFont="1" applyFill="1" applyBorder="1"/>
    <xf numFmtId="11" fontId="3" fillId="4" borderId="4" xfId="0" applyNumberFormat="1" applyFont="1" applyFill="1" applyBorder="1" applyAlignment="1">
      <alignment vertical="center"/>
    </xf>
    <xf numFmtId="11" fontId="3" fillId="4" borderId="6" xfId="0" applyNumberFormat="1" applyFont="1" applyFill="1" applyBorder="1" applyAlignment="1">
      <alignment vertical="center"/>
    </xf>
    <xf numFmtId="167" fontId="3" fillId="4" borderId="5" xfId="0" applyNumberFormat="1" applyFont="1" applyFill="1" applyBorder="1" applyAlignment="1">
      <alignment vertical="center"/>
    </xf>
    <xf numFmtId="166" fontId="3" fillId="4" borderId="5" xfId="0" applyNumberFormat="1" applyFont="1" applyFill="1" applyBorder="1" applyAlignment="1">
      <alignment vertical="center"/>
    </xf>
    <xf numFmtId="166" fontId="4" fillId="4" borderId="6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vertical="center"/>
    </xf>
    <xf numFmtId="165" fontId="4" fillId="4" borderId="3" xfId="0" applyNumberFormat="1" applyFont="1" applyFill="1" applyBorder="1" applyAlignment="1">
      <alignment vertical="center"/>
    </xf>
    <xf numFmtId="11" fontId="3" fillId="4" borderId="3" xfId="0" applyNumberFormat="1" applyFont="1" applyFill="1" applyBorder="1" applyAlignment="1">
      <alignment vertical="center"/>
    </xf>
    <xf numFmtId="11" fontId="3" fillId="4" borderId="11" xfId="0" applyNumberFormat="1" applyFont="1" applyFill="1" applyBorder="1" applyAlignment="1">
      <alignment vertical="center"/>
    </xf>
    <xf numFmtId="166" fontId="4" fillId="4" borderId="10" xfId="0" applyNumberFormat="1" applyFont="1" applyFill="1" applyBorder="1" applyAlignment="1">
      <alignment vertical="center"/>
    </xf>
    <xf numFmtId="166" fontId="5" fillId="4" borderId="11" xfId="1" applyNumberFormat="1" applyFont="1" applyFill="1" applyBorder="1" applyAlignment="1">
      <alignment vertical="center"/>
    </xf>
    <xf numFmtId="167" fontId="3" fillId="4" borderId="10" xfId="0" applyNumberFormat="1" applyFont="1" applyFill="1" applyBorder="1" applyAlignment="1">
      <alignment vertical="center"/>
    </xf>
    <xf numFmtId="166" fontId="3" fillId="4" borderId="10" xfId="0" applyNumberFormat="1" applyFont="1" applyFill="1" applyBorder="1" applyAlignment="1">
      <alignment vertical="center"/>
    </xf>
    <xf numFmtId="166" fontId="3" fillId="4" borderId="11" xfId="0" applyNumberFormat="1" applyFont="1" applyFill="1" applyBorder="1" applyAlignment="1">
      <alignment vertical="center"/>
    </xf>
    <xf numFmtId="166" fontId="4" fillId="4" borderId="11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166" fontId="3" fillId="4" borderId="6" xfId="0" applyNumberFormat="1" applyFont="1" applyFill="1" applyBorder="1" applyAlignment="1">
      <alignment vertical="center"/>
    </xf>
    <xf numFmtId="165" fontId="5" fillId="4" borderId="4" xfId="2" applyNumberFormat="1" applyFont="1" applyFill="1" applyBorder="1" applyAlignment="1">
      <alignment vertical="center"/>
    </xf>
    <xf numFmtId="166" fontId="5" fillId="4" borderId="6" xfId="1" applyNumberFormat="1" applyFont="1" applyFill="1" applyBorder="1" applyAlignment="1">
      <alignment horizontal="center"/>
    </xf>
    <xf numFmtId="166" fontId="3" fillId="4" borderId="6" xfId="0" applyNumberFormat="1" applyFont="1" applyFill="1" applyBorder="1" applyAlignment="1">
      <alignment vertical="top"/>
    </xf>
    <xf numFmtId="0" fontId="4" fillId="0" borderId="0" xfId="0" applyFont="1"/>
    <xf numFmtId="11" fontId="3" fillId="4" borderId="4" xfId="0" applyNumberFormat="1" applyFont="1" applyFill="1" applyBorder="1" applyAlignment="1">
      <alignment horizontal="right"/>
    </xf>
    <xf numFmtId="11" fontId="7" fillId="4" borderId="4" xfId="2" applyNumberFormat="1" applyFont="1" applyFill="1" applyBorder="1" applyAlignment="1">
      <alignment horizontal="right" vertical="center"/>
    </xf>
    <xf numFmtId="166" fontId="7" fillId="4" borderId="5" xfId="0" applyNumberFormat="1" applyFont="1" applyFill="1" applyBorder="1" applyAlignment="1">
      <alignment vertical="center"/>
    </xf>
    <xf numFmtId="166" fontId="7" fillId="4" borderId="6" xfId="1" applyNumberFormat="1" applyFont="1" applyFill="1" applyBorder="1" applyAlignment="1">
      <alignment vertical="center"/>
    </xf>
    <xf numFmtId="11" fontId="7" fillId="4" borderId="4" xfId="0" applyNumberFormat="1" applyFont="1" applyFill="1" applyBorder="1" applyAlignment="1">
      <alignment horizontal="right"/>
    </xf>
    <xf numFmtId="11" fontId="5" fillId="4" borderId="4" xfId="2" applyNumberFormat="1" applyFont="1" applyFill="1" applyBorder="1" applyAlignment="1">
      <alignment horizontal="right" vertical="center"/>
    </xf>
    <xf numFmtId="2" fontId="2" fillId="3" borderId="2" xfId="0" applyNumberFormat="1" applyFont="1" applyFill="1" applyBorder="1" applyAlignment="1">
      <alignment horizontal="center"/>
    </xf>
    <xf numFmtId="2" fontId="3" fillId="4" borderId="3" xfId="0" applyNumberFormat="1" applyFont="1" applyFill="1" applyBorder="1" applyAlignment="1">
      <alignment vertical="center"/>
    </xf>
    <xf numFmtId="2" fontId="5" fillId="4" borderId="4" xfId="2" applyNumberFormat="1" applyFont="1" applyFill="1" applyBorder="1" applyAlignment="1">
      <alignment horizontal="right" vertical="center"/>
    </xf>
    <xf numFmtId="2" fontId="3" fillId="4" borderId="4" xfId="0" applyNumberFormat="1" applyFont="1" applyFill="1" applyBorder="1" applyAlignment="1">
      <alignment vertical="center"/>
    </xf>
    <xf numFmtId="2" fontId="7" fillId="4" borderId="4" xfId="2" applyNumberFormat="1" applyFont="1" applyFill="1" applyBorder="1" applyAlignment="1">
      <alignment horizontal="right" vertical="center"/>
    </xf>
    <xf numFmtId="2" fontId="7" fillId="4" borderId="4" xfId="0" applyNumberFormat="1" applyFont="1" applyFill="1" applyBorder="1" applyAlignment="1">
      <alignment vertical="center"/>
    </xf>
    <xf numFmtId="2" fontId="5" fillId="4" borderId="4" xfId="2" applyNumberFormat="1" applyFont="1" applyFill="1" applyBorder="1" applyAlignment="1">
      <alignment vertical="center"/>
    </xf>
    <xf numFmtId="2" fontId="3" fillId="4" borderId="4" xfId="0" applyNumberFormat="1" applyFont="1" applyFill="1" applyBorder="1"/>
    <xf numFmtId="2" fontId="4" fillId="0" borderId="0" xfId="0" applyNumberFormat="1" applyFont="1"/>
    <xf numFmtId="165" fontId="3" fillId="4" borderId="3" xfId="0" applyNumberFormat="1" applyFont="1" applyFill="1" applyBorder="1" applyAlignment="1">
      <alignment vertical="center"/>
    </xf>
    <xf numFmtId="165" fontId="5" fillId="4" borderId="4" xfId="2" applyNumberFormat="1" applyFont="1" applyFill="1" applyBorder="1" applyAlignment="1">
      <alignment horizontal="right" vertical="center"/>
    </xf>
    <xf numFmtId="165" fontId="3" fillId="4" borderId="4" xfId="0" applyNumberFormat="1" applyFont="1" applyFill="1" applyBorder="1" applyAlignment="1">
      <alignment vertical="center"/>
    </xf>
    <xf numFmtId="165" fontId="7" fillId="4" borderId="4" xfId="2" applyNumberFormat="1" applyFont="1" applyFill="1" applyBorder="1" applyAlignment="1">
      <alignment horizontal="right" vertical="center"/>
    </xf>
    <xf numFmtId="165" fontId="7" fillId="4" borderId="4" xfId="0" applyNumberFormat="1" applyFont="1" applyFill="1" applyBorder="1" applyAlignment="1">
      <alignment vertical="center"/>
    </xf>
    <xf numFmtId="165" fontId="3" fillId="4" borderId="4" xfId="0" applyNumberFormat="1" applyFont="1" applyFill="1" applyBorder="1"/>
    <xf numFmtId="165" fontId="4" fillId="0" borderId="0" xfId="0" applyNumberFormat="1" applyFont="1"/>
    <xf numFmtId="164" fontId="6" fillId="4" borderId="4" xfId="0" applyNumberFormat="1" applyFont="1" applyFill="1" applyBorder="1"/>
    <xf numFmtId="2" fontId="5" fillId="4" borderId="3" xfId="2" applyNumberFormat="1" applyFont="1" applyFill="1" applyBorder="1" applyAlignment="1">
      <alignment vertical="center"/>
    </xf>
    <xf numFmtId="2" fontId="5" fillId="4" borderId="4" xfId="2" applyNumberFormat="1" applyFont="1" applyFill="1" applyBorder="1"/>
    <xf numFmtId="2" fontId="5" fillId="4" borderId="6" xfId="2" applyNumberFormat="1" applyFont="1" applyFill="1" applyBorder="1"/>
    <xf numFmtId="2" fontId="4" fillId="4" borderId="4" xfId="0" applyNumberFormat="1" applyFont="1" applyFill="1" applyBorder="1" applyAlignment="1">
      <alignment vertical="center"/>
    </xf>
    <xf numFmtId="2" fontId="7" fillId="4" borderId="4" xfId="0" applyNumberFormat="1" applyFont="1" applyFill="1" applyBorder="1" applyAlignment="1">
      <alignment horizontal="right" vertical="center"/>
    </xf>
    <xf numFmtId="165" fontId="7" fillId="4" borderId="4" xfId="0" applyNumberFormat="1" applyFont="1" applyFill="1" applyBorder="1" applyAlignment="1">
      <alignment horizontal="right" vertical="center"/>
    </xf>
    <xf numFmtId="166" fontId="7" fillId="4" borderId="5" xfId="0" applyNumberFormat="1" applyFont="1" applyFill="1" applyBorder="1" applyAlignment="1">
      <alignment horizontal="right" vertical="center"/>
    </xf>
    <xf numFmtId="166" fontId="4" fillId="4" borderId="5" xfId="0" applyNumberFormat="1" applyFont="1" applyFill="1" applyBorder="1" applyAlignment="1">
      <alignment horizontal="right"/>
    </xf>
    <xf numFmtId="166" fontId="4" fillId="4" borderId="5" xfId="0" applyNumberFormat="1" applyFont="1" applyFill="1" applyBorder="1" applyAlignment="1">
      <alignment horizontal="right" vertical="center"/>
    </xf>
    <xf numFmtId="11" fontId="7" fillId="4" borderId="4" xfId="0" applyNumberFormat="1" applyFont="1" applyFill="1" applyBorder="1" applyAlignment="1">
      <alignment horizontal="right" vertical="center"/>
    </xf>
    <xf numFmtId="2" fontId="7" fillId="4" borderId="4" xfId="0" applyNumberFormat="1" applyFont="1" applyFill="1" applyBorder="1" applyAlignment="1">
      <alignment horizontal="right"/>
    </xf>
    <xf numFmtId="164" fontId="4" fillId="0" borderId="4" xfId="0" applyNumberFormat="1" applyFont="1" applyBorder="1"/>
    <xf numFmtId="164" fontId="4" fillId="0" borderId="0" xfId="0" applyNumberFormat="1" applyFont="1"/>
    <xf numFmtId="11" fontId="2" fillId="3" borderId="2" xfId="0" applyNumberFormat="1" applyFont="1" applyFill="1" applyBorder="1" applyAlignment="1">
      <alignment horizontal="center"/>
    </xf>
    <xf numFmtId="11" fontId="4" fillId="0" borderId="0" xfId="0" applyNumberFormat="1" applyFont="1"/>
    <xf numFmtId="167" fontId="2" fillId="3" borderId="7" xfId="0" applyNumberFormat="1" applyFont="1" applyFill="1" applyBorder="1" applyAlignment="1">
      <alignment horizontal="center"/>
    </xf>
    <xf numFmtId="167" fontId="3" fillId="4" borderId="9" xfId="0" applyNumberFormat="1" applyFont="1" applyFill="1" applyBorder="1" applyAlignment="1">
      <alignment vertical="center"/>
    </xf>
    <xf numFmtId="167" fontId="3" fillId="4" borderId="12" xfId="0" applyNumberFormat="1" applyFont="1" applyFill="1" applyBorder="1" applyAlignment="1">
      <alignment vertical="center"/>
    </xf>
    <xf numFmtId="167" fontId="3" fillId="4" borderId="12" xfId="0" applyNumberFormat="1" applyFont="1" applyFill="1" applyBorder="1"/>
    <xf numFmtId="167" fontId="4" fillId="4" borderId="12" xfId="0" applyNumberFormat="1" applyFont="1" applyFill="1" applyBorder="1" applyAlignment="1">
      <alignment vertical="center"/>
    </xf>
    <xf numFmtId="167" fontId="4" fillId="0" borderId="0" xfId="0" applyNumberFormat="1" applyFont="1"/>
    <xf numFmtId="2" fontId="2" fillId="3" borderId="8" xfId="0" applyNumberFormat="1" applyFont="1" applyFill="1" applyBorder="1" applyAlignment="1">
      <alignment horizontal="center"/>
    </xf>
    <xf numFmtId="2" fontId="3" fillId="4" borderId="10" xfId="0" applyNumberFormat="1" applyFont="1" applyFill="1" applyBorder="1" applyAlignment="1">
      <alignment vertical="center"/>
    </xf>
    <xf numFmtId="2" fontId="3" fillId="4" borderId="5" xfId="0" applyNumberFormat="1" applyFont="1" applyFill="1" applyBorder="1" applyAlignment="1">
      <alignment vertical="center"/>
    </xf>
    <xf numFmtId="2" fontId="3" fillId="4" borderId="5" xfId="0" applyNumberFormat="1" applyFont="1" applyFill="1" applyBorder="1"/>
    <xf numFmtId="2" fontId="4" fillId="4" borderId="5" xfId="0" applyNumberFormat="1" applyFont="1" applyFill="1" applyBorder="1" applyAlignment="1">
      <alignment vertical="center"/>
    </xf>
    <xf numFmtId="167" fontId="2" fillId="3" borderId="8" xfId="0" applyNumberFormat="1" applyFont="1" applyFill="1" applyBorder="1" applyAlignment="1">
      <alignment horizontal="center"/>
    </xf>
    <xf numFmtId="167" fontId="3" fillId="4" borderId="5" xfId="0" applyNumberFormat="1" applyFont="1" applyFill="1" applyBorder="1"/>
    <xf numFmtId="167" fontId="4" fillId="4" borderId="5" xfId="0" applyNumberFormat="1" applyFont="1" applyFill="1" applyBorder="1" applyAlignment="1">
      <alignment vertical="center"/>
    </xf>
    <xf numFmtId="11" fontId="2" fillId="3" borderId="1" xfId="0" applyNumberFormat="1" applyFont="1" applyFill="1" applyBorder="1" applyAlignment="1">
      <alignment horizontal="center"/>
    </xf>
    <xf numFmtId="11" fontId="4" fillId="4" borderId="6" xfId="0" applyNumberFormat="1" applyFont="1" applyFill="1" applyBorder="1" applyAlignment="1">
      <alignment vertical="center"/>
    </xf>
    <xf numFmtId="167" fontId="2" fillId="3" borderId="1" xfId="0" applyNumberFormat="1" applyFont="1" applyFill="1" applyBorder="1" applyAlignment="1">
      <alignment horizontal="center"/>
    </xf>
    <xf numFmtId="167" fontId="5" fillId="4" borderId="9" xfId="2" applyNumberFormat="1" applyFont="1" applyFill="1" applyBorder="1" applyAlignment="1">
      <alignment vertical="center"/>
    </xf>
    <xf numFmtId="167" fontId="5" fillId="4" borderId="10" xfId="2" applyNumberFormat="1" applyFont="1" applyFill="1" applyBorder="1" applyAlignment="1">
      <alignment vertical="center"/>
    </xf>
    <xf numFmtId="167" fontId="5" fillId="4" borderId="11" xfId="2" applyNumberFormat="1" applyFont="1" applyFill="1" applyBorder="1" applyAlignment="1">
      <alignment vertical="center"/>
    </xf>
    <xf numFmtId="167" fontId="5" fillId="4" borderId="12" xfId="2" applyNumberFormat="1" applyFont="1" applyFill="1" applyBorder="1" applyAlignment="1">
      <alignment vertical="center"/>
    </xf>
    <xf numFmtId="167" fontId="5" fillId="4" borderId="5" xfId="2" applyNumberFormat="1" applyFont="1" applyFill="1" applyBorder="1" applyAlignment="1">
      <alignment vertical="center"/>
    </xf>
    <xf numFmtId="167" fontId="5" fillId="4" borderId="6" xfId="2" applyNumberFormat="1" applyFont="1" applyFill="1" applyBorder="1" applyAlignment="1">
      <alignment vertical="center"/>
    </xf>
    <xf numFmtId="167" fontId="5" fillId="4" borderId="12" xfId="2" applyNumberFormat="1" applyFont="1" applyFill="1" applyBorder="1"/>
    <xf numFmtId="167" fontId="5" fillId="4" borderId="5" xfId="2" applyNumberFormat="1" applyFont="1" applyFill="1" applyBorder="1"/>
    <xf numFmtId="167" fontId="5" fillId="4" borderId="6" xfId="2" applyNumberFormat="1" applyFont="1" applyFill="1" applyBorder="1"/>
    <xf numFmtId="167" fontId="7" fillId="4" borderId="12" xfId="2" applyNumberFormat="1" applyFont="1" applyFill="1" applyBorder="1" applyAlignment="1">
      <alignment horizontal="right" vertical="center"/>
    </xf>
    <xf numFmtId="167" fontId="7" fillId="4" borderId="5" xfId="2" applyNumberFormat="1" applyFont="1" applyFill="1" applyBorder="1" applyAlignment="1">
      <alignment horizontal="right" vertical="center"/>
    </xf>
    <xf numFmtId="167" fontId="7" fillId="6" borderId="6" xfId="0" applyNumberFormat="1" applyFont="1" applyFill="1" applyBorder="1" applyAlignment="1">
      <alignment horizontal="right" vertical="center"/>
    </xf>
    <xf numFmtId="167" fontId="5" fillId="4" borderId="12" xfId="2" applyNumberFormat="1" applyFont="1" applyFill="1" applyBorder="1" applyAlignment="1">
      <alignment horizontal="right" vertical="center"/>
    </xf>
    <xf numFmtId="167" fontId="5" fillId="4" borderId="5" xfId="2" applyNumberFormat="1" applyFont="1" applyFill="1" applyBorder="1" applyAlignment="1">
      <alignment horizontal="right" vertical="center"/>
    </xf>
    <xf numFmtId="167" fontId="5" fillId="6" borderId="6" xfId="0" applyNumberFormat="1" applyFont="1" applyFill="1" applyBorder="1" applyAlignment="1">
      <alignment horizontal="right" vertical="center"/>
    </xf>
    <xf numFmtId="167" fontId="7" fillId="4" borderId="6" xfId="2" applyNumberFormat="1" applyFont="1" applyFill="1" applyBorder="1" applyAlignment="1">
      <alignment horizontal="right" vertical="center"/>
    </xf>
    <xf numFmtId="167" fontId="7" fillId="4" borderId="5" xfId="2" applyNumberFormat="1" applyFont="1" applyFill="1" applyBorder="1" applyAlignment="1">
      <alignment vertical="center"/>
    </xf>
    <xf numFmtId="167" fontId="7" fillId="4" borderId="6" xfId="2" applyNumberFormat="1" applyFont="1" applyFill="1" applyBorder="1" applyAlignment="1">
      <alignment vertical="center"/>
    </xf>
    <xf numFmtId="167" fontId="5" fillId="4" borderId="14" xfId="2" applyNumberFormat="1" applyFont="1" applyFill="1" applyBorder="1" applyAlignment="1">
      <alignment vertical="center"/>
    </xf>
    <xf numFmtId="167" fontId="4" fillId="4" borderId="6" xfId="0" applyNumberFormat="1" applyFont="1" applyFill="1" applyBorder="1" applyAlignment="1">
      <alignment vertical="center"/>
    </xf>
    <xf numFmtId="167" fontId="5" fillId="4" borderId="9" xfId="1" applyNumberFormat="1" applyFont="1" applyFill="1" applyBorder="1" applyAlignment="1">
      <alignment vertical="center"/>
    </xf>
    <xf numFmtId="167" fontId="5" fillId="4" borderId="12" xfId="1" applyNumberFormat="1" applyFont="1" applyFill="1" applyBorder="1" applyAlignment="1">
      <alignment vertical="center"/>
    </xf>
    <xf numFmtId="167" fontId="5" fillId="4" borderId="12" xfId="1" applyNumberFormat="1" applyFont="1" applyFill="1" applyBorder="1" applyAlignment="1">
      <alignment horizontal="right" vertical="center"/>
    </xf>
    <xf numFmtId="167" fontId="7" fillId="4" borderId="12" xfId="1" applyNumberFormat="1" applyFont="1" applyFill="1" applyBorder="1" applyAlignment="1">
      <alignment horizontal="right" vertical="center"/>
    </xf>
    <xf numFmtId="167" fontId="5" fillId="4" borderId="12" xfId="1" applyNumberFormat="1" applyFont="1" applyFill="1" applyBorder="1"/>
    <xf numFmtId="167" fontId="7" fillId="4" borderId="12" xfId="1" applyNumberFormat="1" applyFont="1" applyFill="1" applyBorder="1" applyAlignment="1">
      <alignment horizontal="right"/>
    </xf>
    <xf numFmtId="167" fontId="8" fillId="4" borderId="12" xfId="1" applyNumberFormat="1" applyFont="1" applyFill="1" applyBorder="1"/>
    <xf numFmtId="2" fontId="5" fillId="4" borderId="10" xfId="1" applyNumberFormat="1" applyFont="1" applyFill="1" applyBorder="1" applyAlignment="1">
      <alignment vertical="center"/>
    </xf>
    <xf numFmtId="2" fontId="5" fillId="4" borderId="5" xfId="1" applyNumberFormat="1" applyFont="1" applyFill="1" applyBorder="1" applyAlignment="1">
      <alignment vertical="center"/>
    </xf>
    <xf numFmtId="2" fontId="7" fillId="4" borderId="5" xfId="1" applyNumberFormat="1" applyFont="1" applyFill="1" applyBorder="1" applyAlignment="1">
      <alignment vertical="center"/>
    </xf>
    <xf numFmtId="2" fontId="5" fillId="4" borderId="5" xfId="1" applyNumberFormat="1" applyFont="1" applyFill="1" applyBorder="1"/>
    <xf numFmtId="2" fontId="7" fillId="4" borderId="5" xfId="1" applyNumberFormat="1" applyFont="1" applyFill="1" applyBorder="1" applyAlignment="1">
      <alignment horizontal="right" vertical="center"/>
    </xf>
    <xf numFmtId="2" fontId="7" fillId="4" borderId="5" xfId="1" applyNumberFormat="1" applyFont="1" applyFill="1" applyBorder="1"/>
    <xf numFmtId="2" fontId="8" fillId="4" borderId="5" xfId="1" applyNumberFormat="1" applyFont="1" applyFill="1" applyBorder="1"/>
    <xf numFmtId="167" fontId="5" fillId="4" borderId="10" xfId="1" applyNumberFormat="1" applyFont="1" applyFill="1" applyBorder="1" applyAlignment="1">
      <alignment vertical="center"/>
    </xf>
    <xf numFmtId="167" fontId="5" fillId="4" borderId="5" xfId="1" applyNumberFormat="1" applyFont="1" applyFill="1" applyBorder="1" applyAlignment="1">
      <alignment vertical="center"/>
    </xf>
    <xf numFmtId="167" fontId="7" fillId="4" borderId="5" xfId="1" applyNumberFormat="1" applyFont="1" applyFill="1" applyBorder="1" applyAlignment="1">
      <alignment vertical="center"/>
    </xf>
    <xf numFmtId="167" fontId="5" fillId="4" borderId="5" xfId="1" applyNumberFormat="1" applyFont="1" applyFill="1" applyBorder="1"/>
    <xf numFmtId="167" fontId="7" fillId="4" borderId="5" xfId="1" applyNumberFormat="1" applyFont="1" applyFill="1" applyBorder="1" applyAlignment="1">
      <alignment horizontal="right" vertical="center"/>
    </xf>
    <xf numFmtId="167" fontId="7" fillId="4" borderId="5" xfId="1" applyNumberFormat="1" applyFont="1" applyFill="1" applyBorder="1"/>
    <xf numFmtId="167" fontId="8" fillId="4" borderId="5" xfId="1" applyNumberFormat="1" applyFont="1" applyFill="1" applyBorder="1"/>
    <xf numFmtId="166" fontId="2" fillId="3" borderId="8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6" fontId="7" fillId="4" borderId="6" xfId="0" applyNumberFormat="1" applyFont="1" applyFill="1" applyBorder="1" applyAlignment="1">
      <alignment vertical="center"/>
    </xf>
    <xf numFmtId="166" fontId="7" fillId="4" borderId="13" xfId="0" applyNumberFormat="1" applyFont="1" applyFill="1" applyBorder="1" applyAlignment="1">
      <alignment vertical="center"/>
    </xf>
    <xf numFmtId="166" fontId="4" fillId="0" borderId="0" xfId="0" applyNumberFormat="1" applyFont="1"/>
    <xf numFmtId="165" fontId="2" fillId="3" borderId="7" xfId="0" applyNumberFormat="1" applyFont="1" applyFill="1" applyBorder="1" applyAlignment="1">
      <alignment horizontal="center"/>
    </xf>
    <xf numFmtId="165" fontId="3" fillId="4" borderId="9" xfId="0" applyNumberFormat="1" applyFont="1" applyFill="1" applyBorder="1" applyAlignment="1">
      <alignment vertical="center"/>
    </xf>
    <xf numFmtId="165" fontId="3" fillId="4" borderId="12" xfId="0" applyNumberFormat="1" applyFont="1" applyFill="1" applyBorder="1" applyAlignment="1">
      <alignment vertical="center"/>
    </xf>
    <xf numFmtId="165" fontId="3" fillId="4" borderId="12" xfId="0" applyNumberFormat="1" applyFont="1" applyFill="1" applyBorder="1" applyAlignment="1">
      <alignment vertical="top"/>
    </xf>
    <xf numFmtId="167" fontId="4" fillId="4" borderId="9" xfId="0" applyNumberFormat="1" applyFont="1" applyFill="1" applyBorder="1" applyAlignment="1">
      <alignment vertical="center"/>
    </xf>
    <xf numFmtId="167" fontId="4" fillId="4" borderId="12" xfId="0" applyNumberFormat="1" applyFont="1" applyFill="1" applyBorder="1"/>
    <xf numFmtId="165" fontId="2" fillId="3" borderId="8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5" fillId="4" borderId="9" xfId="1" applyNumberFormat="1" applyFont="1" applyFill="1" applyBorder="1"/>
    <xf numFmtId="165" fontId="5" fillId="4" borderId="11" xfId="1" applyNumberFormat="1" applyFont="1" applyFill="1" applyBorder="1"/>
    <xf numFmtId="165" fontId="5" fillId="4" borderId="12" xfId="1" applyNumberFormat="1" applyFont="1" applyFill="1" applyBorder="1"/>
    <xf numFmtId="165" fontId="5" fillId="4" borderId="6" xfId="1" applyNumberFormat="1" applyFont="1" applyFill="1" applyBorder="1"/>
    <xf numFmtId="165" fontId="5" fillId="5" borderId="12" xfId="0" applyNumberFormat="1" applyFont="1" applyFill="1" applyBorder="1"/>
    <xf numFmtId="165" fontId="4" fillId="4" borderId="9" xfId="0" applyNumberFormat="1" applyFont="1" applyFill="1" applyBorder="1"/>
    <xf numFmtId="165" fontId="4" fillId="4" borderId="12" xfId="0" applyNumberFormat="1" applyFont="1" applyFill="1" applyBorder="1"/>
    <xf numFmtId="167" fontId="4" fillId="4" borderId="11" xfId="0" applyNumberFormat="1" applyFont="1" applyFill="1" applyBorder="1"/>
    <xf numFmtId="167" fontId="4" fillId="4" borderId="6" xfId="0" applyNumberFormat="1" applyFont="1" applyFill="1" applyBorder="1"/>
    <xf numFmtId="167" fontId="3" fillId="4" borderId="12" xfId="0" quotePrefix="1" applyNumberFormat="1" applyFont="1" applyFill="1" applyBorder="1" applyAlignment="1">
      <alignment horizontal="right" vertical="center"/>
    </xf>
    <xf numFmtId="165" fontId="4" fillId="4" borderId="12" xfId="0" applyNumberFormat="1" applyFont="1" applyFill="1" applyBorder="1" applyAlignment="1">
      <alignment horizontal="right"/>
    </xf>
    <xf numFmtId="165" fontId="7" fillId="4" borderId="12" xfId="0" applyNumberFormat="1" applyFont="1" applyFill="1" applyBorder="1" applyAlignment="1">
      <alignment horizontal="right" vertical="center"/>
    </xf>
    <xf numFmtId="167" fontId="7" fillId="4" borderId="5" xfId="0" applyNumberFormat="1" applyFont="1" applyFill="1" applyBorder="1" applyAlignment="1">
      <alignment horizontal="right" vertical="center"/>
    </xf>
    <xf numFmtId="166" fontId="7" fillId="4" borderId="6" xfId="0" applyNumberFormat="1" applyFont="1" applyFill="1" applyBorder="1" applyAlignment="1">
      <alignment horizontal="right" vertical="center"/>
    </xf>
    <xf numFmtId="167" fontId="7" fillId="4" borderId="12" xfId="0" applyNumberFormat="1" applyFont="1" applyFill="1" applyBorder="1" applyAlignment="1">
      <alignment horizontal="right" vertical="center"/>
    </xf>
    <xf numFmtId="165" fontId="7" fillId="4" borderId="12" xfId="1" applyNumberFormat="1" applyFont="1" applyFill="1" applyBorder="1" applyAlignment="1">
      <alignment horizontal="right"/>
    </xf>
    <xf numFmtId="165" fontId="7" fillId="4" borderId="6" xfId="1" applyNumberFormat="1" applyFont="1" applyFill="1" applyBorder="1" applyAlignment="1">
      <alignment horizontal="right"/>
    </xf>
    <xf numFmtId="164" fontId="4" fillId="0" borderId="3" xfId="0" applyNumberFormat="1" applyFont="1" applyBorder="1"/>
  </cellXfs>
  <cellStyles count="3">
    <cellStyle name="Normal_Sheet1 2" xfId="1" xr:uid="{9ED38F30-77C2-7045-A62D-977C61D25995}"/>
    <cellStyle name="Normal_Sheet1_1" xfId="2" xr:uid="{A96E5C0A-B514-3B4A-9B26-CB63987772FA}"/>
    <cellStyle name="Normale" xfId="0" builtinId="0"/>
  </cellStyles>
  <dxfs count="0"/>
  <tableStyles count="0" defaultTableStyle="TableStyleMedium2" defaultPivotStyle="PivotStyleLight16"/>
  <colors>
    <mruColors>
      <color rgb="FFFF8AD9"/>
      <color rgb="FF7A81FF"/>
      <color rgb="FF75D7FF"/>
      <color rgb="FFD6FD78"/>
      <color rgb="FF4E8F00"/>
      <color rgb="FFFF2500"/>
      <color rgb="FF0096FF"/>
      <color rgb="FFFFFD78"/>
      <color rgb="FFFF41FF"/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3D02-3E7D-6547-82A9-D6538EA1F8EE}">
  <dimension ref="A1:AG686"/>
  <sheetViews>
    <sheetView tabSelected="1" topLeftCell="A669" zoomScale="140" zoomScaleNormal="140" workbookViewId="0">
      <selection activeCell="B681" sqref="B681"/>
    </sheetView>
  </sheetViews>
  <sheetFormatPr baseColWidth="10" defaultRowHeight="16" x14ac:dyDescent="0.2"/>
  <cols>
    <col min="1" max="1" width="4.1640625" style="34" customWidth="1"/>
    <col min="2" max="3" width="18.33203125" style="70" customWidth="1"/>
    <col min="4" max="4" width="14.83203125" style="56" customWidth="1"/>
    <col min="5" max="6" width="15" style="49" customWidth="1"/>
    <col min="7" max="7" width="14.83203125" style="72" customWidth="1"/>
    <col min="8" max="8" width="14.83203125" style="49" customWidth="1"/>
    <col min="9" max="10" width="14.83203125" style="56" customWidth="1"/>
    <col min="11" max="11" width="14.83203125" style="78" customWidth="1"/>
    <col min="12" max="12" width="14.83203125" style="49" customWidth="1"/>
    <col min="13" max="13" width="14.83203125" style="78" customWidth="1"/>
    <col min="14" max="14" width="14.83203125" style="72" customWidth="1"/>
    <col min="15" max="18" width="14.83203125" style="78" customWidth="1"/>
    <col min="19" max="19" width="14.83203125" style="49" customWidth="1"/>
    <col min="20" max="20" width="14.83203125" style="78" customWidth="1"/>
    <col min="21" max="22" width="14.83203125" style="135" customWidth="1"/>
    <col min="23" max="23" width="14.83203125" style="56" customWidth="1"/>
    <col min="24" max="24" width="14.83203125" style="78" customWidth="1"/>
    <col min="25" max="26" width="14.83203125" style="135" customWidth="1"/>
    <col min="27" max="27" width="14.83203125" style="78" customWidth="1"/>
    <col min="28" max="28" width="15" style="135" customWidth="1"/>
    <col min="29" max="29" width="14.83203125" style="135" customWidth="1"/>
    <col min="30" max="32" width="14.83203125" style="56" customWidth="1"/>
    <col min="33" max="33" width="14.83203125" style="78" customWidth="1"/>
    <col min="34" max="16384" width="10.83203125" style="34"/>
  </cols>
  <sheetData>
    <row r="1" spans="1:33" ht="17" thickBot="1" x14ac:dyDescent="0.25">
      <c r="A1" s="1" t="s">
        <v>0</v>
      </c>
      <c r="B1" s="2" t="s">
        <v>1</v>
      </c>
      <c r="C1" s="2" t="s">
        <v>2</v>
      </c>
      <c r="D1" s="3" t="s">
        <v>28</v>
      </c>
      <c r="E1" s="41" t="s">
        <v>29</v>
      </c>
      <c r="F1" s="41" t="s">
        <v>30</v>
      </c>
      <c r="G1" s="71" t="s">
        <v>31</v>
      </c>
      <c r="H1" s="41" t="s">
        <v>32</v>
      </c>
      <c r="I1" s="3" t="s">
        <v>3</v>
      </c>
      <c r="J1" s="3" t="s">
        <v>23</v>
      </c>
      <c r="K1" s="73" t="s">
        <v>4</v>
      </c>
      <c r="L1" s="79" t="s">
        <v>5</v>
      </c>
      <c r="M1" s="84" t="s">
        <v>6</v>
      </c>
      <c r="N1" s="87" t="s">
        <v>7</v>
      </c>
      <c r="O1" s="73" t="s">
        <v>8</v>
      </c>
      <c r="P1" s="84" t="s">
        <v>9</v>
      </c>
      <c r="Q1" s="89" t="s">
        <v>10</v>
      </c>
      <c r="R1" s="73" t="s">
        <v>11</v>
      </c>
      <c r="S1" s="79" t="s">
        <v>12</v>
      </c>
      <c r="T1" s="84" t="s">
        <v>13</v>
      </c>
      <c r="U1" s="131" t="s">
        <v>14</v>
      </c>
      <c r="V1" s="132" t="s">
        <v>15</v>
      </c>
      <c r="W1" s="136" t="s">
        <v>16</v>
      </c>
      <c r="X1" s="84" t="s">
        <v>17</v>
      </c>
      <c r="Y1" s="131" t="s">
        <v>18</v>
      </c>
      <c r="Z1" s="132" t="s">
        <v>19</v>
      </c>
      <c r="AA1" s="73" t="s">
        <v>20</v>
      </c>
      <c r="AB1" s="131" t="s">
        <v>21</v>
      </c>
      <c r="AC1" s="132" t="s">
        <v>22</v>
      </c>
      <c r="AD1" s="142" t="s">
        <v>24</v>
      </c>
      <c r="AE1" s="143" t="s">
        <v>25</v>
      </c>
      <c r="AF1" s="142" t="s">
        <v>26</v>
      </c>
      <c r="AG1" s="89" t="s">
        <v>27</v>
      </c>
    </row>
    <row r="2" spans="1:33" x14ac:dyDescent="0.2">
      <c r="A2" s="16">
        <v>7</v>
      </c>
      <c r="B2" s="161">
        <v>5.4445870462499997</v>
      </c>
      <c r="C2" s="17">
        <f t="shared" ref="C2:C9" si="0">(B2-MIN($B$2:$B$9))/(MAX($B$2:$B$9)-MIN($B$2:$B$9))</f>
        <v>0.55796085140892748</v>
      </c>
      <c r="D2" s="18">
        <v>100.20399999999999</v>
      </c>
      <c r="E2" s="58">
        <v>536.4</v>
      </c>
      <c r="F2" s="42">
        <v>29.46</v>
      </c>
      <c r="G2" s="19">
        <v>4.1399999999999998E-4</v>
      </c>
      <c r="H2" s="42">
        <f>1/LEFT(G2,8)*D2/1000</f>
        <v>242.03864734299515</v>
      </c>
      <c r="I2" s="50">
        <f>LEFT(F2,5)*100000/(H2*8.314/(D2/1000)*E2)</f>
        <v>0.27348549305529768</v>
      </c>
      <c r="J2" s="50">
        <v>0.26700000000000002</v>
      </c>
      <c r="K2" s="74">
        <v>-4.1595000000000004</v>
      </c>
      <c r="L2" s="80">
        <v>577.92999999999995</v>
      </c>
      <c r="M2" s="23">
        <v>9.4000000000000004E-3</v>
      </c>
      <c r="N2" s="20">
        <v>-1.1521E-5</v>
      </c>
      <c r="O2" s="90">
        <v>0.24790000000000001</v>
      </c>
      <c r="P2" s="91">
        <v>0.27010000000000001</v>
      </c>
      <c r="Q2" s="92">
        <v>0.30840000000000001</v>
      </c>
      <c r="R2" s="110">
        <v>30.257000000000001</v>
      </c>
      <c r="S2" s="117">
        <v>-2631.3</v>
      </c>
      <c r="T2" s="124">
        <v>-7.9839000000000002</v>
      </c>
      <c r="U2" s="21">
        <v>4.6848000000000004E-13</v>
      </c>
      <c r="V2" s="22">
        <v>2.717E-6</v>
      </c>
      <c r="W2" s="137">
        <v>118.69199999999999</v>
      </c>
      <c r="X2" s="23">
        <v>0.60251999999999994</v>
      </c>
      <c r="Y2" s="24">
        <v>-1.934E-3</v>
      </c>
      <c r="Z2" s="25">
        <v>3.0327000000000002E-6</v>
      </c>
      <c r="AA2" s="140">
        <v>0.19320000000000001</v>
      </c>
      <c r="AB2" s="21">
        <v>-1.2574999999999999E-4</v>
      </c>
      <c r="AC2" s="26">
        <v>-2.8789999999999998E-7</v>
      </c>
      <c r="AD2" s="144">
        <v>45.35</v>
      </c>
      <c r="AE2" s="145">
        <v>0.38100000000000001</v>
      </c>
      <c r="AF2" s="149">
        <v>51.57</v>
      </c>
      <c r="AG2" s="151">
        <v>1.2257</v>
      </c>
    </row>
    <row r="3" spans="1:33" x14ac:dyDescent="0.2">
      <c r="A3" s="27">
        <v>7</v>
      </c>
      <c r="B3" s="69">
        <v>6.5716252199999996</v>
      </c>
      <c r="C3" s="28">
        <f t="shared" si="0"/>
        <v>0.70845523512864794</v>
      </c>
      <c r="D3" s="29">
        <v>100.20399999999999</v>
      </c>
      <c r="E3" s="47">
        <v>520.5</v>
      </c>
      <c r="F3" s="44">
        <v>27.73</v>
      </c>
      <c r="G3" s="11">
        <v>4.1599999999999997E-4</v>
      </c>
      <c r="H3" s="44">
        <f t="shared" ref="H3:H66" si="1">1/LEFT(G3,8)*D3/1000</f>
        <v>240.87499999999997</v>
      </c>
      <c r="I3" s="52">
        <f t="shared" ref="I3:I66" si="2">LEFT(F3,5)*100000/(H3*8.314/(D3/1000)*E3)</f>
        <v>0.26657072072915217</v>
      </c>
      <c r="J3" s="52">
        <v>0.28799999999999998</v>
      </c>
      <c r="K3" s="75">
        <v>-0.1129</v>
      </c>
      <c r="L3" s="81">
        <v>39.645000000000003</v>
      </c>
      <c r="M3" s="13">
        <v>-5.0000000000000001E-4</v>
      </c>
      <c r="N3" s="12">
        <v>-4.0547000000000003E-6</v>
      </c>
      <c r="O3" s="93">
        <v>0.24510000000000001</v>
      </c>
      <c r="P3" s="94">
        <v>0.2767</v>
      </c>
      <c r="Q3" s="95">
        <v>0.28299999999999997</v>
      </c>
      <c r="R3" s="111">
        <v>6.2874999999999996</v>
      </c>
      <c r="S3" s="118">
        <v>-2168.1999999999998</v>
      </c>
      <c r="T3" s="125">
        <v>2.6936</v>
      </c>
      <c r="U3" s="5">
        <v>-1.5525000000000001E-2</v>
      </c>
      <c r="V3" s="6">
        <v>1.0917000000000001E-5</v>
      </c>
      <c r="W3" s="138">
        <v>115.05200000000001</v>
      </c>
      <c r="X3" s="13">
        <v>0.65773999999999999</v>
      </c>
      <c r="Y3" s="14">
        <v>-2.1697999999999999E-3</v>
      </c>
      <c r="Z3" s="30">
        <v>3.3303000000000001E-6</v>
      </c>
      <c r="AA3" s="77">
        <v>0.19400000000000001</v>
      </c>
      <c r="AB3" s="5">
        <v>-1.2396999999999999E-4</v>
      </c>
      <c r="AC3" s="15">
        <v>-3.1777999999999998E-7</v>
      </c>
      <c r="AD3" s="146">
        <v>44.802</v>
      </c>
      <c r="AE3" s="147">
        <v>0.377</v>
      </c>
      <c r="AF3" s="150">
        <v>49.26</v>
      </c>
      <c r="AG3" s="152">
        <v>1.2150000000000001</v>
      </c>
    </row>
    <row r="4" spans="1:33" x14ac:dyDescent="0.2">
      <c r="A4" s="27">
        <v>7</v>
      </c>
      <c r="B4" s="69">
        <v>5.3631582900000003</v>
      </c>
      <c r="C4" s="28">
        <f t="shared" si="0"/>
        <v>0.54708759904327586</v>
      </c>
      <c r="D4" s="29">
        <v>100.20399999999999</v>
      </c>
      <c r="E4" s="47">
        <v>519.79</v>
      </c>
      <c r="F4" s="44">
        <v>27.37</v>
      </c>
      <c r="G4" s="11">
        <v>4.1800000000000002E-4</v>
      </c>
      <c r="H4" s="44">
        <f t="shared" si="1"/>
        <v>239.72248803827748</v>
      </c>
      <c r="I4" s="52">
        <f t="shared" si="2"/>
        <v>0.26473608309360408</v>
      </c>
      <c r="J4" s="52">
        <v>0.30199999999999999</v>
      </c>
      <c r="K4" s="75">
        <v>0.47799999999999998</v>
      </c>
      <c r="L4" s="81">
        <v>-34.542999999999999</v>
      </c>
      <c r="M4" s="13">
        <v>-1.9E-3</v>
      </c>
      <c r="N4" s="12">
        <v>-2.9195000000000002E-6</v>
      </c>
      <c r="O4" s="93">
        <v>0.23960000000000001</v>
      </c>
      <c r="P4" s="94">
        <v>0.27529999999999999</v>
      </c>
      <c r="Q4" s="95">
        <v>0.26950000000000002</v>
      </c>
      <c r="R4" s="111">
        <v>35.944000000000003</v>
      </c>
      <c r="S4" s="118">
        <v>-2846</v>
      </c>
      <c r="T4" s="125">
        <v>-9.9938000000000002</v>
      </c>
      <c r="U4" s="5">
        <v>8.0692999999999995E-11</v>
      </c>
      <c r="V4" s="6">
        <v>3.6418999999999998E-6</v>
      </c>
      <c r="W4" s="138">
        <v>118.526</v>
      </c>
      <c r="X4" s="13">
        <v>0.70060999999999996</v>
      </c>
      <c r="Y4" s="14">
        <v>-2.3161000000000002E-3</v>
      </c>
      <c r="Z4" s="30">
        <v>3.4981E-6</v>
      </c>
      <c r="AA4" s="77">
        <v>0.1709</v>
      </c>
      <c r="AB4" s="5">
        <v>-1.2176E-4</v>
      </c>
      <c r="AC4" s="15">
        <v>-3.2445999999999998E-7</v>
      </c>
      <c r="AD4" s="146">
        <v>46.86</v>
      </c>
      <c r="AE4" s="147">
        <v>0.39700000000000002</v>
      </c>
      <c r="AF4" s="150">
        <v>49.067999999999998</v>
      </c>
      <c r="AG4" s="152">
        <v>1.2001999999999999</v>
      </c>
    </row>
    <row r="5" spans="1:33" x14ac:dyDescent="0.2">
      <c r="A5" s="27">
        <v>7</v>
      </c>
      <c r="B5" s="69">
        <v>4.3431078950000002</v>
      </c>
      <c r="C5" s="28">
        <f t="shared" si="0"/>
        <v>0.41087938610599639</v>
      </c>
      <c r="D5" s="29">
        <v>100.20399999999999</v>
      </c>
      <c r="E5" s="47">
        <v>537.35</v>
      </c>
      <c r="F5" s="44">
        <v>29.08</v>
      </c>
      <c r="G5" s="11">
        <v>3.9300000000000001E-4</v>
      </c>
      <c r="H5" s="44">
        <f t="shared" si="1"/>
        <v>254.97201017811702</v>
      </c>
      <c r="I5" s="52">
        <f t="shared" si="2"/>
        <v>0.25581127316518831</v>
      </c>
      <c r="J5" s="52">
        <v>0.29199999999999998</v>
      </c>
      <c r="K5" s="75">
        <v>-4.0789999999999997</v>
      </c>
      <c r="L5" s="81">
        <v>571.99</v>
      </c>
      <c r="M5" s="13">
        <v>9.1999999999999998E-3</v>
      </c>
      <c r="N5" s="12">
        <v>-1.1447999999999999E-5</v>
      </c>
      <c r="O5" s="93">
        <v>0.25319999999999998</v>
      </c>
      <c r="P5" s="94">
        <v>0.28610000000000002</v>
      </c>
      <c r="Q5" s="95">
        <v>0.27129999999999999</v>
      </c>
      <c r="R5" s="111">
        <v>39.774000000000001</v>
      </c>
      <c r="S5" s="118">
        <v>-2905</v>
      </c>
      <c r="T5" s="125">
        <v>-12.012</v>
      </c>
      <c r="U5" s="5">
        <v>5.1333999999999998E-3</v>
      </c>
      <c r="V5" s="6">
        <v>-2.3806999999999999E-14</v>
      </c>
      <c r="W5" s="138">
        <v>85.488</v>
      </c>
      <c r="X5" s="13">
        <v>0.93230999999999997</v>
      </c>
      <c r="Y5" s="14">
        <v>-2.8825999999999999E-3</v>
      </c>
      <c r="Z5" s="30">
        <v>3.7624000000000002E-6</v>
      </c>
      <c r="AA5" s="77">
        <v>0.1948</v>
      </c>
      <c r="AB5" s="5">
        <v>-1.2543E-4</v>
      </c>
      <c r="AC5" s="15">
        <v>-2.9149999999999998E-7</v>
      </c>
      <c r="AD5" s="146">
        <v>46.866</v>
      </c>
      <c r="AE5" s="147">
        <v>0.38200000000000001</v>
      </c>
      <c r="AF5" s="150">
        <v>51.375999999999998</v>
      </c>
      <c r="AG5" s="152">
        <v>1.1990000000000001</v>
      </c>
    </row>
    <row r="6" spans="1:33" x14ac:dyDescent="0.2">
      <c r="A6" s="27">
        <v>7</v>
      </c>
      <c r="B6" s="69">
        <v>1.26607112125</v>
      </c>
      <c r="C6" s="28">
        <f t="shared" si="0"/>
        <v>0</v>
      </c>
      <c r="D6" s="29">
        <v>100.20399999999999</v>
      </c>
      <c r="E6" s="47">
        <v>540.64</v>
      </c>
      <c r="F6" s="44">
        <v>28.91</v>
      </c>
      <c r="G6" s="11">
        <v>4.1599999999999997E-4</v>
      </c>
      <c r="H6" s="44">
        <f t="shared" si="1"/>
        <v>240.87499999999997</v>
      </c>
      <c r="I6" s="52">
        <f t="shared" si="2"/>
        <v>0.26756125706163308</v>
      </c>
      <c r="J6" s="52">
        <v>0.309</v>
      </c>
      <c r="K6" s="75">
        <v>-4.4401999999999999</v>
      </c>
      <c r="L6" s="81">
        <v>625.16</v>
      </c>
      <c r="M6" s="13">
        <v>1.01E-2</v>
      </c>
      <c r="N6" s="12">
        <v>-1.2098E-5</v>
      </c>
      <c r="O6" s="93">
        <v>0.24260000000000001</v>
      </c>
      <c r="P6" s="94">
        <v>0.26440000000000002</v>
      </c>
      <c r="Q6" s="95">
        <v>0.29139999999999999</v>
      </c>
      <c r="R6" s="111">
        <v>8.5463000000000005</v>
      </c>
      <c r="S6" s="118">
        <v>-2297.9</v>
      </c>
      <c r="T6" s="125">
        <v>1.5503</v>
      </c>
      <c r="U6" s="5">
        <v>-1.2233000000000001E-2</v>
      </c>
      <c r="V6" s="6">
        <v>8.2670000000000006E-6</v>
      </c>
      <c r="W6" s="138">
        <v>116.45099999999999</v>
      </c>
      <c r="X6" s="13">
        <v>0.70991000000000004</v>
      </c>
      <c r="Y6" s="14">
        <v>-2.2626999999999999E-3</v>
      </c>
      <c r="Z6" s="30">
        <v>3.3492000000000001E-6</v>
      </c>
      <c r="AA6" s="77">
        <v>0.2752</v>
      </c>
      <c r="AB6" s="5">
        <v>-7.4841000000000003E-4</v>
      </c>
      <c r="AC6" s="15">
        <v>6.764E-7</v>
      </c>
      <c r="AD6" s="146">
        <v>47.325000000000003</v>
      </c>
      <c r="AE6" s="147">
        <v>0.373</v>
      </c>
      <c r="AF6" s="150">
        <v>53.47</v>
      </c>
      <c r="AG6" s="152">
        <v>1.2315</v>
      </c>
    </row>
    <row r="7" spans="1:33" x14ac:dyDescent="0.2">
      <c r="A7" s="27">
        <v>7</v>
      </c>
      <c r="B7" s="69">
        <v>1.9741083850000001</v>
      </c>
      <c r="C7" s="28">
        <f t="shared" si="0"/>
        <v>9.4544829217372783E-2</v>
      </c>
      <c r="D7" s="29">
        <v>100.20399999999999</v>
      </c>
      <c r="E7" s="47">
        <v>535.25</v>
      </c>
      <c r="F7" s="44">
        <v>28.14</v>
      </c>
      <c r="G7" s="11">
        <v>4.0400000000000001E-4</v>
      </c>
      <c r="H7" s="44">
        <f t="shared" si="1"/>
        <v>248.02970297029702</v>
      </c>
      <c r="I7" s="52">
        <f t="shared" si="2"/>
        <v>0.25546932592161226</v>
      </c>
      <c r="J7" s="52">
        <v>0.32200000000000001</v>
      </c>
      <c r="K7" s="75">
        <v>-24.443000000000001</v>
      </c>
      <c r="L7" s="81">
        <v>2944.9</v>
      </c>
      <c r="M7" s="13">
        <v>6.5799999999999997E-2</v>
      </c>
      <c r="N7" s="12">
        <v>-6.2139999999999998E-5</v>
      </c>
      <c r="O7" s="93">
        <v>0.24510000000000001</v>
      </c>
      <c r="P7" s="94">
        <v>0.28060000000000002</v>
      </c>
      <c r="Q7" s="95">
        <v>0.26250000000000001</v>
      </c>
      <c r="R7" s="111">
        <v>35.253999999999998</v>
      </c>
      <c r="S7" s="118">
        <v>-2931</v>
      </c>
      <c r="T7" s="125">
        <v>-9.6667000000000005</v>
      </c>
      <c r="U7" s="5">
        <v>-5.2025999999999998E-11</v>
      </c>
      <c r="V7" s="6">
        <v>3.2107E-6</v>
      </c>
      <c r="W7" s="138">
        <v>142.59299999999999</v>
      </c>
      <c r="X7" s="13">
        <v>0.54076000000000002</v>
      </c>
      <c r="Y7" s="14">
        <v>-1.6597999999999999E-3</v>
      </c>
      <c r="Z7" s="30">
        <v>2.5998999999999999E-6</v>
      </c>
      <c r="AA7" s="77">
        <v>0.1953</v>
      </c>
      <c r="AB7" s="5">
        <v>-1.1900000000000001E-4</v>
      </c>
      <c r="AC7" s="15">
        <v>-3.0723999999999999E-7</v>
      </c>
      <c r="AD7" s="146">
        <v>48.923999999999999</v>
      </c>
      <c r="AE7" s="147">
        <v>0.39300000000000002</v>
      </c>
      <c r="AF7" s="150">
        <v>51.384999999999998</v>
      </c>
      <c r="AG7" s="152">
        <v>1.2023999999999999</v>
      </c>
    </row>
    <row r="8" spans="1:33" x14ac:dyDescent="0.2">
      <c r="A8" s="27">
        <v>7</v>
      </c>
      <c r="B8" s="69">
        <v>2.6784848399999999</v>
      </c>
      <c r="C8" s="28">
        <f t="shared" si="0"/>
        <v>0.18860082747091589</v>
      </c>
      <c r="D8" s="29">
        <v>100.20399999999999</v>
      </c>
      <c r="E8" s="47">
        <v>530.37</v>
      </c>
      <c r="F8" s="44">
        <v>27.34</v>
      </c>
      <c r="G8" s="11">
        <v>4.2099999999999999E-4</v>
      </c>
      <c r="H8" s="44">
        <f t="shared" si="1"/>
        <v>238.01425178147269</v>
      </c>
      <c r="I8" s="52">
        <f t="shared" si="2"/>
        <v>0.26103072845841535</v>
      </c>
      <c r="J8" s="52">
        <v>0.32800000000000001</v>
      </c>
      <c r="K8" s="75">
        <v>-7.2032999999999996</v>
      </c>
      <c r="L8" s="81">
        <v>979.69</v>
      </c>
      <c r="M8" s="13">
        <v>1.7000000000000001E-2</v>
      </c>
      <c r="N8" s="12">
        <v>-1.7924E-5</v>
      </c>
      <c r="O8" s="93">
        <v>0.2379</v>
      </c>
      <c r="P8" s="94">
        <v>0.2697</v>
      </c>
      <c r="Q8" s="95">
        <v>0.27900000000000003</v>
      </c>
      <c r="R8" s="111">
        <v>54.107999999999997</v>
      </c>
      <c r="S8" s="118">
        <v>-3378.5</v>
      </c>
      <c r="T8" s="125">
        <v>-17.547000000000001</v>
      </c>
      <c r="U8" s="5">
        <v>8.2594000000000001E-3</v>
      </c>
      <c r="V8" s="6">
        <v>-3.4966999999999999E-14</v>
      </c>
      <c r="W8" s="138">
        <v>118.184</v>
      </c>
      <c r="X8" s="13">
        <v>0.71284000000000003</v>
      </c>
      <c r="Y8" s="14">
        <v>-2.3129000000000001E-3</v>
      </c>
      <c r="Z8" s="30">
        <v>3.4493000000000002E-6</v>
      </c>
      <c r="AA8" s="77">
        <v>0.2384</v>
      </c>
      <c r="AB8" s="5">
        <v>-5.6464000000000004E-4</v>
      </c>
      <c r="AC8" s="15">
        <v>4.4364000000000002E-7</v>
      </c>
      <c r="AD8" s="146">
        <v>49.917000000000002</v>
      </c>
      <c r="AE8" s="147">
        <v>0.40799999999999997</v>
      </c>
      <c r="AF8" s="150">
        <v>50.353999999999999</v>
      </c>
      <c r="AG8" s="152">
        <v>1.1933</v>
      </c>
    </row>
    <row r="9" spans="1:33" x14ac:dyDescent="0.2">
      <c r="A9" s="27">
        <v>7</v>
      </c>
      <c r="B9" s="69">
        <v>8.7549763274999997</v>
      </c>
      <c r="C9" s="28">
        <f t="shared" si="0"/>
        <v>1</v>
      </c>
      <c r="D9" s="29">
        <v>100.20399999999999</v>
      </c>
      <c r="E9" s="47">
        <v>531.16999999999996</v>
      </c>
      <c r="F9" s="43">
        <v>29.5</v>
      </c>
      <c r="G9" s="40">
        <v>3.9800000000000002E-4</v>
      </c>
      <c r="H9" s="44">
        <f t="shared" si="1"/>
        <v>251.76884422110547</v>
      </c>
      <c r="I9" s="52">
        <f t="shared" si="2"/>
        <v>0.26586522119196127</v>
      </c>
      <c r="J9" s="51">
        <v>0.25</v>
      </c>
      <c r="K9" s="75">
        <v>0.39710000000000001</v>
      </c>
      <c r="L9" s="81">
        <v>167.99</v>
      </c>
      <c r="M9" s="13">
        <v>-4.4000000000000003E-3</v>
      </c>
      <c r="N9" s="12">
        <v>9.4274000000000004E-7</v>
      </c>
      <c r="O9" s="93">
        <v>0.24940000000000001</v>
      </c>
      <c r="P9" s="94">
        <v>0.2792</v>
      </c>
      <c r="Q9" s="95">
        <v>0.28000000000000003</v>
      </c>
      <c r="R9" s="111">
        <v>32.363</v>
      </c>
      <c r="S9" s="118">
        <v>-2661.4</v>
      </c>
      <c r="T9" s="125">
        <v>-8.7743000000000002</v>
      </c>
      <c r="U9" s="5">
        <v>-7.6870000000000004E-10</v>
      </c>
      <c r="V9" s="6">
        <v>3.2005999999999999E-6</v>
      </c>
      <c r="W9" s="138">
        <v>0.82599999999999996</v>
      </c>
      <c r="X9" s="13">
        <v>1.7037</v>
      </c>
      <c r="Y9" s="14">
        <v>-5.0650000000000001E-3</v>
      </c>
      <c r="Z9" s="30">
        <v>5.8856E-6</v>
      </c>
      <c r="AA9" s="77">
        <v>0.15310000000000001</v>
      </c>
      <c r="AB9" s="5">
        <v>-7.3384000000000001E-5</v>
      </c>
      <c r="AC9" s="15">
        <v>-3.5658999999999999E-7</v>
      </c>
      <c r="AD9" s="146">
        <v>43.6</v>
      </c>
      <c r="AE9" s="147">
        <v>0.372</v>
      </c>
      <c r="AF9" s="150">
        <v>51.54</v>
      </c>
      <c r="AG9" s="152">
        <v>1.212</v>
      </c>
    </row>
    <row r="10" spans="1:33" x14ac:dyDescent="0.2">
      <c r="A10" s="27">
        <v>8</v>
      </c>
      <c r="B10" s="69">
        <v>3.5972589825000001</v>
      </c>
      <c r="C10" s="28">
        <f t="shared" ref="C10:C26" si="3">(B10-MIN($B$10:$B$26))/(MAX($B$10:$B$26)-MIN($B$10:$B$26))</f>
        <v>0.21432768740283875</v>
      </c>
      <c r="D10" s="29">
        <v>114.23099999999999</v>
      </c>
      <c r="E10" s="47">
        <v>568.79999999999995</v>
      </c>
      <c r="F10" s="44">
        <v>26.9</v>
      </c>
      <c r="G10" s="11">
        <v>4.662E-4</v>
      </c>
      <c r="H10" s="44">
        <f t="shared" si="1"/>
        <v>245.13090128755366</v>
      </c>
      <c r="I10" s="52">
        <f t="shared" si="2"/>
        <v>0.26507488935511825</v>
      </c>
      <c r="J10" s="52">
        <v>0.33800000000000002</v>
      </c>
      <c r="K10" s="75">
        <v>-6.8074000000000003</v>
      </c>
      <c r="L10" s="81">
        <v>985.01</v>
      </c>
      <c r="M10" s="13">
        <v>1.52E-2</v>
      </c>
      <c r="N10" s="12">
        <v>-1.5214E-5</v>
      </c>
      <c r="O10" s="93">
        <v>0.24179999999999999</v>
      </c>
      <c r="P10" s="94">
        <v>0.26579999999999998</v>
      </c>
      <c r="Q10" s="95">
        <v>0.2676</v>
      </c>
      <c r="R10" s="111">
        <v>38.612000000000002</v>
      </c>
      <c r="S10" s="118">
        <v>-3268.5</v>
      </c>
      <c r="T10" s="125">
        <v>-10.752000000000001</v>
      </c>
      <c r="U10" s="5">
        <v>3.6385999999999998E-9</v>
      </c>
      <c r="V10" s="6">
        <v>3.2770999999999999E-6</v>
      </c>
      <c r="W10" s="138">
        <v>161.19999999999999</v>
      </c>
      <c r="X10" s="13">
        <v>0.53483000000000003</v>
      </c>
      <c r="Y10" s="14">
        <v>-1.5646E-3</v>
      </c>
      <c r="Z10" s="30">
        <v>2.4208000000000002E-6</v>
      </c>
      <c r="AA10" s="77">
        <v>0.19420000000000001</v>
      </c>
      <c r="AB10" s="5">
        <v>-1.4857999999999999E-4</v>
      </c>
      <c r="AC10" s="15">
        <v>-2.1087999999999999E-7</v>
      </c>
      <c r="AD10" s="146">
        <v>51.624000000000002</v>
      </c>
      <c r="AE10" s="147">
        <v>0.377</v>
      </c>
      <c r="AF10" s="150">
        <v>52.344999999999999</v>
      </c>
      <c r="AG10" s="152">
        <v>1.2165999999999999</v>
      </c>
    </row>
    <row r="11" spans="1:33" x14ac:dyDescent="0.2">
      <c r="A11" s="27">
        <v>8</v>
      </c>
      <c r="B11" s="69">
        <v>5.3863592750000002</v>
      </c>
      <c r="C11" s="28">
        <f t="shared" si="3"/>
        <v>0.37772812923460214</v>
      </c>
      <c r="D11" s="29">
        <v>114.23099999999999</v>
      </c>
      <c r="E11" s="47">
        <v>562</v>
      </c>
      <c r="F11" s="44">
        <v>26.5</v>
      </c>
      <c r="G11" s="11">
        <v>4.4279999999999998E-4</v>
      </c>
      <c r="H11" s="44">
        <f t="shared" si="1"/>
        <v>258.44117647058818</v>
      </c>
      <c r="I11" s="52">
        <f t="shared" si="2"/>
        <v>0.25068122456911435</v>
      </c>
      <c r="J11" s="52">
        <v>0.32</v>
      </c>
      <c r="K11" s="75">
        <v>-3.9015</v>
      </c>
      <c r="L11" s="81">
        <v>628.72</v>
      </c>
      <c r="M11" s="13">
        <v>7.6E-3</v>
      </c>
      <c r="N11" s="12">
        <v>-9.0752000000000008E-6</v>
      </c>
      <c r="O11" s="93">
        <v>0.25509999999999999</v>
      </c>
      <c r="P11" s="94">
        <v>0.29010000000000002</v>
      </c>
      <c r="Q11" s="95">
        <v>0.25679999999999997</v>
      </c>
      <c r="R11" s="111">
        <v>38.070999999999998</v>
      </c>
      <c r="S11" s="118">
        <v>-3173.6</v>
      </c>
      <c r="T11" s="125">
        <v>-10.617000000000001</v>
      </c>
      <c r="U11" s="5">
        <v>6.3089999999999999E-11</v>
      </c>
      <c r="V11" s="6">
        <v>3.3817000000000002E-6</v>
      </c>
      <c r="W11" s="138">
        <v>162.48099999999999</v>
      </c>
      <c r="X11" s="13">
        <v>0.60487000000000002</v>
      </c>
      <c r="Y11" s="14">
        <v>-1.8603999999999999E-3</v>
      </c>
      <c r="Z11" s="30">
        <v>2.7472999999999999E-6</v>
      </c>
      <c r="AA11" s="77">
        <v>0.1847</v>
      </c>
      <c r="AB11" s="5">
        <v>-1.0941E-4</v>
      </c>
      <c r="AC11" s="15">
        <v>-2.6091999999999998E-7</v>
      </c>
      <c r="AD11" s="146">
        <v>51.707999999999998</v>
      </c>
      <c r="AE11" s="147">
        <v>0.39800000000000002</v>
      </c>
      <c r="AF11" s="150">
        <v>49.384999999999998</v>
      </c>
      <c r="AG11" s="152">
        <v>1.1839999999999999</v>
      </c>
    </row>
    <row r="12" spans="1:33" x14ac:dyDescent="0.2">
      <c r="A12" s="27">
        <v>8</v>
      </c>
      <c r="B12" s="69">
        <v>5.3004064262500004</v>
      </c>
      <c r="C12" s="28">
        <f t="shared" si="3"/>
        <v>0.36987796369535042</v>
      </c>
      <c r="D12" s="29">
        <v>114.23099999999999</v>
      </c>
      <c r="E12" s="47">
        <v>550</v>
      </c>
      <c r="F12" s="44">
        <v>24.9</v>
      </c>
      <c r="G12" s="11">
        <v>4.8200000000000001E-4</v>
      </c>
      <c r="H12" s="44">
        <f t="shared" si="1"/>
        <v>236.99377593360995</v>
      </c>
      <c r="I12" s="52">
        <f t="shared" si="2"/>
        <v>0.26246637653902505</v>
      </c>
      <c r="J12" s="52">
        <v>0.35799999999999998</v>
      </c>
      <c r="K12" s="75">
        <v>-4.4617000000000004</v>
      </c>
      <c r="L12" s="81">
        <v>688.25</v>
      </c>
      <c r="M12" s="13">
        <v>9.4000000000000004E-3</v>
      </c>
      <c r="N12" s="12">
        <v>-1.0978999999999999E-5</v>
      </c>
      <c r="O12" s="93">
        <v>0.23580000000000001</v>
      </c>
      <c r="P12" s="94">
        <v>0.26329999999999998</v>
      </c>
      <c r="Q12" s="95">
        <v>0.2782</v>
      </c>
      <c r="R12" s="111">
        <v>40.026000000000003</v>
      </c>
      <c r="S12" s="118">
        <v>-3264.7</v>
      </c>
      <c r="T12" s="125">
        <v>-11.282</v>
      </c>
      <c r="U12" s="5">
        <v>-6.5407999999999998E-10</v>
      </c>
      <c r="V12" s="6">
        <v>3.6200000000000001E-6</v>
      </c>
      <c r="W12" s="138">
        <v>117.48</v>
      </c>
      <c r="X12" s="13">
        <v>1.0073000000000001</v>
      </c>
      <c r="Y12" s="14">
        <v>-3.1156999999999999E-3</v>
      </c>
      <c r="Z12" s="30">
        <v>4.2149000000000001E-6</v>
      </c>
      <c r="AA12" s="77">
        <v>0.16270000000000001</v>
      </c>
      <c r="AB12" s="5">
        <v>-9.6170999999999998E-5</v>
      </c>
      <c r="AC12" s="15">
        <v>-2.9727000000000001E-7</v>
      </c>
      <c r="AD12" s="146">
        <v>52.445</v>
      </c>
      <c r="AE12" s="147">
        <v>0.39700000000000002</v>
      </c>
      <c r="AF12" s="150">
        <v>48.65</v>
      </c>
      <c r="AG12" s="152">
        <v>1.1851</v>
      </c>
    </row>
    <row r="13" spans="1:33" x14ac:dyDescent="0.2">
      <c r="A13" s="27">
        <v>8</v>
      </c>
      <c r="B13" s="69">
        <v>6.5007363137500001</v>
      </c>
      <c r="C13" s="28">
        <f t="shared" si="3"/>
        <v>0.47950537518456449</v>
      </c>
      <c r="D13" s="29">
        <v>114.23099999999999</v>
      </c>
      <c r="E13" s="47">
        <v>549.79999999999995</v>
      </c>
      <c r="F13" s="44">
        <v>25.3</v>
      </c>
      <c r="G13" s="11">
        <v>4.7800000000000002E-4</v>
      </c>
      <c r="H13" s="44">
        <f t="shared" si="1"/>
        <v>238.97698744769875</v>
      </c>
      <c r="I13" s="52">
        <f t="shared" si="2"/>
        <v>0.26456577513742396</v>
      </c>
      <c r="J13" s="52">
        <v>0.33800000000000002</v>
      </c>
      <c r="K13" s="75">
        <v>-3.6086</v>
      </c>
      <c r="L13" s="81">
        <v>621.34</v>
      </c>
      <c r="M13" s="13">
        <v>6.6E-3</v>
      </c>
      <c r="N13" s="12">
        <v>-8.2845E-6</v>
      </c>
      <c r="O13" s="93">
        <v>0.23669999999999999</v>
      </c>
      <c r="P13" s="94">
        <v>0.26390000000000002</v>
      </c>
      <c r="Q13" s="95">
        <v>0.2777</v>
      </c>
      <c r="R13" s="111">
        <v>38.767000000000003</v>
      </c>
      <c r="S13" s="118">
        <v>-3184.1</v>
      </c>
      <c r="T13" s="125">
        <v>-10.856999999999999</v>
      </c>
      <c r="U13" s="5">
        <v>1.9275E-12</v>
      </c>
      <c r="V13" s="6">
        <v>3.4796999999999999E-6</v>
      </c>
      <c r="W13" s="138">
        <v>154.82900000000001</v>
      </c>
      <c r="X13" s="13">
        <v>0.64497000000000004</v>
      </c>
      <c r="Y13" s="14">
        <v>-1.9537000000000001E-3</v>
      </c>
      <c r="Z13" s="30">
        <v>3.0096E-6</v>
      </c>
      <c r="AA13" s="77">
        <v>0.20649999999999999</v>
      </c>
      <c r="AB13" s="5">
        <v>-3.8224999999999999E-4</v>
      </c>
      <c r="AC13" s="15">
        <v>1.9266999999999999E-7</v>
      </c>
      <c r="AD13" s="146">
        <v>52.210999999999999</v>
      </c>
      <c r="AE13" s="147">
        <v>0.40699999999999997</v>
      </c>
      <c r="AF13" s="150">
        <v>48.36</v>
      </c>
      <c r="AG13" s="152">
        <v>1.1855</v>
      </c>
    </row>
    <row r="14" spans="1:33" x14ac:dyDescent="0.2">
      <c r="A14" s="27">
        <v>8</v>
      </c>
      <c r="B14" s="69">
        <v>4.2921515250000004</v>
      </c>
      <c r="C14" s="28">
        <f t="shared" si="3"/>
        <v>0.27779296598229408</v>
      </c>
      <c r="D14" s="29">
        <v>114.23099999999999</v>
      </c>
      <c r="E14" s="47">
        <v>563.4</v>
      </c>
      <c r="F14" s="44">
        <v>26.3</v>
      </c>
      <c r="G14" s="11">
        <v>4.682E-4</v>
      </c>
      <c r="H14" s="44">
        <f t="shared" si="1"/>
        <v>244.08333333333331</v>
      </c>
      <c r="I14" s="52">
        <f t="shared" si="2"/>
        <v>0.26276936934582801</v>
      </c>
      <c r="J14" s="52">
        <v>0.34699999999999998</v>
      </c>
      <c r="K14" s="75">
        <v>-6.5587999999999997</v>
      </c>
      <c r="L14" s="81">
        <v>957.43</v>
      </c>
      <c r="M14" s="13">
        <v>1.4500000000000001E-2</v>
      </c>
      <c r="N14" s="12">
        <v>-1.4843E-5</v>
      </c>
      <c r="O14" s="93">
        <v>0.2419</v>
      </c>
      <c r="P14" s="94">
        <v>0.26819999999999999</v>
      </c>
      <c r="Q14" s="95">
        <v>0.26950000000000002</v>
      </c>
      <c r="R14" s="111">
        <v>57.378</v>
      </c>
      <c r="S14" s="118">
        <v>-3714.3</v>
      </c>
      <c r="T14" s="125">
        <v>-18.599</v>
      </c>
      <c r="U14" s="5">
        <v>8.2906999999999998E-3</v>
      </c>
      <c r="V14" s="6">
        <v>-2.8441E-12</v>
      </c>
      <c r="W14" s="138">
        <v>160.64500000000001</v>
      </c>
      <c r="X14" s="13">
        <v>0.56525000000000003</v>
      </c>
      <c r="Y14" s="14">
        <v>-1.6703E-3</v>
      </c>
      <c r="Z14" s="30">
        <v>2.5708E-6</v>
      </c>
      <c r="AA14" s="77">
        <v>0.18579999999999999</v>
      </c>
      <c r="AB14" s="5">
        <v>-1.0797E-4</v>
      </c>
      <c r="AC14" s="15">
        <v>-2.6440000000000001E-7</v>
      </c>
      <c r="AD14" s="146">
        <v>51.6</v>
      </c>
      <c r="AE14" s="147">
        <v>0.377</v>
      </c>
      <c r="AF14" s="150">
        <v>50.276000000000003</v>
      </c>
      <c r="AG14" s="152">
        <v>1.1887000000000001</v>
      </c>
    </row>
    <row r="15" spans="1:33" x14ac:dyDescent="0.2">
      <c r="A15" s="27">
        <v>8</v>
      </c>
      <c r="B15" s="69">
        <v>4.60265988</v>
      </c>
      <c r="C15" s="28">
        <f t="shared" si="3"/>
        <v>0.30615202590316432</v>
      </c>
      <c r="D15" s="29">
        <v>114.23099999999999</v>
      </c>
      <c r="E15" s="47">
        <v>553.5</v>
      </c>
      <c r="F15" s="44">
        <v>25.6</v>
      </c>
      <c r="G15" s="11">
        <v>4.7199999999999998E-4</v>
      </c>
      <c r="H15" s="44">
        <f t="shared" si="1"/>
        <v>242.01483050847457</v>
      </c>
      <c r="I15" s="52">
        <f t="shared" si="2"/>
        <v>0.26257557098865031</v>
      </c>
      <c r="J15" s="52">
        <v>0.34399999999999997</v>
      </c>
      <c r="K15" s="75">
        <v>-4.2728000000000002</v>
      </c>
      <c r="L15" s="81">
        <v>724.48</v>
      </c>
      <c r="M15" s="13">
        <v>8.3000000000000001E-3</v>
      </c>
      <c r="N15" s="12">
        <v>-9.7186000000000004E-6</v>
      </c>
      <c r="O15" s="93">
        <v>0.2472</v>
      </c>
      <c r="P15" s="94">
        <v>0.27279999999999999</v>
      </c>
      <c r="Q15" s="95">
        <v>0.29849999999999999</v>
      </c>
      <c r="R15" s="111">
        <v>56.287999999999997</v>
      </c>
      <c r="S15" s="118">
        <v>-3622.5</v>
      </c>
      <c r="T15" s="125">
        <v>-18.225000000000001</v>
      </c>
      <c r="U15" s="5">
        <v>8.1863999999999999E-3</v>
      </c>
      <c r="V15" s="6">
        <v>8.7232000000000006E-12</v>
      </c>
      <c r="W15" s="138">
        <v>156.684</v>
      </c>
      <c r="X15" s="13">
        <v>0.63643000000000005</v>
      </c>
      <c r="Y15" s="14">
        <v>-1.8979000000000001E-3</v>
      </c>
      <c r="Z15" s="30">
        <v>2.9478E-6</v>
      </c>
      <c r="AA15" s="77">
        <v>0.186</v>
      </c>
      <c r="AB15" s="5">
        <v>-1.0941E-4</v>
      </c>
      <c r="AC15" s="15">
        <v>-2.7487000000000003E-7</v>
      </c>
      <c r="AD15" s="146">
        <v>50.874000000000002</v>
      </c>
      <c r="AE15" s="147">
        <v>0.38200000000000001</v>
      </c>
      <c r="AF15" s="150">
        <v>49.322000000000003</v>
      </c>
      <c r="AG15" s="152">
        <v>1.1933</v>
      </c>
    </row>
    <row r="16" spans="1:33" x14ac:dyDescent="0.2">
      <c r="A16" s="27">
        <v>8</v>
      </c>
      <c r="B16" s="69">
        <v>3.5951383637499998</v>
      </c>
      <c r="C16" s="28">
        <f t="shared" si="3"/>
        <v>0.21413400902597002</v>
      </c>
      <c r="D16" s="29">
        <v>114.23099999999999</v>
      </c>
      <c r="E16" s="47">
        <v>567</v>
      </c>
      <c r="F16" s="44">
        <v>27.1</v>
      </c>
      <c r="G16" s="11">
        <v>4.4530000000000004E-4</v>
      </c>
      <c r="H16" s="44">
        <f t="shared" si="1"/>
        <v>256.69887640449434</v>
      </c>
      <c r="I16" s="52">
        <f t="shared" si="2"/>
        <v>0.25582101798924833</v>
      </c>
      <c r="J16" s="52">
        <v>0.36099999999999999</v>
      </c>
      <c r="K16" s="75">
        <v>-11.243</v>
      </c>
      <c r="L16" s="81">
        <v>1516.9</v>
      </c>
      <c r="M16" s="13">
        <v>2.6599999999999999E-2</v>
      </c>
      <c r="N16" s="12">
        <v>-2.4553999999999999E-5</v>
      </c>
      <c r="O16" s="93">
        <v>0.23480000000000001</v>
      </c>
      <c r="P16" s="94">
        <v>0.254</v>
      </c>
      <c r="Q16" s="95">
        <v>0.28570000000000001</v>
      </c>
      <c r="R16" s="111">
        <v>70.521000000000001</v>
      </c>
      <c r="S16" s="118">
        <v>-4006.2</v>
      </c>
      <c r="T16" s="125">
        <v>-24.167000000000002</v>
      </c>
      <c r="U16" s="5">
        <v>1.4484E-2</v>
      </c>
      <c r="V16" s="6">
        <v>-2.5303999999999999E-6</v>
      </c>
      <c r="W16" s="138">
        <v>223.04</v>
      </c>
      <c r="X16" s="13">
        <v>-0.18074999999999999</v>
      </c>
      <c r="Y16" s="14">
        <v>8.4029000000000005E-4</v>
      </c>
      <c r="Z16" s="30">
        <v>0</v>
      </c>
      <c r="AA16" s="77">
        <v>0.23769999999999999</v>
      </c>
      <c r="AB16" s="5">
        <v>-5.5836999999999998E-4</v>
      </c>
      <c r="AC16" s="15">
        <v>4.4187999999999998E-7</v>
      </c>
      <c r="AD16" s="146">
        <v>51.179000000000002</v>
      </c>
      <c r="AE16" s="147">
        <v>0.38</v>
      </c>
      <c r="AF16" s="150">
        <v>52.427999999999997</v>
      </c>
      <c r="AG16" s="152">
        <v>1.2222</v>
      </c>
    </row>
    <row r="17" spans="1:33" x14ac:dyDescent="0.2">
      <c r="A17" s="27">
        <v>8</v>
      </c>
      <c r="B17" s="69">
        <v>1.2505472849999999</v>
      </c>
      <c r="C17" s="28">
        <f t="shared" si="3"/>
        <v>0</v>
      </c>
      <c r="D17" s="29">
        <v>114.23099999999999</v>
      </c>
      <c r="E17" s="47">
        <v>565.4</v>
      </c>
      <c r="F17" s="44">
        <v>26.1</v>
      </c>
      <c r="G17" s="11">
        <v>4.551E-4</v>
      </c>
      <c r="H17" s="44">
        <f t="shared" si="1"/>
        <v>251.05714285714288</v>
      </c>
      <c r="I17" s="52">
        <f t="shared" si="2"/>
        <v>0.25263067337801337</v>
      </c>
      <c r="J17" s="52">
        <v>0.36299999999999999</v>
      </c>
      <c r="K17" s="75">
        <v>-10.634</v>
      </c>
      <c r="L17" s="81">
        <v>1469.5</v>
      </c>
      <c r="M17" s="13">
        <v>2.47E-2</v>
      </c>
      <c r="N17" s="12">
        <v>-2.2963E-5</v>
      </c>
      <c r="O17" s="93">
        <v>0.248</v>
      </c>
      <c r="P17" s="94">
        <v>0.27729999999999999</v>
      </c>
      <c r="Q17" s="95">
        <v>0.26569999999999999</v>
      </c>
      <c r="R17" s="111">
        <v>40.207999999999998</v>
      </c>
      <c r="S17" s="118">
        <v>-3365.1</v>
      </c>
      <c r="T17" s="125">
        <v>-11.285</v>
      </c>
      <c r="U17" s="5">
        <v>-5.4180000000000001E-9</v>
      </c>
      <c r="V17" s="6">
        <v>3.4199000000000001E-6</v>
      </c>
      <c r="W17" s="138">
        <v>160.13300000000001</v>
      </c>
      <c r="X17" s="13">
        <v>0.64693000000000001</v>
      </c>
      <c r="Y17" s="14">
        <v>-1.8763E-3</v>
      </c>
      <c r="Z17" s="30">
        <v>2.7298999999999999E-6</v>
      </c>
      <c r="AA17" s="77">
        <v>0.19589999999999999</v>
      </c>
      <c r="AB17" s="5">
        <v>-1.5007E-4</v>
      </c>
      <c r="AC17" s="15">
        <v>-2.1671000000000001E-7</v>
      </c>
      <c r="AD17" s="146">
        <v>52.753999999999998</v>
      </c>
      <c r="AE17" s="147">
        <v>0.38</v>
      </c>
      <c r="AF17" s="150">
        <v>53.2</v>
      </c>
      <c r="AG17" s="152">
        <v>1.2355</v>
      </c>
    </row>
    <row r="18" spans="1:33" x14ac:dyDescent="0.2">
      <c r="A18" s="27">
        <v>8</v>
      </c>
      <c r="B18" s="69">
        <v>4.2694778749999998</v>
      </c>
      <c r="C18" s="28">
        <f t="shared" si="3"/>
        <v>0.27572215729511768</v>
      </c>
      <c r="D18" s="29">
        <v>114.23099999999999</v>
      </c>
      <c r="E18" s="47">
        <v>576.5</v>
      </c>
      <c r="F18" s="44">
        <v>28.1</v>
      </c>
      <c r="G18" s="11">
        <v>4.551E-4</v>
      </c>
      <c r="H18" s="44">
        <f t="shared" si="1"/>
        <v>251.05714285714288</v>
      </c>
      <c r="I18" s="52">
        <f t="shared" si="2"/>
        <v>0.26675243025223544</v>
      </c>
      <c r="J18" s="52">
        <v>0.30499999999999999</v>
      </c>
      <c r="K18" s="75">
        <v>-4.4943999999999997</v>
      </c>
      <c r="L18" s="81">
        <v>709.74</v>
      </c>
      <c r="M18" s="13">
        <v>9.1999999999999998E-3</v>
      </c>
      <c r="N18" s="12">
        <v>-1.0251000000000001E-5</v>
      </c>
      <c r="O18" s="93">
        <v>0.251</v>
      </c>
      <c r="P18" s="94">
        <v>0.27250000000000002</v>
      </c>
      <c r="Q18" s="95">
        <v>0.28170000000000001</v>
      </c>
      <c r="R18" s="111">
        <v>35.252000000000002</v>
      </c>
      <c r="S18" s="118">
        <v>-3087.1</v>
      </c>
      <c r="T18" s="125">
        <v>-9.6172000000000004</v>
      </c>
      <c r="U18" s="5">
        <v>-2.3413999999999999E-11</v>
      </c>
      <c r="V18" s="6">
        <v>2.9374999999999998E-6</v>
      </c>
      <c r="W18" s="138">
        <v>157.09399999999999</v>
      </c>
      <c r="X18" s="13">
        <v>0.58599000000000001</v>
      </c>
      <c r="Y18" s="14">
        <v>-1.6436000000000001E-3</v>
      </c>
      <c r="Z18" s="30">
        <v>2.4370000000000001E-6</v>
      </c>
      <c r="AA18" s="77">
        <v>0.18060000000000001</v>
      </c>
      <c r="AB18" s="5">
        <v>-9.5359999999999995E-5</v>
      </c>
      <c r="AC18" s="15">
        <v>-2.5702000000000001E-7</v>
      </c>
      <c r="AD18" s="146">
        <v>50.35</v>
      </c>
      <c r="AE18" s="147">
        <v>0.377</v>
      </c>
      <c r="AF18" s="150">
        <v>51.234999999999999</v>
      </c>
      <c r="AG18" s="152">
        <v>1.1910000000000001</v>
      </c>
    </row>
    <row r="19" spans="1:33" x14ac:dyDescent="0.2">
      <c r="A19" s="27">
        <v>8</v>
      </c>
      <c r="B19" s="69">
        <v>2.6482404375000002</v>
      </c>
      <c r="C19" s="28">
        <f t="shared" si="3"/>
        <v>0.12765280941550694</v>
      </c>
      <c r="D19" s="29">
        <v>114.23099999999999</v>
      </c>
      <c r="E19" s="47">
        <v>559.64</v>
      </c>
      <c r="F19" s="44">
        <v>24.85</v>
      </c>
      <c r="G19" s="11">
        <v>4.8799999999999999E-4</v>
      </c>
      <c r="H19" s="44">
        <f t="shared" si="1"/>
        <v>234.07991803278691</v>
      </c>
      <c r="I19" s="52">
        <f t="shared" si="2"/>
        <v>0.26063182615402419</v>
      </c>
      <c r="J19" s="52">
        <v>0.377</v>
      </c>
      <c r="K19" s="75">
        <v>-4.8602999999999996</v>
      </c>
      <c r="L19" s="81">
        <v>715.64</v>
      </c>
      <c r="M19" s="13">
        <v>1.0800000000000001E-2</v>
      </c>
      <c r="N19" s="12">
        <v>-1.2293000000000001E-5</v>
      </c>
      <c r="O19" s="93">
        <v>0.23180000000000001</v>
      </c>
      <c r="P19" s="94">
        <v>0.25900000000000001</v>
      </c>
      <c r="Q19" s="95">
        <v>0.27129999999999999</v>
      </c>
      <c r="R19" s="111">
        <v>37.692999999999998</v>
      </c>
      <c r="S19" s="118">
        <v>-3261.1</v>
      </c>
      <c r="T19" s="125">
        <v>-10.391</v>
      </c>
      <c r="U19" s="5">
        <v>-1.0524E-12</v>
      </c>
      <c r="V19" s="6">
        <v>3.056E-6</v>
      </c>
      <c r="W19" s="138">
        <v>134.965</v>
      </c>
      <c r="X19" s="13">
        <v>0.81457999999999997</v>
      </c>
      <c r="Y19" s="14">
        <v>-2.5182E-3</v>
      </c>
      <c r="Z19" s="30">
        <v>3.5416000000000001E-6</v>
      </c>
      <c r="AA19" s="77">
        <v>0.16919999999999999</v>
      </c>
      <c r="AB19" s="5">
        <v>-1.0208999999999999E-4</v>
      </c>
      <c r="AC19" s="15">
        <v>-2.8140999999999998E-7</v>
      </c>
      <c r="AD19" s="146">
        <v>59.503</v>
      </c>
      <c r="AE19" s="147">
        <v>0.48099999999999998</v>
      </c>
      <c r="AF19" s="150">
        <v>50.283000000000001</v>
      </c>
      <c r="AG19" s="152">
        <v>1.2017</v>
      </c>
    </row>
    <row r="20" spans="1:33" x14ac:dyDescent="0.2">
      <c r="A20" s="27">
        <v>8</v>
      </c>
      <c r="B20" s="69">
        <v>1.950465495</v>
      </c>
      <c r="C20" s="28">
        <f t="shared" si="3"/>
        <v>6.3924278163459608E-2</v>
      </c>
      <c r="D20" s="29">
        <v>114.23099999999999</v>
      </c>
      <c r="E20" s="47">
        <v>561.74</v>
      </c>
      <c r="F20" s="44">
        <v>25.42</v>
      </c>
      <c r="G20" s="11">
        <v>4.7600000000000002E-4</v>
      </c>
      <c r="H20" s="44">
        <f t="shared" si="1"/>
        <v>239.98109243697476</v>
      </c>
      <c r="I20" s="52">
        <f t="shared" si="2"/>
        <v>0.25908193311755251</v>
      </c>
      <c r="J20" s="52">
        <v>0.371</v>
      </c>
      <c r="K20" s="75">
        <v>-4.8434999999999997</v>
      </c>
      <c r="L20" s="81">
        <v>708.87</v>
      </c>
      <c r="M20" s="13">
        <v>1.0800000000000001E-2</v>
      </c>
      <c r="N20" s="12">
        <v>-1.2265E-5</v>
      </c>
      <c r="O20" s="93">
        <v>0.2394</v>
      </c>
      <c r="P20" s="94">
        <v>0.25879999999999997</v>
      </c>
      <c r="Q20" s="95">
        <v>0.28320000000000001</v>
      </c>
      <c r="R20" s="111">
        <v>40.207999999999998</v>
      </c>
      <c r="S20" s="118">
        <v>-3366.1</v>
      </c>
      <c r="T20" s="125">
        <v>-11.279</v>
      </c>
      <c r="U20" s="5">
        <v>-8.7855000000000003E-11</v>
      </c>
      <c r="V20" s="6">
        <v>3.4054999999999998E-6</v>
      </c>
      <c r="W20" s="138">
        <v>143.202</v>
      </c>
      <c r="X20" s="13">
        <v>0.75566999999999995</v>
      </c>
      <c r="Y20" s="14">
        <v>-2.3376999999999998E-3</v>
      </c>
      <c r="Z20" s="30">
        <v>3.4039000000000001E-6</v>
      </c>
      <c r="AA20" s="77">
        <v>0.18709999999999999</v>
      </c>
      <c r="AB20" s="5">
        <v>-1.0669E-4</v>
      </c>
      <c r="AC20" s="15">
        <v>-2.7192000000000002E-7</v>
      </c>
      <c r="AD20" s="146">
        <v>54.856999999999999</v>
      </c>
      <c r="AE20" s="147">
        <v>0.40500000000000003</v>
      </c>
      <c r="AF20" s="150">
        <v>50.767000000000003</v>
      </c>
      <c r="AG20" s="152">
        <v>1.1961999999999999</v>
      </c>
    </row>
    <row r="21" spans="1:33" x14ac:dyDescent="0.2">
      <c r="A21" s="27">
        <v>8</v>
      </c>
      <c r="B21" s="69">
        <v>1.9488965549999999</v>
      </c>
      <c r="C21" s="28">
        <f t="shared" si="3"/>
        <v>6.3780985196440237E-2</v>
      </c>
      <c r="D21" s="29">
        <v>114.23099999999999</v>
      </c>
      <c r="E21" s="47">
        <v>563.66999999999996</v>
      </c>
      <c r="F21" s="44">
        <v>25.46</v>
      </c>
      <c r="G21" s="11">
        <v>4.64E-4</v>
      </c>
      <c r="H21" s="44">
        <f t="shared" si="1"/>
        <v>246.18749999999997</v>
      </c>
      <c r="I21" s="52">
        <f t="shared" si="2"/>
        <v>0.25208176940377669</v>
      </c>
      <c r="J21" s="52">
        <v>0.372</v>
      </c>
      <c r="K21" s="75">
        <v>-4.7394999999999996</v>
      </c>
      <c r="L21" s="81">
        <v>698.67</v>
      </c>
      <c r="M21" s="13">
        <v>1.0500000000000001E-2</v>
      </c>
      <c r="N21" s="12">
        <v>-1.1977999999999999E-5</v>
      </c>
      <c r="O21" s="93">
        <v>0.24460000000000001</v>
      </c>
      <c r="P21" s="94">
        <v>0.27439999999999998</v>
      </c>
      <c r="Q21" s="95">
        <v>0.27129999999999999</v>
      </c>
      <c r="R21" s="111">
        <v>52.883000000000003</v>
      </c>
      <c r="S21" s="118">
        <v>-3623.1</v>
      </c>
      <c r="T21" s="125">
        <v>-16.803999999999998</v>
      </c>
      <c r="U21" s="5">
        <v>7.1827999999999996E-3</v>
      </c>
      <c r="V21" s="6">
        <v>7.4076999999999996E-14</v>
      </c>
      <c r="W21" s="138">
        <v>148.15600000000001</v>
      </c>
      <c r="X21" s="13">
        <v>0.67559000000000002</v>
      </c>
      <c r="Y21" s="14">
        <v>-2.0742E-3</v>
      </c>
      <c r="Z21" s="30">
        <v>3.0104E-6</v>
      </c>
      <c r="AA21" s="77">
        <v>0.23219999999999999</v>
      </c>
      <c r="AB21" s="5">
        <v>-4.9229000000000005E-4</v>
      </c>
      <c r="AC21" s="15">
        <v>3.5031000000000002E-7</v>
      </c>
      <c r="AD21" s="146">
        <v>55.167000000000002</v>
      </c>
      <c r="AE21" s="147">
        <v>0.40600000000000003</v>
      </c>
      <c r="AF21" s="150">
        <v>54.07</v>
      </c>
      <c r="AG21" s="152">
        <v>1.272</v>
      </c>
    </row>
    <row r="22" spans="1:33" x14ac:dyDescent="0.2">
      <c r="A22" s="27">
        <v>8</v>
      </c>
      <c r="B22" s="69">
        <v>12.199723875</v>
      </c>
      <c r="C22" s="28">
        <f t="shared" si="3"/>
        <v>1</v>
      </c>
      <c r="D22" s="29">
        <v>114.23099999999999</v>
      </c>
      <c r="E22" s="44">
        <v>567.79999999999995</v>
      </c>
      <c r="F22" s="44">
        <v>28.7</v>
      </c>
      <c r="G22" s="11">
        <v>4.618E-4</v>
      </c>
      <c r="H22" s="44">
        <f t="shared" si="1"/>
        <v>247.78958785249455</v>
      </c>
      <c r="I22" s="52">
        <f t="shared" si="2"/>
        <v>0.28027051643221929</v>
      </c>
      <c r="J22" s="52">
        <v>0.251</v>
      </c>
      <c r="K22" s="75">
        <v>-5.3964999999999996</v>
      </c>
      <c r="L22" s="81">
        <v>891.41</v>
      </c>
      <c r="M22" s="13">
        <v>1.0500000000000001E-2</v>
      </c>
      <c r="N22" s="12">
        <v>-1.0761000000000001E-5</v>
      </c>
      <c r="O22" s="93">
        <v>0.24740000000000001</v>
      </c>
      <c r="P22" s="94">
        <v>0.28000000000000003</v>
      </c>
      <c r="Q22" s="95">
        <v>0.28570000000000001</v>
      </c>
      <c r="R22" s="112">
        <v>58.227200000000003</v>
      </c>
      <c r="S22" s="118">
        <v>-4326.8999999999996</v>
      </c>
      <c r="T22" s="125">
        <v>-17.2776</v>
      </c>
      <c r="U22" s="5">
        <v>4.9512E-9</v>
      </c>
      <c r="V22" s="6">
        <v>4.0786999999999996E-6</v>
      </c>
      <c r="W22" s="138">
        <v>236.69200000000001</v>
      </c>
      <c r="X22" s="13">
        <v>-0.18556</v>
      </c>
      <c r="Y22" s="14">
        <v>8.2074999999999997E-4</v>
      </c>
      <c r="Z22" s="30">
        <v>0</v>
      </c>
      <c r="AA22" s="77">
        <v>0.153</v>
      </c>
      <c r="AB22" s="5">
        <v>1.7969999999999999E-5</v>
      </c>
      <c r="AC22" s="15">
        <v>-3.8865999999999999E-7</v>
      </c>
      <c r="AD22" s="146">
        <v>47.805</v>
      </c>
      <c r="AE22" s="147">
        <v>0.38</v>
      </c>
      <c r="AF22" s="150">
        <v>50.241</v>
      </c>
      <c r="AG22" s="152">
        <v>1.2222</v>
      </c>
    </row>
    <row r="23" spans="1:33" x14ac:dyDescent="0.2">
      <c r="A23" s="27">
        <v>8</v>
      </c>
      <c r="B23" s="69">
        <v>7.9581559200000003</v>
      </c>
      <c r="C23" s="28">
        <f t="shared" si="3"/>
        <v>0.61261306545426719</v>
      </c>
      <c r="D23" s="29">
        <v>114.23099999999999</v>
      </c>
      <c r="E23" s="47">
        <v>563.5</v>
      </c>
      <c r="F23" s="43">
        <v>27.3</v>
      </c>
      <c r="G23" s="40">
        <v>4.3600000000000003E-4</v>
      </c>
      <c r="H23" s="44">
        <f t="shared" si="1"/>
        <v>261.99770642201833</v>
      </c>
      <c r="I23" s="52">
        <f t="shared" si="2"/>
        <v>0.25406520767933166</v>
      </c>
      <c r="J23" s="51">
        <v>0.29699999999999999</v>
      </c>
      <c r="K23" s="75">
        <v>-3.7789999999999999</v>
      </c>
      <c r="L23" s="81">
        <v>659.32</v>
      </c>
      <c r="M23" s="13">
        <v>6.8999999999999999E-3</v>
      </c>
      <c r="N23" s="12">
        <v>-8.3853000000000008E-6</v>
      </c>
      <c r="O23" s="93">
        <v>0.2606</v>
      </c>
      <c r="P23" s="94">
        <v>0.29070000000000001</v>
      </c>
      <c r="Q23" s="95">
        <v>0.27339999999999998</v>
      </c>
      <c r="R23" s="111">
        <v>35.954000000000001</v>
      </c>
      <c r="S23" s="118">
        <v>-3056.9</v>
      </c>
      <c r="T23" s="125">
        <v>-9.8895999999999997</v>
      </c>
      <c r="U23" s="5">
        <v>-7.2915999999999997E-11</v>
      </c>
      <c r="V23" s="6">
        <v>3.106E-6</v>
      </c>
      <c r="W23" s="138">
        <v>162.00899999999999</v>
      </c>
      <c r="X23" s="13">
        <v>0.51405999999999996</v>
      </c>
      <c r="Y23" s="14">
        <v>-1.4767000000000001E-3</v>
      </c>
      <c r="Z23" s="30">
        <v>2.2768E-6</v>
      </c>
      <c r="AA23" s="77">
        <v>0.1822</v>
      </c>
      <c r="AB23" s="5">
        <v>-1.0471000000000001E-4</v>
      </c>
      <c r="AC23" s="15">
        <v>-2.6077000000000002E-7</v>
      </c>
      <c r="AD23" s="146">
        <v>50.472999999999999</v>
      </c>
      <c r="AE23" s="147">
        <v>0.39600000000000002</v>
      </c>
      <c r="AF23" s="150">
        <v>49.107999999999997</v>
      </c>
      <c r="AG23" s="152">
        <v>1.1783999999999999</v>
      </c>
    </row>
    <row r="24" spans="1:33" x14ac:dyDescent="0.2">
      <c r="A24" s="27">
        <v>8</v>
      </c>
      <c r="B24" s="69">
        <v>7.5436732812500003</v>
      </c>
      <c r="C24" s="28">
        <f t="shared" si="3"/>
        <v>0.57475792307501727</v>
      </c>
      <c r="D24" s="29">
        <v>114.23099999999999</v>
      </c>
      <c r="E24" s="47">
        <v>573.5</v>
      </c>
      <c r="F24" s="43">
        <v>28.2</v>
      </c>
      <c r="G24" s="40">
        <v>4.55E-4</v>
      </c>
      <c r="H24" s="44">
        <f t="shared" si="1"/>
        <v>251.05714285714288</v>
      </c>
      <c r="I24" s="52">
        <f t="shared" si="2"/>
        <v>0.26910208492770354</v>
      </c>
      <c r="J24" s="51">
        <v>0.28999999999999998</v>
      </c>
      <c r="K24" s="75">
        <v>-4.4481999999999999</v>
      </c>
      <c r="L24" s="81">
        <v>762.67</v>
      </c>
      <c r="M24" s="13">
        <v>8.3999999999999995E-3</v>
      </c>
      <c r="N24" s="12">
        <v>-9.2544999999999992E-6</v>
      </c>
      <c r="O24" s="93">
        <v>0.25090000000000001</v>
      </c>
      <c r="P24" s="94">
        <v>0.27450000000000002</v>
      </c>
      <c r="Q24" s="95">
        <v>0.27410000000000001</v>
      </c>
      <c r="R24" s="111">
        <v>33.966999999999999</v>
      </c>
      <c r="S24" s="118">
        <v>-2998.2</v>
      </c>
      <c r="T24" s="125">
        <v>-9.1858000000000004</v>
      </c>
      <c r="U24" s="5">
        <v>-2.1839000000000001E-10</v>
      </c>
      <c r="V24" s="6">
        <v>2.8100000000000002E-6</v>
      </c>
      <c r="W24" s="138">
        <v>137.011</v>
      </c>
      <c r="X24" s="13">
        <v>0.77661000000000002</v>
      </c>
      <c r="Y24" s="14">
        <v>-2.3224000000000001E-3</v>
      </c>
      <c r="Z24" s="30">
        <v>3.1603999999999998E-6</v>
      </c>
      <c r="AA24" s="77">
        <v>0.1807</v>
      </c>
      <c r="AB24" s="5">
        <v>-9.9629000000000004E-5</v>
      </c>
      <c r="AC24" s="15">
        <v>-2.5371000000000001E-7</v>
      </c>
      <c r="AD24" s="146">
        <v>49.91</v>
      </c>
      <c r="AE24" s="147">
        <v>0.38300000000000001</v>
      </c>
      <c r="AF24" s="150">
        <v>50.4</v>
      </c>
      <c r="AG24" s="152">
        <v>1.1862999999999999</v>
      </c>
    </row>
    <row r="25" spans="1:33" x14ac:dyDescent="0.2">
      <c r="A25" s="27">
        <v>8</v>
      </c>
      <c r="B25" s="69">
        <v>6.6402389199999998</v>
      </c>
      <c r="C25" s="28">
        <f t="shared" si="3"/>
        <v>0.49224629730809738</v>
      </c>
      <c r="D25" s="29">
        <v>114.23099999999999</v>
      </c>
      <c r="E25" s="47">
        <v>566.29999999999995</v>
      </c>
      <c r="F25" s="43">
        <v>27.3</v>
      </c>
      <c r="G25" s="40">
        <v>4.6000000000000001E-4</v>
      </c>
      <c r="H25" s="44">
        <f t="shared" si="1"/>
        <v>248.32826086956521</v>
      </c>
      <c r="I25" s="52">
        <f t="shared" si="2"/>
        <v>0.26672510632578583</v>
      </c>
      <c r="J25" s="51">
        <v>0.315</v>
      </c>
      <c r="K25" s="75">
        <v>-3.4581</v>
      </c>
      <c r="L25" s="81">
        <v>604.45000000000005</v>
      </c>
      <c r="M25" s="13">
        <v>6.4000000000000003E-3</v>
      </c>
      <c r="N25" s="12">
        <v>-8.0834999999999998E-6</v>
      </c>
      <c r="O25" s="93">
        <v>0.24310000000000001</v>
      </c>
      <c r="P25" s="94">
        <v>0.26790000000000003</v>
      </c>
      <c r="Q25" s="95">
        <v>0.26469999999999999</v>
      </c>
      <c r="R25" s="111">
        <v>34.155999999999999</v>
      </c>
      <c r="S25" s="118">
        <v>-3023.2</v>
      </c>
      <c r="T25" s="125">
        <v>-9.2266999999999992</v>
      </c>
      <c r="U25" s="5">
        <v>2.7690999999999999E-11</v>
      </c>
      <c r="V25" s="6">
        <v>2.7827999999999999E-6</v>
      </c>
      <c r="W25" s="138">
        <v>133.69300000000001</v>
      </c>
      <c r="X25" s="13">
        <v>0.70960999999999996</v>
      </c>
      <c r="Y25" s="14">
        <v>-2.1657E-3</v>
      </c>
      <c r="Z25" s="30">
        <v>3.0284000000000001E-6</v>
      </c>
      <c r="AA25" s="77">
        <v>0.18279999999999999</v>
      </c>
      <c r="AB25" s="5">
        <v>-1.0293000000000001E-4</v>
      </c>
      <c r="AC25" s="15">
        <v>-2.6179999999999998E-7</v>
      </c>
      <c r="AD25" s="146">
        <v>50.752000000000002</v>
      </c>
      <c r="AE25" s="147">
        <v>0.38500000000000001</v>
      </c>
      <c r="AF25" s="150">
        <v>50.33</v>
      </c>
      <c r="AG25" s="152">
        <v>1.1898</v>
      </c>
    </row>
    <row r="26" spans="1:33" x14ac:dyDescent="0.2">
      <c r="A26" s="27">
        <v>8</v>
      </c>
      <c r="B26" s="69">
        <v>9.1511030249999994</v>
      </c>
      <c r="C26" s="28">
        <f t="shared" si="3"/>
        <v>0.72156619952733814</v>
      </c>
      <c r="D26" s="29">
        <v>114.23099999999999</v>
      </c>
      <c r="E26" s="47">
        <v>543.96</v>
      </c>
      <c r="F26" s="43">
        <v>25.7</v>
      </c>
      <c r="G26" s="40">
        <v>4.6799999999999999E-4</v>
      </c>
      <c r="H26" s="44">
        <f t="shared" si="1"/>
        <v>244.08333333333331</v>
      </c>
      <c r="I26" s="52">
        <f t="shared" si="2"/>
        <v>0.26595122258756132</v>
      </c>
      <c r="J26" s="51">
        <v>0.30299999999999999</v>
      </c>
      <c r="K26" s="75">
        <v>-15.042</v>
      </c>
      <c r="L26" s="81">
        <v>2002.1</v>
      </c>
      <c r="M26" s="13">
        <v>3.7100000000000001E-2</v>
      </c>
      <c r="N26" s="12">
        <v>-3.4486000000000002E-5</v>
      </c>
      <c r="O26" s="93">
        <v>0.24560000000000001</v>
      </c>
      <c r="P26" s="94">
        <v>0.2737</v>
      </c>
      <c r="Q26" s="95">
        <v>0.28460000000000002</v>
      </c>
      <c r="R26" s="111">
        <v>50.341999999999999</v>
      </c>
      <c r="S26" s="118">
        <v>-3278.9</v>
      </c>
      <c r="T26" s="125">
        <v>-16.111000000000001</v>
      </c>
      <c r="U26" s="5">
        <v>7.4260000000000003E-3</v>
      </c>
      <c r="V26" s="6">
        <v>-9.1803999999999997E-14</v>
      </c>
      <c r="W26" s="138">
        <v>122.77200000000001</v>
      </c>
      <c r="X26" s="13">
        <v>0.79484999999999995</v>
      </c>
      <c r="Y26" s="14">
        <v>-2.4976999999999998E-3</v>
      </c>
      <c r="Z26" s="30">
        <v>3.5652000000000002E-6</v>
      </c>
      <c r="AA26" s="77">
        <v>0.1338</v>
      </c>
      <c r="AB26" s="5">
        <v>-4.6737999999999999E-5</v>
      </c>
      <c r="AC26" s="15">
        <v>-2.1747E-7</v>
      </c>
      <c r="AD26" s="146">
        <v>42.901000000000003</v>
      </c>
      <c r="AE26" s="147">
        <v>0.28100000000000003</v>
      </c>
      <c r="AF26" s="150">
        <v>47.433999999999997</v>
      </c>
      <c r="AG26" s="152">
        <v>1.1975</v>
      </c>
    </row>
    <row r="27" spans="1:33" x14ac:dyDescent="0.2">
      <c r="A27" s="27">
        <v>9</v>
      </c>
      <c r="B27" s="69">
        <v>3.12609906</v>
      </c>
      <c r="C27" s="28">
        <f t="shared" ref="C27:C59" si="4">(B27-MIN($B$27:$B$59))/(MAX($B$27:$B$59)-MIN($B$27:$B$59))</f>
        <v>0.16201539150061869</v>
      </c>
      <c r="D27" s="29">
        <v>128.25800000000001</v>
      </c>
      <c r="E27" s="47">
        <v>610.04999999999995</v>
      </c>
      <c r="F27" s="44">
        <v>26.75</v>
      </c>
      <c r="G27" s="11">
        <v>4.73E-4</v>
      </c>
      <c r="H27" s="44">
        <f t="shared" si="1"/>
        <v>271.1585623678647</v>
      </c>
      <c r="I27" s="52">
        <f t="shared" si="2"/>
        <v>0.24946491547629257</v>
      </c>
      <c r="J27" s="52">
        <v>0.33800000000000002</v>
      </c>
      <c r="K27" s="75">
        <v>-7.1085000000000003</v>
      </c>
      <c r="L27" s="81">
        <v>1199.5</v>
      </c>
      <c r="M27" s="13">
        <v>1.3899999999999999E-2</v>
      </c>
      <c r="N27" s="12">
        <v>-1.2627E-5</v>
      </c>
      <c r="O27" s="93">
        <v>0.2712</v>
      </c>
      <c r="P27" s="94">
        <v>0.2898</v>
      </c>
      <c r="Q27" s="95">
        <v>0.29339999999999999</v>
      </c>
      <c r="R27" s="111">
        <v>-12.547000000000001</v>
      </c>
      <c r="S27" s="118">
        <v>-2182.8000000000002</v>
      </c>
      <c r="T27" s="125">
        <v>10.63</v>
      </c>
      <c r="U27" s="5">
        <v>-2.2169000000000001E-2</v>
      </c>
      <c r="V27" s="6">
        <v>1.1664999999999999E-5</v>
      </c>
      <c r="W27" s="138">
        <v>100.11199999999999</v>
      </c>
      <c r="X27" s="13">
        <v>1.3624000000000001</v>
      </c>
      <c r="Y27" s="14">
        <v>-3.6579E-3</v>
      </c>
      <c r="Z27" s="30">
        <v>4.0967000000000001E-6</v>
      </c>
      <c r="AA27" s="77">
        <v>0.16819999999999999</v>
      </c>
      <c r="AB27" s="5">
        <v>-6.5398E-5</v>
      </c>
      <c r="AC27" s="15">
        <v>-2.4298000000000002E-7</v>
      </c>
      <c r="AD27" s="146">
        <v>53.622</v>
      </c>
      <c r="AE27" s="147">
        <v>0.36</v>
      </c>
      <c r="AF27" s="150">
        <v>53.366</v>
      </c>
      <c r="AG27" s="152">
        <v>1.236</v>
      </c>
    </row>
    <row r="28" spans="1:33" x14ac:dyDescent="0.2">
      <c r="A28" s="27">
        <v>9</v>
      </c>
      <c r="B28" s="69">
        <v>7.2009867062500001</v>
      </c>
      <c r="C28" s="28">
        <f t="shared" si="4"/>
        <v>0.51205162568976403</v>
      </c>
      <c r="D28" s="29">
        <v>128.25800000000001</v>
      </c>
      <c r="E28" s="47">
        <v>590</v>
      </c>
      <c r="F28" s="44">
        <v>25.7</v>
      </c>
      <c r="G28" s="11">
        <v>5.1099999999999995E-4</v>
      </c>
      <c r="H28" s="44">
        <f t="shared" si="1"/>
        <v>250.99412915851275</v>
      </c>
      <c r="I28" s="52">
        <f t="shared" si="2"/>
        <v>0.26772688909456377</v>
      </c>
      <c r="J28" s="52">
        <v>0.33500000000000002</v>
      </c>
      <c r="K28" s="75">
        <v>-6.0895000000000001</v>
      </c>
      <c r="L28" s="81">
        <v>1033.9000000000001</v>
      </c>
      <c r="M28" s="13">
        <v>1.18E-2</v>
      </c>
      <c r="N28" s="12">
        <v>-1.1518000000000001E-5</v>
      </c>
      <c r="O28" s="93">
        <v>0.24979999999999999</v>
      </c>
      <c r="P28" s="94">
        <v>0.26900000000000002</v>
      </c>
      <c r="Q28" s="95">
        <v>0.28570000000000001</v>
      </c>
      <c r="R28" s="111">
        <v>10.103999999999999</v>
      </c>
      <c r="S28" s="118">
        <v>-2614.1999999999998</v>
      </c>
      <c r="T28" s="125">
        <v>0.90710000000000002</v>
      </c>
      <c r="U28" s="5">
        <v>-1.0373E-2</v>
      </c>
      <c r="V28" s="6">
        <v>6.3651999999999996E-6</v>
      </c>
      <c r="W28" s="138">
        <v>172.71600000000001</v>
      </c>
      <c r="X28" s="13">
        <v>0.62189000000000005</v>
      </c>
      <c r="Y28" s="14">
        <v>-1.7285E-3</v>
      </c>
      <c r="Z28" s="30">
        <v>2.5413999999999999E-6</v>
      </c>
      <c r="AA28" s="77">
        <v>0.1739</v>
      </c>
      <c r="AB28" s="5">
        <v>-9.0365000000000006E-5</v>
      </c>
      <c r="AC28" s="15">
        <v>-2.3596999999999999E-7</v>
      </c>
      <c r="AD28" s="146">
        <v>53.749000000000002</v>
      </c>
      <c r="AE28" s="147">
        <v>0.38200000000000001</v>
      </c>
      <c r="AF28" s="150">
        <v>53.58</v>
      </c>
      <c r="AG28" s="152">
        <v>1.2701</v>
      </c>
    </row>
    <row r="29" spans="1:33" x14ac:dyDescent="0.2">
      <c r="A29" s="27">
        <v>9</v>
      </c>
      <c r="B29" s="69">
        <v>5.8842201599999999</v>
      </c>
      <c r="C29" s="28">
        <f t="shared" si="4"/>
        <v>0.39894028541029286</v>
      </c>
      <c r="D29" s="29">
        <v>128.25800000000001</v>
      </c>
      <c r="E29" s="47">
        <v>591</v>
      </c>
      <c r="F29" s="44">
        <v>25.3</v>
      </c>
      <c r="G29" s="11">
        <v>5.1199999999999998E-4</v>
      </c>
      <c r="H29" s="44">
        <f t="shared" si="1"/>
        <v>250.50390625000003</v>
      </c>
      <c r="I29" s="52">
        <f t="shared" si="2"/>
        <v>0.26362887787993017</v>
      </c>
      <c r="J29" s="52">
        <v>0.35299999999999998</v>
      </c>
      <c r="K29" s="75">
        <v>-6.0364000000000004</v>
      </c>
      <c r="L29" s="81">
        <v>1030.9000000000001</v>
      </c>
      <c r="M29" s="13">
        <v>1.17E-2</v>
      </c>
      <c r="N29" s="12">
        <v>-1.1454000000000001E-5</v>
      </c>
      <c r="O29" s="93">
        <v>0.24840000000000001</v>
      </c>
      <c r="P29" s="94">
        <v>0.26590000000000003</v>
      </c>
      <c r="Q29" s="95">
        <v>0.28570000000000001</v>
      </c>
      <c r="R29" s="111">
        <v>12.553000000000001</v>
      </c>
      <c r="S29" s="118">
        <v>-2730.6</v>
      </c>
      <c r="T29" s="125">
        <v>3.5999999999999997E-2</v>
      </c>
      <c r="U29" s="5">
        <v>-1.0319999999999999E-2</v>
      </c>
      <c r="V29" s="6">
        <v>6.6977000000000003E-6</v>
      </c>
      <c r="W29" s="138">
        <v>181.12700000000001</v>
      </c>
      <c r="X29" s="13">
        <v>0.59323000000000004</v>
      </c>
      <c r="Y29" s="14">
        <v>-1.6693999999999999E-3</v>
      </c>
      <c r="Z29" s="30">
        <v>2.5270999999999999E-6</v>
      </c>
      <c r="AA29" s="77">
        <v>0.17649999999999999</v>
      </c>
      <c r="AB29" s="5">
        <v>-9.7300999999999996E-5</v>
      </c>
      <c r="AC29" s="15">
        <v>-2.2989E-7</v>
      </c>
      <c r="AD29" s="146">
        <v>54.246000000000002</v>
      </c>
      <c r="AE29" s="147">
        <v>0.377</v>
      </c>
      <c r="AF29" s="150">
        <v>53.703000000000003</v>
      </c>
      <c r="AG29" s="152">
        <v>1.2494000000000001</v>
      </c>
    </row>
    <row r="30" spans="1:33" x14ac:dyDescent="0.2">
      <c r="A30" s="27">
        <v>9</v>
      </c>
      <c r="B30" s="69">
        <v>6.3698173825</v>
      </c>
      <c r="C30" s="28">
        <f t="shared" si="4"/>
        <v>0.44065349025240252</v>
      </c>
      <c r="D30" s="29">
        <v>128.25800000000001</v>
      </c>
      <c r="E30" s="47">
        <v>606.79999999999995</v>
      </c>
      <c r="F30" s="44">
        <v>26.85</v>
      </c>
      <c r="G30" s="11">
        <v>4.7699999999999999E-4</v>
      </c>
      <c r="H30" s="44">
        <f t="shared" si="1"/>
        <v>268.88469601677156</v>
      </c>
      <c r="I30" s="52">
        <f t="shared" si="2"/>
        <v>0.25386748277757859</v>
      </c>
      <c r="J30" s="52">
        <v>0.34899999999999998</v>
      </c>
      <c r="K30" s="75">
        <v>-7.3677000000000001</v>
      </c>
      <c r="L30" s="81">
        <v>1228</v>
      </c>
      <c r="M30" s="13">
        <v>1.46E-2</v>
      </c>
      <c r="N30" s="12">
        <v>-1.3276E-5</v>
      </c>
      <c r="O30" s="93">
        <v>0.24260000000000001</v>
      </c>
      <c r="P30" s="94">
        <v>0.254</v>
      </c>
      <c r="Q30" s="95">
        <v>0.28570000000000001</v>
      </c>
      <c r="R30" s="111">
        <v>113.95</v>
      </c>
      <c r="S30" s="118">
        <v>-5321.8</v>
      </c>
      <c r="T30" s="125">
        <v>-41.997</v>
      </c>
      <c r="U30" s="5">
        <v>3.1892999999999998E-2</v>
      </c>
      <c r="V30" s="6">
        <v>-9.1036000000000004E-6</v>
      </c>
      <c r="W30" s="138">
        <v>262.7</v>
      </c>
      <c r="X30" s="13">
        <v>-0.20699999999999999</v>
      </c>
      <c r="Y30" s="14">
        <v>8.7062000000000001E-4</v>
      </c>
      <c r="Z30" s="30">
        <v>0</v>
      </c>
      <c r="AA30" s="77">
        <v>0.1739</v>
      </c>
      <c r="AB30" s="5">
        <v>-8.8685999999999998E-5</v>
      </c>
      <c r="AC30" s="15">
        <v>-2.2214999999999999E-7</v>
      </c>
      <c r="AD30" s="146">
        <v>55.015999999999998</v>
      </c>
      <c r="AE30" s="147">
        <v>0.38</v>
      </c>
      <c r="AF30" s="150">
        <v>51.774000000000001</v>
      </c>
      <c r="AG30" s="152">
        <v>1.2222</v>
      </c>
    </row>
    <row r="31" spans="1:33" x14ac:dyDescent="0.2">
      <c r="A31" s="27">
        <v>9</v>
      </c>
      <c r="B31" s="69">
        <v>4.5630172612499997</v>
      </c>
      <c r="C31" s="28">
        <f t="shared" si="4"/>
        <v>0.28544785876539397</v>
      </c>
      <c r="D31" s="29">
        <v>128.25800000000001</v>
      </c>
      <c r="E31" s="47">
        <v>581.1</v>
      </c>
      <c r="F31" s="44">
        <v>23.51</v>
      </c>
      <c r="G31" s="11">
        <v>5.22E-4</v>
      </c>
      <c r="H31" s="44">
        <f t="shared" si="1"/>
        <v>245.70498084291191</v>
      </c>
      <c r="I31" s="52">
        <f t="shared" si="2"/>
        <v>0.25401668059883437</v>
      </c>
      <c r="J31" s="52">
        <v>0.39300000000000002</v>
      </c>
      <c r="K31" s="75">
        <v>-4.7906000000000004</v>
      </c>
      <c r="L31" s="81">
        <v>769.71</v>
      </c>
      <c r="M31" s="13">
        <v>9.9000000000000008E-3</v>
      </c>
      <c r="N31" s="12">
        <v>-1.0899E-5</v>
      </c>
      <c r="O31" s="93">
        <v>0.23350000000000001</v>
      </c>
      <c r="P31" s="94">
        <v>0.254</v>
      </c>
      <c r="Q31" s="95">
        <v>0.28570000000000001</v>
      </c>
      <c r="R31" s="111">
        <v>19.076000000000001</v>
      </c>
      <c r="S31" s="118">
        <v>-2668.5</v>
      </c>
      <c r="T31" s="125">
        <v>-3.7033</v>
      </c>
      <c r="U31" s="14">
        <v>0</v>
      </c>
      <c r="V31" s="30">
        <v>0</v>
      </c>
      <c r="W31" s="138">
        <v>247.06100000000001</v>
      </c>
      <c r="X31" s="13">
        <v>-0.19425000000000001</v>
      </c>
      <c r="Y31" s="14">
        <v>8.8542999999999998E-4</v>
      </c>
      <c r="Z31" s="30">
        <v>0</v>
      </c>
      <c r="AA31" s="77">
        <v>0.1784</v>
      </c>
      <c r="AB31" s="5">
        <v>-9.4529000000000002E-5</v>
      </c>
      <c r="AC31" s="15">
        <v>-2.4926E-7</v>
      </c>
      <c r="AD31" s="146">
        <v>56.558</v>
      </c>
      <c r="AE31" s="147">
        <v>0.38</v>
      </c>
      <c r="AF31" s="150">
        <v>50.344000000000001</v>
      </c>
      <c r="AG31" s="152">
        <v>1.2222</v>
      </c>
    </row>
    <row r="32" spans="1:33" x14ac:dyDescent="0.2">
      <c r="A32" s="27">
        <v>9</v>
      </c>
      <c r="B32" s="69">
        <v>5.2562780737499999</v>
      </c>
      <c r="C32" s="28">
        <f t="shared" si="4"/>
        <v>0.34499953851335613</v>
      </c>
      <c r="D32" s="29">
        <v>128.25800000000001</v>
      </c>
      <c r="E32" s="47">
        <v>579</v>
      </c>
      <c r="F32" s="44">
        <v>23</v>
      </c>
      <c r="G32" s="11">
        <v>5.1999999999999995E-4</v>
      </c>
      <c r="H32" s="44">
        <f t="shared" si="1"/>
        <v>246.65000000000006</v>
      </c>
      <c r="I32" s="52">
        <f t="shared" si="2"/>
        <v>0.24845205643933299</v>
      </c>
      <c r="J32" s="52">
        <v>0.39300000000000002</v>
      </c>
      <c r="K32" s="75">
        <v>-4.1913999999999998</v>
      </c>
      <c r="L32" s="81">
        <v>689.48</v>
      </c>
      <c r="M32" s="13">
        <v>8.5000000000000006E-3</v>
      </c>
      <c r="N32" s="12">
        <v>-9.8431999999999992E-6</v>
      </c>
      <c r="O32" s="93">
        <v>0.2467</v>
      </c>
      <c r="P32" s="94">
        <v>0.27279999999999999</v>
      </c>
      <c r="Q32" s="95">
        <v>0.2923</v>
      </c>
      <c r="R32" s="111">
        <v>49.677999999999997</v>
      </c>
      <c r="S32" s="118">
        <v>-3712.8</v>
      </c>
      <c r="T32" s="125">
        <v>-15.362</v>
      </c>
      <c r="U32" s="5">
        <v>5.8912000000000001E-3</v>
      </c>
      <c r="V32" s="6">
        <v>1.0266E-13</v>
      </c>
      <c r="W32" s="138">
        <v>172.48500000000001</v>
      </c>
      <c r="X32" s="13">
        <v>0.72111999999999998</v>
      </c>
      <c r="Y32" s="14">
        <v>-2.0692000000000002E-3</v>
      </c>
      <c r="Z32" s="30">
        <v>3.0054999999999999E-6</v>
      </c>
      <c r="AA32" s="77">
        <v>0.1779</v>
      </c>
      <c r="AB32" s="5">
        <v>-9.1024000000000001E-5</v>
      </c>
      <c r="AC32" s="15">
        <v>-2.5597999999999999E-7</v>
      </c>
      <c r="AD32" s="146">
        <v>58.106999999999999</v>
      </c>
      <c r="AE32" s="147">
        <v>0.40600000000000003</v>
      </c>
      <c r="AF32" s="150">
        <v>50.17</v>
      </c>
      <c r="AG32" s="152">
        <v>1.238</v>
      </c>
    </row>
    <row r="33" spans="1:33" x14ac:dyDescent="0.2">
      <c r="A33" s="27">
        <v>9</v>
      </c>
      <c r="B33" s="69">
        <v>3.5620902624999999</v>
      </c>
      <c r="C33" s="28">
        <f t="shared" si="4"/>
        <v>0.19946739801253863</v>
      </c>
      <c r="D33" s="29">
        <v>128.25800000000001</v>
      </c>
      <c r="E33" s="47">
        <v>591.9</v>
      </c>
      <c r="F33" s="44">
        <v>24.62</v>
      </c>
      <c r="G33" s="11">
        <v>5.0299999999999997E-4</v>
      </c>
      <c r="H33" s="44">
        <f t="shared" si="1"/>
        <v>254.98608349900599</v>
      </c>
      <c r="I33" s="52">
        <f t="shared" si="2"/>
        <v>0.25165042808083127</v>
      </c>
      <c r="J33" s="52">
        <v>0.379</v>
      </c>
      <c r="K33" s="75">
        <v>-5.7755000000000001</v>
      </c>
      <c r="L33" s="81">
        <v>914.08</v>
      </c>
      <c r="M33" s="13">
        <v>1.21E-2</v>
      </c>
      <c r="N33" s="12">
        <v>-1.221E-5</v>
      </c>
      <c r="O33" s="93">
        <v>0.2354</v>
      </c>
      <c r="P33" s="94">
        <v>0.252</v>
      </c>
      <c r="Q33" s="95">
        <v>0.28570000000000001</v>
      </c>
      <c r="R33" s="111">
        <v>73.325000000000003</v>
      </c>
      <c r="S33" s="118">
        <v>-4408.8999999999996</v>
      </c>
      <c r="T33" s="125">
        <v>-24.821999999999999</v>
      </c>
      <c r="U33" s="5">
        <v>1.32E-2</v>
      </c>
      <c r="V33" s="6">
        <v>-1.7419E-6</v>
      </c>
      <c r="W33" s="138">
        <v>256.47199999999998</v>
      </c>
      <c r="X33" s="13">
        <v>-0.21263000000000001</v>
      </c>
      <c r="Y33" s="14">
        <v>9.0306000000000002E-4</v>
      </c>
      <c r="Z33" s="30">
        <v>0</v>
      </c>
      <c r="AA33" s="77">
        <v>0.17649999999999999</v>
      </c>
      <c r="AB33" s="5">
        <v>-9.0331E-5</v>
      </c>
      <c r="AC33" s="15">
        <v>-2.4003000000000001E-7</v>
      </c>
      <c r="AD33" s="146">
        <v>57.381999999999998</v>
      </c>
      <c r="AE33" s="147">
        <v>0.38</v>
      </c>
      <c r="AF33" s="150">
        <v>52.694000000000003</v>
      </c>
      <c r="AG33" s="152">
        <v>1.2222</v>
      </c>
    </row>
    <row r="34" spans="1:33" x14ac:dyDescent="0.2">
      <c r="A34" s="27">
        <v>9</v>
      </c>
      <c r="B34" s="69">
        <v>3.8719381799999999</v>
      </c>
      <c r="C34" s="28">
        <f t="shared" si="4"/>
        <v>0.22608359154436758</v>
      </c>
      <c r="D34" s="29">
        <v>128.25800000000001</v>
      </c>
      <c r="E34" s="47">
        <v>583.20000000000005</v>
      </c>
      <c r="F34" s="44">
        <v>24.01</v>
      </c>
      <c r="G34" s="11">
        <v>5.1000000000000004E-4</v>
      </c>
      <c r="H34" s="44">
        <f t="shared" si="1"/>
        <v>251.48627450980393</v>
      </c>
      <c r="I34" s="52">
        <f t="shared" si="2"/>
        <v>0.25254268916231337</v>
      </c>
      <c r="J34" s="52">
        <v>0.38500000000000001</v>
      </c>
      <c r="K34" s="75">
        <v>-5.2252000000000001</v>
      </c>
      <c r="L34" s="81">
        <v>828.12</v>
      </c>
      <c r="M34" s="13">
        <v>1.09E-2</v>
      </c>
      <c r="N34" s="12">
        <v>-1.1598E-5</v>
      </c>
      <c r="O34" s="93">
        <v>0.2344</v>
      </c>
      <c r="P34" s="94">
        <v>0.253</v>
      </c>
      <c r="Q34" s="95">
        <v>0.28570000000000001</v>
      </c>
      <c r="R34" s="111">
        <v>51.85</v>
      </c>
      <c r="S34" s="118">
        <v>-3875</v>
      </c>
      <c r="T34" s="125">
        <v>-15.826000000000001</v>
      </c>
      <c r="U34" s="5">
        <v>3.6660999999999998E-3</v>
      </c>
      <c r="V34" s="6">
        <v>2.0126E-6</v>
      </c>
      <c r="W34" s="138">
        <v>250.917</v>
      </c>
      <c r="X34" s="13">
        <v>-0.21496999999999999</v>
      </c>
      <c r="Y34" s="14">
        <v>9.1060000000000002E-4</v>
      </c>
      <c r="Z34" s="30">
        <v>0</v>
      </c>
      <c r="AA34" s="77">
        <v>0.17699999999999999</v>
      </c>
      <c r="AB34" s="5">
        <v>-9.1000000000000003E-5</v>
      </c>
      <c r="AC34" s="15">
        <v>-2.4931E-7</v>
      </c>
      <c r="AD34" s="146">
        <v>56.442</v>
      </c>
      <c r="AE34" s="147">
        <v>0.38</v>
      </c>
      <c r="AF34" s="150">
        <v>51.262999999999998</v>
      </c>
      <c r="AG34" s="152">
        <v>1.2222</v>
      </c>
    </row>
    <row r="35" spans="1:33" x14ac:dyDescent="0.2">
      <c r="A35" s="27">
        <v>9</v>
      </c>
      <c r="B35" s="69">
        <v>4.25791728</v>
      </c>
      <c r="C35" s="28">
        <f t="shared" si="4"/>
        <v>0.25923951690197844</v>
      </c>
      <c r="D35" s="29">
        <v>128.25800000000001</v>
      </c>
      <c r="E35" s="47">
        <v>589.6</v>
      </c>
      <c r="F35" s="44">
        <v>24.01</v>
      </c>
      <c r="G35" s="11">
        <v>5.1500000000000005E-4</v>
      </c>
      <c r="H35" s="44">
        <f t="shared" si="1"/>
        <v>249.04466019417475</v>
      </c>
      <c r="I35" s="52">
        <f t="shared" si="2"/>
        <v>0.25225041771264833</v>
      </c>
      <c r="J35" s="52">
        <v>0.38500000000000001</v>
      </c>
      <c r="K35" s="75">
        <v>-5.2706999999999997</v>
      </c>
      <c r="L35" s="81">
        <v>846.27</v>
      </c>
      <c r="M35" s="13">
        <v>1.09E-2</v>
      </c>
      <c r="N35" s="12">
        <v>-1.1385E-5</v>
      </c>
      <c r="O35" s="93">
        <v>0.2339</v>
      </c>
      <c r="P35" s="94">
        <v>0.252</v>
      </c>
      <c r="Q35" s="95">
        <v>0.28570000000000001</v>
      </c>
      <c r="R35" s="111">
        <v>72.938000000000002</v>
      </c>
      <c r="S35" s="118">
        <v>-4420.8999999999996</v>
      </c>
      <c r="T35" s="125">
        <v>-24.596</v>
      </c>
      <c r="U35" s="5">
        <v>1.2655E-2</v>
      </c>
      <c r="V35" s="6">
        <v>-1.4423999999999999E-6</v>
      </c>
      <c r="W35" s="138">
        <v>252.53700000000001</v>
      </c>
      <c r="X35" s="13">
        <v>-0.19353999999999999</v>
      </c>
      <c r="Y35" s="14">
        <v>8.8252999999999997E-4</v>
      </c>
      <c r="Z35" s="30">
        <v>0</v>
      </c>
      <c r="AA35" s="77">
        <v>0.1779</v>
      </c>
      <c r="AB35" s="5">
        <v>-9.3741999999999998E-5</v>
      </c>
      <c r="AC35" s="15">
        <v>-2.4019999999999999E-7</v>
      </c>
      <c r="AD35" s="146">
        <v>57.170999999999999</v>
      </c>
      <c r="AE35" s="147">
        <v>0.38</v>
      </c>
      <c r="AF35" s="150">
        <v>51.886000000000003</v>
      </c>
      <c r="AG35" s="152">
        <v>1.2222</v>
      </c>
    </row>
    <row r="36" spans="1:33" x14ac:dyDescent="0.2">
      <c r="A36" s="27">
        <v>9</v>
      </c>
      <c r="B36" s="69">
        <v>4.5622634575000003</v>
      </c>
      <c r="C36" s="28">
        <f t="shared" si="4"/>
        <v>0.28538310639701636</v>
      </c>
      <c r="D36" s="29">
        <v>128.25800000000001</v>
      </c>
      <c r="E36" s="47">
        <v>576.79999999999995</v>
      </c>
      <c r="F36" s="44">
        <v>23.41</v>
      </c>
      <c r="G36" s="11">
        <v>5.1699999999999999E-4</v>
      </c>
      <c r="H36" s="44">
        <f t="shared" si="1"/>
        <v>248.08123791102514</v>
      </c>
      <c r="I36" s="52">
        <f t="shared" si="2"/>
        <v>0.2523810163295907</v>
      </c>
      <c r="J36" s="52">
        <v>0.39</v>
      </c>
      <c r="K36" s="75">
        <v>-4.5465999999999998</v>
      </c>
      <c r="L36" s="81">
        <v>730.04</v>
      </c>
      <c r="M36" s="13">
        <v>9.4000000000000004E-3</v>
      </c>
      <c r="N36" s="12">
        <v>-1.062E-5</v>
      </c>
      <c r="O36" s="93">
        <v>0.23219999999999999</v>
      </c>
      <c r="P36" s="94">
        <v>0.252</v>
      </c>
      <c r="Q36" s="95">
        <v>0.28570000000000001</v>
      </c>
      <c r="R36" s="111">
        <v>43.366999999999997</v>
      </c>
      <c r="S36" s="118">
        <v>-3662.8</v>
      </c>
      <c r="T36" s="125">
        <v>-12.244999999999999</v>
      </c>
      <c r="U36" s="5">
        <v>-3.1998999999999998E-4</v>
      </c>
      <c r="V36" s="6">
        <v>3.6683999999999999E-6</v>
      </c>
      <c r="W36" s="138">
        <v>243.392</v>
      </c>
      <c r="X36" s="13">
        <v>-0.19716</v>
      </c>
      <c r="Y36" s="14">
        <v>8.9422000000000004E-4</v>
      </c>
      <c r="Z36" s="30">
        <v>0</v>
      </c>
      <c r="AA36" s="77">
        <v>0.17829999999999999</v>
      </c>
      <c r="AB36" s="5">
        <v>-9.5075999999999996E-5</v>
      </c>
      <c r="AC36" s="15">
        <v>-2.5287000000000001E-7</v>
      </c>
      <c r="AD36" s="146">
        <v>56.149000000000001</v>
      </c>
      <c r="AE36" s="147">
        <v>0.38</v>
      </c>
      <c r="AF36" s="150">
        <v>50.832000000000001</v>
      </c>
      <c r="AG36" s="152">
        <v>1.2222</v>
      </c>
    </row>
    <row r="37" spans="1:33" x14ac:dyDescent="0.2">
      <c r="A37" s="27">
        <v>9</v>
      </c>
      <c r="B37" s="69">
        <v>5.3378246699999998</v>
      </c>
      <c r="C37" s="28">
        <f t="shared" si="4"/>
        <v>0.35200445887933507</v>
      </c>
      <c r="D37" s="29">
        <v>128.25800000000001</v>
      </c>
      <c r="E37" s="47">
        <v>585.4</v>
      </c>
      <c r="F37" s="44">
        <v>24.32</v>
      </c>
      <c r="G37" s="11">
        <v>5.0100000000000003E-4</v>
      </c>
      <c r="H37" s="44">
        <f t="shared" si="1"/>
        <v>256.00399201596809</v>
      </c>
      <c r="I37" s="52">
        <f t="shared" si="2"/>
        <v>0.25034479034749757</v>
      </c>
      <c r="J37" s="52">
        <v>0.36399999999999999</v>
      </c>
      <c r="K37" s="75">
        <v>-5.2146999999999997</v>
      </c>
      <c r="L37" s="81">
        <v>828.87</v>
      </c>
      <c r="M37" s="13">
        <v>1.0800000000000001E-2</v>
      </c>
      <c r="N37" s="12">
        <v>-1.1382999999999999E-5</v>
      </c>
      <c r="O37" s="93">
        <v>0.23280000000000001</v>
      </c>
      <c r="P37" s="94">
        <v>0.25</v>
      </c>
      <c r="Q37" s="95">
        <v>0.28570000000000001</v>
      </c>
      <c r="R37" s="111">
        <v>64.873999999999995</v>
      </c>
      <c r="S37" s="118">
        <v>-4109.8</v>
      </c>
      <c r="T37" s="125">
        <v>-21.452999999999999</v>
      </c>
      <c r="U37" s="5">
        <v>1.0302E-2</v>
      </c>
      <c r="V37" s="6">
        <v>-7.4066000000000002E-7</v>
      </c>
      <c r="W37" s="138">
        <v>250.04499999999999</v>
      </c>
      <c r="X37" s="13">
        <v>-0.21515999999999999</v>
      </c>
      <c r="Y37" s="14">
        <v>9.0978000000000001E-4</v>
      </c>
      <c r="Z37" s="30">
        <v>0</v>
      </c>
      <c r="AA37" s="77">
        <v>0.17599999999999999</v>
      </c>
      <c r="AB37" s="5">
        <v>-9.1206999999999996E-5</v>
      </c>
      <c r="AC37" s="15">
        <v>-2.4431E-7</v>
      </c>
      <c r="AD37" s="146">
        <v>55.695</v>
      </c>
      <c r="AE37" s="147">
        <v>0.38</v>
      </c>
      <c r="AF37" s="150">
        <v>51.567</v>
      </c>
      <c r="AG37" s="152">
        <v>1.2222</v>
      </c>
    </row>
    <row r="38" spans="1:33" x14ac:dyDescent="0.2">
      <c r="A38" s="27">
        <v>9</v>
      </c>
      <c r="B38" s="69">
        <v>6.4422519200000004</v>
      </c>
      <c r="C38" s="28">
        <f t="shared" si="4"/>
        <v>0.44687567720154842</v>
      </c>
      <c r="D38" s="29">
        <v>128.25800000000001</v>
      </c>
      <c r="E38" s="47">
        <v>576.79999999999995</v>
      </c>
      <c r="F38" s="44">
        <v>23.5</v>
      </c>
      <c r="G38" s="11">
        <v>5.1900000000000004E-4</v>
      </c>
      <c r="H38" s="44">
        <f t="shared" si="1"/>
        <v>247.1252408477842</v>
      </c>
      <c r="I38" s="52">
        <f t="shared" si="2"/>
        <v>0.25433138028631425</v>
      </c>
      <c r="J38" s="52">
        <v>0.39</v>
      </c>
      <c r="K38" s="75">
        <v>-4.6654999999999998</v>
      </c>
      <c r="L38" s="81">
        <v>745.01</v>
      </c>
      <c r="M38" s="13">
        <v>9.7000000000000003E-3</v>
      </c>
      <c r="N38" s="12">
        <v>-1.0851E-5</v>
      </c>
      <c r="O38" s="93">
        <v>0.24709999999999999</v>
      </c>
      <c r="P38" s="94">
        <v>0.27229999999999999</v>
      </c>
      <c r="Q38" s="95">
        <v>0.29380000000000001</v>
      </c>
      <c r="R38" s="111">
        <v>45.143999999999998</v>
      </c>
      <c r="S38" s="118">
        <v>-3701.1</v>
      </c>
      <c r="T38" s="125">
        <v>-12.946999999999999</v>
      </c>
      <c r="U38" s="5">
        <v>7.5743000000000001E-11</v>
      </c>
      <c r="V38" s="6">
        <v>3.8060999999999999E-6</v>
      </c>
      <c r="W38" s="138">
        <v>177.316</v>
      </c>
      <c r="X38" s="13">
        <v>0.70462999999999998</v>
      </c>
      <c r="Y38" s="14">
        <v>-2.0349999999999999E-3</v>
      </c>
      <c r="Z38" s="30">
        <v>3.0139000000000001E-6</v>
      </c>
      <c r="AA38" s="77">
        <v>0.1782</v>
      </c>
      <c r="AB38" s="5">
        <v>-9.5118000000000006E-5</v>
      </c>
      <c r="AC38" s="15">
        <v>-2.5256999999999999E-7</v>
      </c>
      <c r="AD38" s="146">
        <v>56.72</v>
      </c>
      <c r="AE38" s="147">
        <v>0.39600000000000002</v>
      </c>
      <c r="AF38" s="150">
        <v>51.63</v>
      </c>
      <c r="AG38" s="152">
        <v>1.2766999999999999</v>
      </c>
    </row>
    <row r="39" spans="1:33" x14ac:dyDescent="0.2">
      <c r="A39" s="27">
        <v>9</v>
      </c>
      <c r="B39" s="69">
        <v>3.5635875625</v>
      </c>
      <c r="C39" s="28">
        <f t="shared" si="4"/>
        <v>0.19959601732648061</v>
      </c>
      <c r="D39" s="29">
        <v>128.25800000000001</v>
      </c>
      <c r="E39" s="47">
        <v>588.1</v>
      </c>
      <c r="F39" s="44">
        <v>24.52</v>
      </c>
      <c r="G39" s="11">
        <v>4.9700000000000005E-4</v>
      </c>
      <c r="H39" s="44">
        <f t="shared" si="1"/>
        <v>258.06438631790741</v>
      </c>
      <c r="I39" s="52">
        <f t="shared" si="2"/>
        <v>0.24923880195115075</v>
      </c>
      <c r="J39" s="52">
        <v>0.378</v>
      </c>
      <c r="K39" s="75">
        <v>-5.6619999999999999</v>
      </c>
      <c r="L39" s="81">
        <v>892.27</v>
      </c>
      <c r="M39" s="13">
        <v>1.1900000000000001E-2</v>
      </c>
      <c r="N39" s="12">
        <v>-1.2169E-5</v>
      </c>
      <c r="O39" s="93">
        <v>0.23419999999999999</v>
      </c>
      <c r="P39" s="94">
        <v>0.249</v>
      </c>
      <c r="Q39" s="95">
        <v>0.28570000000000001</v>
      </c>
      <c r="R39" s="111">
        <v>69.466999999999999</v>
      </c>
      <c r="S39" s="118">
        <v>-4284.5</v>
      </c>
      <c r="T39" s="125">
        <v>-23.254999999999999</v>
      </c>
      <c r="U39" s="5">
        <v>1.1738999999999999E-2</v>
      </c>
      <c r="V39" s="6">
        <v>-1.2011E-6</v>
      </c>
      <c r="W39" s="138">
        <v>249.595</v>
      </c>
      <c r="X39" s="13">
        <v>-0.19553999999999999</v>
      </c>
      <c r="Y39" s="14">
        <v>8.876E-4</v>
      </c>
      <c r="Z39" s="30">
        <v>0</v>
      </c>
      <c r="AA39" s="77">
        <v>0.1772</v>
      </c>
      <c r="AB39" s="5">
        <v>-9.4166000000000006E-5</v>
      </c>
      <c r="AC39" s="15">
        <v>-2.3955E-7</v>
      </c>
      <c r="AD39" s="146">
        <v>56.793999999999997</v>
      </c>
      <c r="AE39" s="147">
        <v>0.38</v>
      </c>
      <c r="AF39" s="150">
        <v>53.024999999999999</v>
      </c>
      <c r="AG39" s="152">
        <v>1.2222</v>
      </c>
    </row>
    <row r="40" spans="1:33" x14ac:dyDescent="0.2">
      <c r="A40" s="27">
        <v>9</v>
      </c>
      <c r="B40" s="69">
        <v>3.8717024800000002</v>
      </c>
      <c r="C40" s="28">
        <f t="shared" si="4"/>
        <v>0.22606334471855036</v>
      </c>
      <c r="D40" s="29">
        <v>128.25800000000001</v>
      </c>
      <c r="E40" s="47">
        <v>580</v>
      </c>
      <c r="F40" s="44">
        <v>24.01</v>
      </c>
      <c r="G40" s="11">
        <v>5.04E-4</v>
      </c>
      <c r="H40" s="44">
        <f t="shared" si="1"/>
        <v>254.48015873015876</v>
      </c>
      <c r="I40" s="52">
        <f t="shared" si="2"/>
        <v>0.25094854545303724</v>
      </c>
      <c r="J40" s="52">
        <v>0.38600000000000001</v>
      </c>
      <c r="K40" s="75">
        <v>-5.2202999999999999</v>
      </c>
      <c r="L40" s="81">
        <v>821.25</v>
      </c>
      <c r="M40" s="13">
        <v>1.0999999999999999E-2</v>
      </c>
      <c r="N40" s="12">
        <v>-1.1749000000000001E-5</v>
      </c>
      <c r="O40" s="93">
        <v>0.2336</v>
      </c>
      <c r="P40" s="94">
        <v>0.251</v>
      </c>
      <c r="Q40" s="95">
        <v>0.28570000000000001</v>
      </c>
      <c r="R40" s="111">
        <v>54.648000000000003</v>
      </c>
      <c r="S40" s="118">
        <v>-3913.4</v>
      </c>
      <c r="T40" s="125">
        <v>-17.035</v>
      </c>
      <c r="U40" s="5">
        <v>5.0564E-3</v>
      </c>
      <c r="V40" s="6">
        <v>1.4792E-6</v>
      </c>
      <c r="W40" s="138">
        <v>244.51900000000001</v>
      </c>
      <c r="X40" s="13">
        <v>-0.19622000000000001</v>
      </c>
      <c r="Y40" s="14">
        <v>8.9043E-4</v>
      </c>
      <c r="Z40" s="30">
        <v>0</v>
      </c>
      <c r="AA40" s="77">
        <v>0.24829999999999999</v>
      </c>
      <c r="AB40" s="5">
        <v>-6.3024999999999995E-4</v>
      </c>
      <c r="AC40" s="15">
        <v>5.75E-7</v>
      </c>
      <c r="AD40" s="146">
        <v>56.447000000000003</v>
      </c>
      <c r="AE40" s="147">
        <v>0.38</v>
      </c>
      <c r="AF40" s="150">
        <v>51.506999999999998</v>
      </c>
      <c r="AG40" s="152">
        <v>1.2222</v>
      </c>
    </row>
    <row r="41" spans="1:33" x14ac:dyDescent="0.2">
      <c r="A41" s="27">
        <v>9</v>
      </c>
      <c r="B41" s="69">
        <v>4.2328053099999998</v>
      </c>
      <c r="C41" s="28">
        <f t="shared" si="4"/>
        <v>0.25708237781620263</v>
      </c>
      <c r="D41" s="29">
        <v>128.25800000000001</v>
      </c>
      <c r="E41" s="47">
        <v>597.5</v>
      </c>
      <c r="F41" s="44">
        <v>25.53</v>
      </c>
      <c r="G41" s="11">
        <v>4.8700000000000002E-4</v>
      </c>
      <c r="H41" s="44">
        <f t="shared" si="1"/>
        <v>263.36344969199178</v>
      </c>
      <c r="I41" s="52">
        <f t="shared" si="2"/>
        <v>0.25028328483588203</v>
      </c>
      <c r="J41" s="52">
        <v>0.35199999999999998</v>
      </c>
      <c r="K41" s="75">
        <v>-6.1574999999999998</v>
      </c>
      <c r="L41" s="81">
        <v>969.95</v>
      </c>
      <c r="M41" s="13">
        <v>1.2800000000000001E-2</v>
      </c>
      <c r="N41" s="12">
        <v>-1.2561999999999999E-5</v>
      </c>
      <c r="O41" s="93">
        <v>0.23619999999999999</v>
      </c>
      <c r="P41" s="94">
        <v>0.25</v>
      </c>
      <c r="Q41" s="95">
        <v>0.28570000000000001</v>
      </c>
      <c r="R41" s="111">
        <v>65.44</v>
      </c>
      <c r="S41" s="118">
        <v>-4135.6000000000004</v>
      </c>
      <c r="T41" s="125">
        <v>-21.748999999999999</v>
      </c>
      <c r="U41" s="5">
        <v>1.0999E-2</v>
      </c>
      <c r="V41" s="6">
        <v>-1.1937999999999999E-6</v>
      </c>
      <c r="W41" s="138">
        <v>252.84299999999999</v>
      </c>
      <c r="X41" s="13">
        <v>-0.18862999999999999</v>
      </c>
      <c r="Y41" s="14">
        <v>8.6328999999999996E-4</v>
      </c>
      <c r="Z41" s="30">
        <v>0</v>
      </c>
      <c r="AA41" s="77">
        <v>0.1757</v>
      </c>
      <c r="AB41" s="5">
        <v>-9.3618999999999999E-5</v>
      </c>
      <c r="AC41" s="15">
        <v>-2.2733000000000001E-7</v>
      </c>
      <c r="AD41" s="146">
        <v>55.932000000000002</v>
      </c>
      <c r="AE41" s="147">
        <v>0.38</v>
      </c>
      <c r="AF41" s="150">
        <v>52.996000000000002</v>
      </c>
      <c r="AG41" s="152">
        <v>1.2222</v>
      </c>
    </row>
    <row r="42" spans="1:33" x14ac:dyDescent="0.2">
      <c r="A42" s="27">
        <v>9</v>
      </c>
      <c r="B42" s="69">
        <v>2.8724042975000001</v>
      </c>
      <c r="C42" s="28">
        <f t="shared" si="4"/>
        <v>0.14022280063477438</v>
      </c>
      <c r="D42" s="29">
        <v>128.25800000000001</v>
      </c>
      <c r="E42" s="47">
        <v>593.70000000000005</v>
      </c>
      <c r="F42" s="44">
        <v>25.13</v>
      </c>
      <c r="G42" s="11">
        <v>4.8999999999999998E-4</v>
      </c>
      <c r="H42" s="44">
        <f t="shared" si="1"/>
        <v>261.7510204081633</v>
      </c>
      <c r="I42" s="52">
        <f t="shared" si="2"/>
        <v>0.24946607812793695</v>
      </c>
      <c r="J42" s="52">
        <v>0.372</v>
      </c>
      <c r="K42" s="75">
        <v>-6.1384999999999996</v>
      </c>
      <c r="L42" s="81">
        <v>962.75</v>
      </c>
      <c r="M42" s="13">
        <v>1.29E-2</v>
      </c>
      <c r="N42" s="12">
        <v>-1.2782000000000001E-5</v>
      </c>
      <c r="O42" s="93">
        <v>0.23569999999999999</v>
      </c>
      <c r="P42" s="94">
        <v>0.249</v>
      </c>
      <c r="Q42" s="95">
        <v>0.28570000000000001</v>
      </c>
      <c r="R42" s="111">
        <v>66.921999999999997</v>
      </c>
      <c r="S42" s="118">
        <v>-4228.2</v>
      </c>
      <c r="T42" s="125">
        <v>-22.222000000000001</v>
      </c>
      <c r="U42" s="5">
        <v>1.0861000000000001E-2</v>
      </c>
      <c r="V42" s="6">
        <v>-9.5640999999999992E-7</v>
      </c>
      <c r="W42" s="138">
        <v>252.536</v>
      </c>
      <c r="X42" s="13">
        <v>-0.19298000000000001</v>
      </c>
      <c r="Y42" s="14">
        <v>8.7872000000000004E-4</v>
      </c>
      <c r="Z42" s="30">
        <v>0</v>
      </c>
      <c r="AA42" s="77">
        <v>0.1767</v>
      </c>
      <c r="AB42" s="5">
        <v>-9.3719000000000002E-5</v>
      </c>
      <c r="AC42" s="15">
        <v>-2.3319000000000001E-7</v>
      </c>
      <c r="AD42" s="146">
        <v>57.271000000000001</v>
      </c>
      <c r="AE42" s="147">
        <v>0.38</v>
      </c>
      <c r="AF42" s="150">
        <v>53.481999999999999</v>
      </c>
      <c r="AG42" s="152">
        <v>1.2222</v>
      </c>
    </row>
    <row r="43" spans="1:33" x14ac:dyDescent="0.2">
      <c r="A43" s="27">
        <v>9</v>
      </c>
      <c r="B43" s="69">
        <v>1.24002426875</v>
      </c>
      <c r="C43" s="28">
        <f t="shared" si="4"/>
        <v>0</v>
      </c>
      <c r="D43" s="29">
        <v>128.25800000000001</v>
      </c>
      <c r="E43" s="47">
        <v>584.95000000000005</v>
      </c>
      <c r="F43" s="44">
        <v>23.25</v>
      </c>
      <c r="G43" s="11">
        <v>5.3350000000000001E-4</v>
      </c>
      <c r="H43" s="44">
        <f t="shared" si="1"/>
        <v>240.63414634146341</v>
      </c>
      <c r="I43" s="52">
        <f t="shared" si="2"/>
        <v>0.25481289426755138</v>
      </c>
      <c r="J43" s="52">
        <v>0.41599999999999998</v>
      </c>
      <c r="K43" s="75">
        <v>-4.9283000000000001</v>
      </c>
      <c r="L43" s="81">
        <v>797.15</v>
      </c>
      <c r="M43" s="13">
        <v>1.0200000000000001E-2</v>
      </c>
      <c r="N43" s="12">
        <v>-1.1077000000000001E-5</v>
      </c>
      <c r="O43" s="93">
        <v>0.23749999999999999</v>
      </c>
      <c r="P43" s="94">
        <v>0.255</v>
      </c>
      <c r="Q43" s="95">
        <v>0.28570000000000001</v>
      </c>
      <c r="R43" s="111">
        <v>93.555000000000007</v>
      </c>
      <c r="S43" s="118">
        <v>-4960.3</v>
      </c>
      <c r="T43" s="125">
        <v>-33.113999999999997</v>
      </c>
      <c r="U43" s="5">
        <v>2.1111000000000001E-2</v>
      </c>
      <c r="V43" s="6">
        <v>-4.5301E-6</v>
      </c>
      <c r="W43" s="138">
        <v>254.613</v>
      </c>
      <c r="X43" s="13">
        <v>-0.19550000000000001</v>
      </c>
      <c r="Y43" s="14">
        <v>8.9291000000000001E-4</v>
      </c>
      <c r="Z43" s="30">
        <v>0</v>
      </c>
      <c r="AA43" s="77">
        <v>0.17960000000000001</v>
      </c>
      <c r="AB43" s="5">
        <v>-9.3676000000000002E-5</v>
      </c>
      <c r="AC43" s="15">
        <v>-2.4929999999999999E-7</v>
      </c>
      <c r="AD43" s="146">
        <v>58.540999999999997</v>
      </c>
      <c r="AE43" s="147">
        <v>0.38</v>
      </c>
      <c r="AF43" s="150">
        <v>53.433999999999997</v>
      </c>
      <c r="AG43" s="152">
        <v>1.2222</v>
      </c>
    </row>
    <row r="44" spans="1:33" x14ac:dyDescent="0.2">
      <c r="A44" s="27">
        <v>9</v>
      </c>
      <c r="B44" s="69">
        <v>1.24015828125</v>
      </c>
      <c r="C44" s="28">
        <f t="shared" si="4"/>
        <v>1.151178508625702E-5</v>
      </c>
      <c r="D44" s="29">
        <v>128.25800000000001</v>
      </c>
      <c r="E44" s="47">
        <v>590</v>
      </c>
      <c r="F44" s="44">
        <v>23.9</v>
      </c>
      <c r="G44" s="11">
        <v>5.2800000000000004E-4</v>
      </c>
      <c r="H44" s="44">
        <f t="shared" si="1"/>
        <v>242.91287878787878</v>
      </c>
      <c r="I44" s="52">
        <f t="shared" si="2"/>
        <v>0.25725853471579491</v>
      </c>
      <c r="J44" s="52">
        <v>0.40799999999999997</v>
      </c>
      <c r="K44" s="75">
        <v>-5.4953000000000003</v>
      </c>
      <c r="L44" s="81">
        <v>878.32</v>
      </c>
      <c r="M44" s="13">
        <v>1.15E-2</v>
      </c>
      <c r="N44" s="12">
        <v>-1.1884E-5</v>
      </c>
      <c r="O44" s="93">
        <v>0.2429</v>
      </c>
      <c r="P44" s="94">
        <v>0.26540000000000002</v>
      </c>
      <c r="Q44" s="95">
        <v>0.27900000000000003</v>
      </c>
      <c r="R44" s="111">
        <v>12.647</v>
      </c>
      <c r="S44" s="118">
        <v>-2894.3</v>
      </c>
      <c r="T44" s="125">
        <v>0.27710000000000001</v>
      </c>
      <c r="U44" s="5">
        <v>-1.1564E-2</v>
      </c>
      <c r="V44" s="6">
        <v>7.3625000000000002E-6</v>
      </c>
      <c r="W44" s="138">
        <v>185.75299999999999</v>
      </c>
      <c r="X44" s="13">
        <v>0.67449000000000003</v>
      </c>
      <c r="Y44" s="14">
        <v>-1.9256E-3</v>
      </c>
      <c r="Z44" s="30">
        <v>2.8225999999999999E-6</v>
      </c>
      <c r="AA44" s="77">
        <v>0.17910000000000001</v>
      </c>
      <c r="AB44" s="5">
        <v>-9.3927999999999999E-5</v>
      </c>
      <c r="AC44" s="15">
        <v>-2.4232999999999997E-7</v>
      </c>
      <c r="AD44" s="146">
        <v>57.607999999999997</v>
      </c>
      <c r="AE44" s="147">
        <v>0.38200000000000001</v>
      </c>
      <c r="AF44" s="150">
        <v>54.1</v>
      </c>
      <c r="AG44" s="152">
        <v>1.2544</v>
      </c>
    </row>
    <row r="45" spans="1:33" x14ac:dyDescent="0.2">
      <c r="A45" s="27">
        <v>9</v>
      </c>
      <c r="B45" s="69">
        <v>2.6264074687500001</v>
      </c>
      <c r="C45" s="28">
        <f t="shared" si="4"/>
        <v>0.11909146867342213</v>
      </c>
      <c r="D45" s="29">
        <v>128.25800000000001</v>
      </c>
      <c r="E45" s="47">
        <v>586.75</v>
      </c>
      <c r="F45" s="44">
        <v>22.9</v>
      </c>
      <c r="G45" s="11">
        <v>5.4100000000000003E-4</v>
      </c>
      <c r="H45" s="44">
        <f t="shared" si="1"/>
        <v>237.07578558225507</v>
      </c>
      <c r="I45" s="52">
        <f t="shared" si="2"/>
        <v>0.25396252070034697</v>
      </c>
      <c r="J45" s="52">
        <v>0.42199999999999999</v>
      </c>
      <c r="K45" s="75">
        <v>-4.7225999999999999</v>
      </c>
      <c r="L45" s="81">
        <v>774.78</v>
      </c>
      <c r="M45" s="13">
        <v>9.7000000000000003E-3</v>
      </c>
      <c r="N45" s="12">
        <v>-1.0628999999999999E-5</v>
      </c>
      <c r="O45" s="93">
        <v>0.2341</v>
      </c>
      <c r="P45" s="94">
        <v>0.2571</v>
      </c>
      <c r="Q45" s="95">
        <v>0.28570000000000001</v>
      </c>
      <c r="R45" s="111">
        <v>6.0190999999999999</v>
      </c>
      <c r="S45" s="118">
        <v>-2857.9</v>
      </c>
      <c r="T45" s="125">
        <v>3.4068000000000001</v>
      </c>
      <c r="U45" s="5">
        <v>-1.6572E-2</v>
      </c>
      <c r="V45" s="6">
        <v>9.8046999999999995E-6</v>
      </c>
      <c r="W45" s="138">
        <v>164.56399999999999</v>
      </c>
      <c r="X45" s="13">
        <v>0.83982999999999997</v>
      </c>
      <c r="Y45" s="14">
        <v>-2.3869E-3</v>
      </c>
      <c r="Z45" s="30">
        <v>3.3063E-6</v>
      </c>
      <c r="AA45" s="77">
        <v>0.1772</v>
      </c>
      <c r="AB45" s="5">
        <v>-8.1107999999999997E-5</v>
      </c>
      <c r="AC45" s="15">
        <v>-2.6193999999999998E-7</v>
      </c>
      <c r="AD45" s="146">
        <v>59.521000000000001</v>
      </c>
      <c r="AE45" s="147">
        <v>0.39700000000000002</v>
      </c>
      <c r="AF45" s="150">
        <v>53.22</v>
      </c>
      <c r="AG45" s="152">
        <v>1.2813000000000001</v>
      </c>
    </row>
    <row r="46" spans="1:33" x14ac:dyDescent="0.2">
      <c r="A46" s="27">
        <v>9</v>
      </c>
      <c r="B46" s="69">
        <v>1.9324147837500001</v>
      </c>
      <c r="C46" s="28">
        <f t="shared" si="4"/>
        <v>5.9476920469677584E-2</v>
      </c>
      <c r="D46" s="29">
        <v>128.25800000000001</v>
      </c>
      <c r="E46" s="47">
        <v>590.15</v>
      </c>
      <c r="F46" s="44">
        <v>23.41</v>
      </c>
      <c r="G46" s="11">
        <v>5.2899999999999996E-4</v>
      </c>
      <c r="H46" s="44">
        <f t="shared" si="1"/>
        <v>242.45368620037809</v>
      </c>
      <c r="I46" s="52">
        <f t="shared" si="2"/>
        <v>0.25239727055525918</v>
      </c>
      <c r="J46" s="52">
        <v>0.41299999999999998</v>
      </c>
      <c r="K46" s="75">
        <v>-5.1303999999999998</v>
      </c>
      <c r="L46" s="81">
        <v>832.41</v>
      </c>
      <c r="M46" s="13">
        <v>1.06E-2</v>
      </c>
      <c r="N46" s="12">
        <v>-1.1209999999999999E-5</v>
      </c>
      <c r="O46" s="93">
        <v>0.24249999999999999</v>
      </c>
      <c r="P46" s="94">
        <v>0.2671</v>
      </c>
      <c r="Q46" s="95">
        <v>0.28010000000000002</v>
      </c>
      <c r="R46" s="111">
        <v>9.8147000000000002</v>
      </c>
      <c r="S46" s="118">
        <v>-2960.9</v>
      </c>
      <c r="T46" s="125">
        <v>1.9060999999999999</v>
      </c>
      <c r="U46" s="5">
        <v>-1.5675000000000001E-2</v>
      </c>
      <c r="V46" s="6">
        <v>9.7960999999999993E-6</v>
      </c>
      <c r="W46" s="138">
        <v>181.517</v>
      </c>
      <c r="X46" s="13">
        <v>0.68994999999999995</v>
      </c>
      <c r="Y46" s="14">
        <v>-1.9635E-3</v>
      </c>
      <c r="Z46" s="30">
        <v>2.8403000000000001E-6</v>
      </c>
      <c r="AA46" s="77">
        <v>0.17899999999999999</v>
      </c>
      <c r="AB46" s="5">
        <v>-9.1236000000000005E-5</v>
      </c>
      <c r="AC46" s="15">
        <v>-2.4611000000000002E-7</v>
      </c>
      <c r="AD46" s="146">
        <v>59.28</v>
      </c>
      <c r="AE46" s="147">
        <v>0.39700000000000002</v>
      </c>
      <c r="AF46" s="150">
        <v>53.41</v>
      </c>
      <c r="AG46" s="152">
        <v>1.2656000000000001</v>
      </c>
    </row>
    <row r="47" spans="1:33" x14ac:dyDescent="0.2">
      <c r="A47" s="27">
        <v>9</v>
      </c>
      <c r="B47" s="69">
        <v>1.9335108649999999</v>
      </c>
      <c r="C47" s="28">
        <f t="shared" si="4"/>
        <v>5.9571074759666012E-2</v>
      </c>
      <c r="D47" s="29">
        <v>128.25800000000001</v>
      </c>
      <c r="E47" s="47">
        <v>587.65</v>
      </c>
      <c r="F47" s="44">
        <v>23.41</v>
      </c>
      <c r="G47" s="11">
        <v>5.2300000000000003E-4</v>
      </c>
      <c r="H47" s="44">
        <f t="shared" si="1"/>
        <v>245.2351816443595</v>
      </c>
      <c r="I47" s="52">
        <f t="shared" si="2"/>
        <v>0.25059611966059225</v>
      </c>
      <c r="J47" s="52">
        <v>0.41299999999999998</v>
      </c>
      <c r="K47" s="75">
        <v>-5.109</v>
      </c>
      <c r="L47" s="81">
        <v>824.82</v>
      </c>
      <c r="M47" s="13">
        <v>1.06E-2</v>
      </c>
      <c r="N47" s="12">
        <v>-1.1285E-5</v>
      </c>
      <c r="O47" s="93">
        <v>0.2452</v>
      </c>
      <c r="P47" s="94">
        <v>0.26569999999999999</v>
      </c>
      <c r="Q47" s="95">
        <v>0.29980000000000001</v>
      </c>
      <c r="R47" s="111">
        <v>11.201000000000001</v>
      </c>
      <c r="S47" s="118">
        <v>-2946.7</v>
      </c>
      <c r="T47" s="125">
        <v>1.2133</v>
      </c>
      <c r="U47" s="5">
        <v>-1.4423E-2</v>
      </c>
      <c r="V47" s="6">
        <v>9.1770000000000004E-6</v>
      </c>
      <c r="W47" s="138">
        <v>177.64599999999999</v>
      </c>
      <c r="X47" s="13">
        <v>0.71343999999999996</v>
      </c>
      <c r="Y47" s="14">
        <v>-2.0347999999999998E-3</v>
      </c>
      <c r="Z47" s="30">
        <v>2.9838999999999999E-6</v>
      </c>
      <c r="AA47" s="77">
        <v>0.1794</v>
      </c>
      <c r="AB47" s="5">
        <v>-9.3477E-5</v>
      </c>
      <c r="AC47" s="15">
        <v>-2.4609E-7</v>
      </c>
      <c r="AD47" s="146">
        <v>58.567</v>
      </c>
      <c r="AE47" s="147">
        <v>0.39200000000000002</v>
      </c>
      <c r="AF47" s="150">
        <v>53.28</v>
      </c>
      <c r="AG47" s="152">
        <v>1.2544999999999999</v>
      </c>
    </row>
    <row r="48" spans="1:33" x14ac:dyDescent="0.2">
      <c r="A48" s="27">
        <v>9</v>
      </c>
      <c r="B48" s="69">
        <v>10.990914699999999</v>
      </c>
      <c r="C48" s="28">
        <f t="shared" si="4"/>
        <v>0.83760958898750415</v>
      </c>
      <c r="D48" s="29">
        <v>128.25800000000001</v>
      </c>
      <c r="E48" s="47">
        <v>610.85</v>
      </c>
      <c r="F48" s="44">
        <v>27.36</v>
      </c>
      <c r="G48" s="11">
        <v>4.7800000000000002E-4</v>
      </c>
      <c r="H48" s="44">
        <f t="shared" si="1"/>
        <v>268.3221757322176</v>
      </c>
      <c r="I48" s="52">
        <f t="shared" si="2"/>
        <v>0.25751313810092286</v>
      </c>
      <c r="J48" s="52">
        <v>0.28000000000000003</v>
      </c>
      <c r="K48" s="75">
        <v>-6.6824000000000003</v>
      </c>
      <c r="L48" s="81">
        <v>1138.9000000000001</v>
      </c>
      <c r="M48" s="13">
        <v>1.2800000000000001E-2</v>
      </c>
      <c r="N48" s="12">
        <v>-1.1593000000000001E-5</v>
      </c>
      <c r="O48" s="93">
        <v>0.26829999999999998</v>
      </c>
      <c r="P48" s="94">
        <v>0.28389999999999999</v>
      </c>
      <c r="Q48" s="95">
        <v>0.29709999999999998</v>
      </c>
      <c r="R48" s="111">
        <v>35.421999999999997</v>
      </c>
      <c r="S48" s="118">
        <v>-3276</v>
      </c>
      <c r="T48" s="125">
        <v>-9.5678000000000001</v>
      </c>
      <c r="U48" s="5">
        <v>9.0298000000000002E-10</v>
      </c>
      <c r="V48" s="6">
        <v>2.4354999999999998E-6</v>
      </c>
      <c r="W48" s="138">
        <v>51.432000000000002</v>
      </c>
      <c r="X48" s="13">
        <v>1.6681999999999999</v>
      </c>
      <c r="Y48" s="14">
        <v>-4.3927000000000003E-3</v>
      </c>
      <c r="Z48" s="30">
        <v>4.6697999999999997E-6</v>
      </c>
      <c r="AA48" s="77">
        <v>0.1638</v>
      </c>
      <c r="AB48" s="5">
        <v>-5.8179E-5</v>
      </c>
      <c r="AC48" s="15">
        <v>-2.4413E-7</v>
      </c>
      <c r="AD48" s="146">
        <v>53.923999999999999</v>
      </c>
      <c r="AE48" s="147">
        <v>0.39600000000000002</v>
      </c>
      <c r="AF48" s="150">
        <v>51.725999999999999</v>
      </c>
      <c r="AG48" s="152">
        <v>1.2142999999999999</v>
      </c>
    </row>
    <row r="49" spans="1:33" x14ac:dyDescent="0.2">
      <c r="A49" s="27">
        <v>9</v>
      </c>
      <c r="B49" s="69">
        <v>10.209757574999999</v>
      </c>
      <c r="C49" s="28">
        <f t="shared" si="4"/>
        <v>0.77050754297240676</v>
      </c>
      <c r="D49" s="29">
        <v>128.25800000000001</v>
      </c>
      <c r="E49" s="47">
        <v>592.15</v>
      </c>
      <c r="F49" s="44">
        <v>25.64</v>
      </c>
      <c r="G49" s="11">
        <v>4.8999999999999998E-4</v>
      </c>
      <c r="H49" s="44">
        <f t="shared" si="1"/>
        <v>261.7510204081633</v>
      </c>
      <c r="I49" s="52">
        <f t="shared" si="2"/>
        <v>0.25519510931154421</v>
      </c>
      <c r="J49" s="52">
        <v>0.311</v>
      </c>
      <c r="K49" s="75">
        <v>-5.6936999999999998</v>
      </c>
      <c r="L49" s="81">
        <v>984.57</v>
      </c>
      <c r="M49" s="13">
        <v>1.0800000000000001E-2</v>
      </c>
      <c r="N49" s="12">
        <v>-1.0582E-5</v>
      </c>
      <c r="O49" s="93">
        <v>0.26179999999999998</v>
      </c>
      <c r="P49" s="94">
        <v>0.28170000000000001</v>
      </c>
      <c r="Q49" s="95">
        <v>0.29199999999999998</v>
      </c>
      <c r="R49" s="111">
        <v>52.344000000000001</v>
      </c>
      <c r="S49" s="118">
        <v>-3647.7</v>
      </c>
      <c r="T49" s="125">
        <v>-16.608000000000001</v>
      </c>
      <c r="U49" s="5">
        <v>6.9991000000000003E-3</v>
      </c>
      <c r="V49" s="6">
        <v>-5.1010000000000002E-14</v>
      </c>
      <c r="W49" s="138">
        <v>181.88</v>
      </c>
      <c r="X49" s="13">
        <v>0.53458000000000006</v>
      </c>
      <c r="Y49" s="14">
        <v>-1.4697E-3</v>
      </c>
      <c r="Z49" s="30">
        <v>2.2562000000000001E-6</v>
      </c>
      <c r="AA49" s="77">
        <v>0.17449999999999999</v>
      </c>
      <c r="AB49" s="5">
        <v>-9.7318000000000006E-5</v>
      </c>
      <c r="AC49" s="15">
        <v>-2.2415999999999999E-7</v>
      </c>
      <c r="AD49" s="146">
        <v>55.256999999999998</v>
      </c>
      <c r="AE49" s="147">
        <v>0.41399999999999998</v>
      </c>
      <c r="AF49" s="150">
        <v>49.472000000000001</v>
      </c>
      <c r="AG49" s="152">
        <v>1.1857</v>
      </c>
    </row>
    <row r="50" spans="1:33" x14ac:dyDescent="0.2">
      <c r="A50" s="27">
        <v>9</v>
      </c>
      <c r="B50" s="69">
        <v>9.6084819849999992</v>
      </c>
      <c r="C50" s="28">
        <f t="shared" si="4"/>
        <v>0.71885747025760582</v>
      </c>
      <c r="D50" s="29">
        <v>128.25800000000001</v>
      </c>
      <c r="E50" s="47">
        <v>592.6</v>
      </c>
      <c r="F50" s="44">
        <v>27.2</v>
      </c>
      <c r="G50" s="11">
        <v>5.1650000000000003E-4</v>
      </c>
      <c r="H50" s="44">
        <f t="shared" si="1"/>
        <v>248.56201550387604</v>
      </c>
      <c r="I50" s="52">
        <f t="shared" si="2"/>
        <v>0.28487014612341399</v>
      </c>
      <c r="J50" s="52">
        <v>0.313</v>
      </c>
      <c r="K50" s="75">
        <v>-7.0540000000000003</v>
      </c>
      <c r="L50" s="81">
        <v>1185.0999999999999</v>
      </c>
      <c r="M50" s="13">
        <v>1.38E-2</v>
      </c>
      <c r="N50" s="12">
        <v>-1.2527999999999999E-5</v>
      </c>
      <c r="O50" s="93">
        <v>0.2369</v>
      </c>
      <c r="P50" s="94">
        <v>0.251</v>
      </c>
      <c r="Q50" s="95">
        <v>0.28570000000000001</v>
      </c>
      <c r="R50" s="111">
        <v>65.988</v>
      </c>
      <c r="S50" s="118">
        <v>-4067.2</v>
      </c>
      <c r="T50" s="125">
        <v>-22.199000000000002</v>
      </c>
      <c r="U50" s="5">
        <v>1.2444999999999999E-2</v>
      </c>
      <c r="V50" s="6">
        <v>-2.0350999999999998E-6</v>
      </c>
      <c r="W50" s="138">
        <v>241.14699999999999</v>
      </c>
      <c r="X50" s="13">
        <v>-0.16814999999999999</v>
      </c>
      <c r="Y50" s="14">
        <v>8.2339000000000002E-4</v>
      </c>
      <c r="Z50" s="30">
        <v>0</v>
      </c>
      <c r="AA50" s="77">
        <v>0.1726</v>
      </c>
      <c r="AB50" s="5">
        <v>-8.9950000000000004E-5</v>
      </c>
      <c r="AC50" s="15">
        <v>-2.1682000000000001E-7</v>
      </c>
      <c r="AD50" s="146">
        <v>54.037999999999997</v>
      </c>
      <c r="AE50" s="147">
        <v>0.38</v>
      </c>
      <c r="AF50" s="150">
        <v>50.665999999999997</v>
      </c>
      <c r="AG50" s="152">
        <v>1.2222</v>
      </c>
    </row>
    <row r="51" spans="1:33" x14ac:dyDescent="0.2">
      <c r="A51" s="27">
        <v>9</v>
      </c>
      <c r="B51" s="69">
        <v>12.881355217499999</v>
      </c>
      <c r="C51" s="28">
        <f t="shared" si="4"/>
        <v>1</v>
      </c>
      <c r="D51" s="29">
        <v>128.25800000000001</v>
      </c>
      <c r="E51" s="47">
        <v>571.35</v>
      </c>
      <c r="F51" s="44">
        <v>23.61</v>
      </c>
      <c r="G51" s="11">
        <v>5.04E-4</v>
      </c>
      <c r="H51" s="44">
        <f t="shared" si="1"/>
        <v>254.48015873015876</v>
      </c>
      <c r="I51" s="52">
        <f t="shared" si="2"/>
        <v>0.2505037731117184</v>
      </c>
      <c r="J51" s="52">
        <v>0.316</v>
      </c>
      <c r="K51" s="75">
        <v>-2.8496999999999999</v>
      </c>
      <c r="L51" s="81">
        <v>587.14</v>
      </c>
      <c r="M51" s="13">
        <v>4.1999999999999997E-3</v>
      </c>
      <c r="N51" s="12">
        <v>-5.9027999999999996E-6</v>
      </c>
      <c r="O51" s="93">
        <v>0.2545</v>
      </c>
      <c r="P51" s="94">
        <v>0.27889999999999998</v>
      </c>
      <c r="Q51" s="95">
        <v>0.2863</v>
      </c>
      <c r="R51" s="111">
        <v>-3.8184</v>
      </c>
      <c r="S51" s="118">
        <v>-2244.1999999999998</v>
      </c>
      <c r="T51" s="125">
        <v>7.0670999999999999</v>
      </c>
      <c r="U51" s="5">
        <v>-1.9643999999999998E-2</v>
      </c>
      <c r="V51" s="6">
        <v>1.1435E-5</v>
      </c>
      <c r="W51" s="138">
        <v>110.024</v>
      </c>
      <c r="X51" s="13">
        <v>1.1491</v>
      </c>
      <c r="Y51" s="14">
        <v>-3.3554000000000001E-3</v>
      </c>
      <c r="Z51" s="30">
        <v>4.1855E-6</v>
      </c>
      <c r="AA51" s="77">
        <v>0.17130000000000001</v>
      </c>
      <c r="AB51" s="5">
        <v>-7.9243E-5</v>
      </c>
      <c r="AC51" s="15">
        <v>-2.6804000000000001E-7</v>
      </c>
      <c r="AD51" s="146">
        <v>50.786999999999999</v>
      </c>
      <c r="AE51" s="147">
        <v>0.378</v>
      </c>
      <c r="AF51" s="150">
        <v>50.15</v>
      </c>
      <c r="AG51" s="152">
        <v>1.2522</v>
      </c>
    </row>
    <row r="52" spans="1:33" x14ac:dyDescent="0.2">
      <c r="A52" s="27">
        <v>9</v>
      </c>
      <c r="B52" s="69">
        <v>9.0706948100000009</v>
      </c>
      <c r="C52" s="28">
        <f t="shared" si="4"/>
        <v>0.67266110513685096</v>
      </c>
      <c r="D52" s="29">
        <v>128.25800000000001</v>
      </c>
      <c r="E52" s="47">
        <v>568.04999999999995</v>
      </c>
      <c r="F52" s="43">
        <v>23.3</v>
      </c>
      <c r="G52" s="40">
        <v>5.1900000000000004E-4</v>
      </c>
      <c r="H52" s="44">
        <f t="shared" si="1"/>
        <v>247.1252408477842</v>
      </c>
      <c r="I52" s="52">
        <f t="shared" si="2"/>
        <v>0.25605112866338953</v>
      </c>
      <c r="J52" s="51">
        <v>0.35699999999999998</v>
      </c>
      <c r="K52" s="75">
        <v>-3.0396000000000001</v>
      </c>
      <c r="L52" s="81">
        <v>608.74</v>
      </c>
      <c r="M52" s="13">
        <v>4.7999999999999996E-3</v>
      </c>
      <c r="N52" s="12">
        <v>-6.5997999999999999E-6</v>
      </c>
      <c r="O52" s="93">
        <v>0.24540000000000001</v>
      </c>
      <c r="P52" s="94">
        <v>0.26750000000000002</v>
      </c>
      <c r="Q52" s="95">
        <v>0.2954</v>
      </c>
      <c r="R52" s="111">
        <v>7.8815999999999997</v>
      </c>
      <c r="S52" s="118">
        <v>-2642.2</v>
      </c>
      <c r="T52" s="125">
        <v>2.3902000000000001</v>
      </c>
      <c r="U52" s="5">
        <v>-1.5376000000000001E-2</v>
      </c>
      <c r="V52" s="6">
        <v>9.7930999999999995E-6</v>
      </c>
      <c r="W52" s="138">
        <v>164.72</v>
      </c>
      <c r="X52" s="13">
        <v>0.73055999999999999</v>
      </c>
      <c r="Y52" s="14">
        <v>-2.1299999999999999E-3</v>
      </c>
      <c r="Z52" s="30">
        <v>3.1505000000000002E-6</v>
      </c>
      <c r="AA52" s="77">
        <v>0.27860000000000001</v>
      </c>
      <c r="AB52" s="5">
        <v>-6.3728999999999999E-4</v>
      </c>
      <c r="AC52" s="15">
        <v>2.8760000000000001E-7</v>
      </c>
      <c r="AD52" s="146">
        <v>54.045000000000002</v>
      </c>
      <c r="AE52" s="147">
        <v>0.39600000000000002</v>
      </c>
      <c r="AF52" s="150">
        <v>47.942999999999998</v>
      </c>
      <c r="AG52" s="152">
        <v>1.2024999999999999</v>
      </c>
    </row>
    <row r="53" spans="1:33" x14ac:dyDescent="0.2">
      <c r="A53" s="27">
        <v>9</v>
      </c>
      <c r="B53" s="69">
        <v>7.8879445012499998</v>
      </c>
      <c r="C53" s="28">
        <f t="shared" si="4"/>
        <v>0.57106187099799166</v>
      </c>
      <c r="D53" s="29">
        <v>128.25800000000001</v>
      </c>
      <c r="E53" s="47">
        <v>588</v>
      </c>
      <c r="F53" s="43">
        <v>24.9</v>
      </c>
      <c r="G53" s="40">
        <v>4.9899999999999999E-4</v>
      </c>
      <c r="H53" s="44">
        <f t="shared" si="1"/>
        <v>257.03006012024053</v>
      </c>
      <c r="I53" s="52">
        <f t="shared" si="2"/>
        <v>0.25416312784435396</v>
      </c>
      <c r="J53" s="51">
        <v>0.33200000000000002</v>
      </c>
      <c r="K53" s="75">
        <v>-5.2080000000000002</v>
      </c>
      <c r="L53" s="81">
        <v>918.29</v>
      </c>
      <c r="M53" s="13">
        <v>9.7000000000000003E-3</v>
      </c>
      <c r="N53" s="12">
        <v>-9.9096999999999993E-6</v>
      </c>
      <c r="O53" s="93">
        <v>0.2366</v>
      </c>
      <c r="P53" s="94">
        <v>0.254</v>
      </c>
      <c r="Q53" s="95">
        <v>0.28570000000000001</v>
      </c>
      <c r="R53" s="111">
        <v>39.802</v>
      </c>
      <c r="S53" s="118">
        <v>-3450.8</v>
      </c>
      <c r="T53" s="125">
        <v>-11.093</v>
      </c>
      <c r="U53" s="5">
        <v>4.0115999999999998E-6</v>
      </c>
      <c r="V53" s="6">
        <v>3.0574000000000002E-6</v>
      </c>
      <c r="W53" s="138">
        <v>242.06</v>
      </c>
      <c r="X53" s="13">
        <v>-0.17176</v>
      </c>
      <c r="Y53" s="14">
        <v>8.3347E-4</v>
      </c>
      <c r="Z53" s="30">
        <v>0</v>
      </c>
      <c r="AA53" s="77">
        <v>0.1759</v>
      </c>
      <c r="AB53" s="5">
        <v>-9.7097999999999998E-5</v>
      </c>
      <c r="AC53" s="15">
        <v>-2.3176000000000001E-7</v>
      </c>
      <c r="AD53" s="146">
        <v>54.375999999999998</v>
      </c>
      <c r="AE53" s="147">
        <v>0.38</v>
      </c>
      <c r="AF53" s="150">
        <v>50.851999999999997</v>
      </c>
      <c r="AG53" s="152">
        <v>1.2222</v>
      </c>
    </row>
    <row r="54" spans="1:33" x14ac:dyDescent="0.2">
      <c r="A54" s="27">
        <v>9</v>
      </c>
      <c r="B54" s="69">
        <v>6.8889647925000004</v>
      </c>
      <c r="C54" s="28">
        <f t="shared" si="4"/>
        <v>0.48524868407392552</v>
      </c>
      <c r="D54" s="29">
        <v>128.25800000000001</v>
      </c>
      <c r="E54" s="47">
        <v>579.20000000000005</v>
      </c>
      <c r="F54" s="43">
        <v>23.61</v>
      </c>
      <c r="G54" s="40">
        <v>5.2099999999999998E-4</v>
      </c>
      <c r="H54" s="44">
        <f t="shared" si="1"/>
        <v>246.17658349328218</v>
      </c>
      <c r="I54" s="52">
        <f t="shared" si="2"/>
        <v>0.25544366521490069</v>
      </c>
      <c r="J54" s="51">
        <v>0.29199999999999998</v>
      </c>
      <c r="K54" s="75">
        <v>-4.6148999999999996</v>
      </c>
      <c r="L54" s="81">
        <v>829.63</v>
      </c>
      <c r="M54" s="13">
        <v>8.5000000000000006E-3</v>
      </c>
      <c r="N54" s="12">
        <v>-9.2678999999999998E-6</v>
      </c>
      <c r="O54" s="93">
        <v>0.23549999999999999</v>
      </c>
      <c r="P54" s="94">
        <v>0.254</v>
      </c>
      <c r="Q54" s="95">
        <v>0.28570000000000001</v>
      </c>
      <c r="R54" s="111">
        <v>48.359000000000002</v>
      </c>
      <c r="S54" s="118">
        <v>-3709.1</v>
      </c>
      <c r="T54" s="125">
        <v>-14.491</v>
      </c>
      <c r="U54" s="5">
        <v>2.6884999999999999E-3</v>
      </c>
      <c r="V54" s="6">
        <v>2.3246000000000002E-6</v>
      </c>
      <c r="W54" s="138">
        <v>236.67</v>
      </c>
      <c r="X54" s="13">
        <v>-0.16200999999999999</v>
      </c>
      <c r="Y54" s="14">
        <v>8.3248000000000003E-4</v>
      </c>
      <c r="Z54" s="30">
        <v>0</v>
      </c>
      <c r="AA54" s="77">
        <v>0.35220000000000001</v>
      </c>
      <c r="AB54" s="5">
        <v>-1.2458E-3</v>
      </c>
      <c r="AC54" s="15">
        <v>1.4156E-6</v>
      </c>
      <c r="AD54" s="146">
        <v>54.893000000000001</v>
      </c>
      <c r="AE54" s="147">
        <v>0.38</v>
      </c>
      <c r="AF54" s="150">
        <v>50.389000000000003</v>
      </c>
      <c r="AG54" s="152">
        <v>1.2222</v>
      </c>
    </row>
    <row r="55" spans="1:33" x14ac:dyDescent="0.2">
      <c r="A55" s="27">
        <v>9</v>
      </c>
      <c r="B55" s="69">
        <v>6.7838752025</v>
      </c>
      <c r="C55" s="28">
        <f t="shared" si="4"/>
        <v>0.47622140098553567</v>
      </c>
      <c r="D55" s="29">
        <v>128.25800000000001</v>
      </c>
      <c r="E55" s="59">
        <v>602.29999999999995</v>
      </c>
      <c r="F55" s="43">
        <v>23.68</v>
      </c>
      <c r="G55" s="40">
        <v>5.22E-4</v>
      </c>
      <c r="H55" s="44">
        <f t="shared" si="1"/>
        <v>245.70498084291191</v>
      </c>
      <c r="I55" s="52">
        <f t="shared" si="2"/>
        <v>0.24684783224725393</v>
      </c>
      <c r="J55" s="51">
        <v>0.32800000000000001</v>
      </c>
      <c r="K55" s="76">
        <v>-6.6002000000000001</v>
      </c>
      <c r="L55" s="82">
        <v>1119.5999999999999</v>
      </c>
      <c r="M55" s="85">
        <v>1.2800000000000001E-2</v>
      </c>
      <c r="N55" s="4">
        <v>-1.1956999999999999E-5</v>
      </c>
      <c r="O55" s="96">
        <v>0.24010000000000001</v>
      </c>
      <c r="P55" s="97">
        <v>0.254</v>
      </c>
      <c r="Q55" s="98">
        <v>0.28570000000000001</v>
      </c>
      <c r="R55" s="112">
        <v>37.923099999999998</v>
      </c>
      <c r="S55" s="118">
        <v>-3398.3</v>
      </c>
      <c r="T55" s="125">
        <v>-10.438000000000001</v>
      </c>
      <c r="U55" s="5">
        <v>1.0393999999999999E-9</v>
      </c>
      <c r="V55" s="6">
        <v>2.8418999999999998E-6</v>
      </c>
      <c r="W55" s="139">
        <v>256.89999999999998</v>
      </c>
      <c r="X55" s="7">
        <v>-0.20286999999999999</v>
      </c>
      <c r="Y55" s="8">
        <v>8.6326999999999997E-4</v>
      </c>
      <c r="Z55" s="30">
        <v>0</v>
      </c>
      <c r="AA55" s="141">
        <v>0.17349999999999999</v>
      </c>
      <c r="AB55" s="9">
        <v>-8.9888000000000004E-5</v>
      </c>
      <c r="AC55" s="10">
        <v>-2.2364000000000001E-7</v>
      </c>
      <c r="AD55" s="146">
        <v>54.63</v>
      </c>
      <c r="AE55" s="147">
        <v>0.38</v>
      </c>
      <c r="AF55" s="150">
        <v>52.531999999999996</v>
      </c>
      <c r="AG55" s="152">
        <v>1.2222</v>
      </c>
    </row>
    <row r="56" spans="1:33" x14ac:dyDescent="0.2">
      <c r="A56" s="27">
        <v>9</v>
      </c>
      <c r="B56" s="69">
        <v>5.8896544000000004</v>
      </c>
      <c r="C56" s="28">
        <f t="shared" si="4"/>
        <v>0.39940709114100559</v>
      </c>
      <c r="D56" s="29">
        <v>128.25800000000001</v>
      </c>
      <c r="E56" s="59">
        <v>594.5</v>
      </c>
      <c r="F56" s="43">
        <v>23.61</v>
      </c>
      <c r="G56" s="40">
        <v>5.2099999999999998E-4</v>
      </c>
      <c r="H56" s="44">
        <f t="shared" si="1"/>
        <v>246.17658349328218</v>
      </c>
      <c r="I56" s="52">
        <f t="shared" si="2"/>
        <v>0.2488695893901943</v>
      </c>
      <c r="J56" s="51">
        <v>0.35199999999999998</v>
      </c>
      <c r="K56" s="76">
        <v>-6.0540000000000003</v>
      </c>
      <c r="L56" s="82">
        <v>1039.3</v>
      </c>
      <c r="M56" s="85">
        <v>1.17E-2</v>
      </c>
      <c r="N56" s="4">
        <v>-1.1347E-5</v>
      </c>
      <c r="O56" s="96">
        <v>0.23760000000000001</v>
      </c>
      <c r="P56" s="97">
        <v>0.252</v>
      </c>
      <c r="Q56" s="98">
        <v>0.28570000000000001</v>
      </c>
      <c r="R56" s="112">
        <v>40.058199999999999</v>
      </c>
      <c r="S56" s="118">
        <v>-3493.5</v>
      </c>
      <c r="T56" s="125">
        <v>-11.1797</v>
      </c>
      <c r="U56" s="5">
        <v>3.1829999999999999E-9</v>
      </c>
      <c r="V56" s="6">
        <v>3.1456999999999998E-6</v>
      </c>
      <c r="W56" s="139">
        <v>249.607</v>
      </c>
      <c r="X56" s="7">
        <v>-0.17996999999999999</v>
      </c>
      <c r="Y56" s="8">
        <v>8.4982000000000005E-4</v>
      </c>
      <c r="Z56" s="30">
        <v>0</v>
      </c>
      <c r="AA56" s="141">
        <v>0.17610000000000001</v>
      </c>
      <c r="AB56" s="9">
        <v>-9.5111999999999993E-5</v>
      </c>
      <c r="AC56" s="10">
        <v>-2.2896000000000001E-7</v>
      </c>
      <c r="AD56" s="146">
        <v>55.927999999999997</v>
      </c>
      <c r="AE56" s="147">
        <v>0.38</v>
      </c>
      <c r="AF56" s="150">
        <v>52.292999999999999</v>
      </c>
      <c r="AG56" s="152">
        <v>1.2222</v>
      </c>
    </row>
    <row r="57" spans="1:33" x14ac:dyDescent="0.2">
      <c r="A57" s="27">
        <v>9</v>
      </c>
      <c r="B57" s="69">
        <v>7.9666881749999998</v>
      </c>
      <c r="C57" s="28">
        <f t="shared" si="4"/>
        <v>0.57782601799258038</v>
      </c>
      <c r="D57" s="29">
        <v>128.25800000000001</v>
      </c>
      <c r="E57" s="59">
        <v>581.5</v>
      </c>
      <c r="F57" s="43">
        <v>23.68</v>
      </c>
      <c r="G57" s="40">
        <v>5.22E-4</v>
      </c>
      <c r="H57" s="44">
        <f t="shared" si="1"/>
        <v>245.70498084291191</v>
      </c>
      <c r="I57" s="52">
        <f t="shared" si="2"/>
        <v>0.25567747095876359</v>
      </c>
      <c r="J57" s="51">
        <v>0.34399999999999997</v>
      </c>
      <c r="K57" s="76">
        <v>-4.6955999999999998</v>
      </c>
      <c r="L57" s="82">
        <v>842.09</v>
      </c>
      <c r="M57" s="85">
        <v>8.6E-3</v>
      </c>
      <c r="N57" s="4">
        <v>-9.2418000000000002E-6</v>
      </c>
      <c r="O57" s="96">
        <v>0.2336</v>
      </c>
      <c r="P57" s="97">
        <v>0.251</v>
      </c>
      <c r="Q57" s="98">
        <v>0.28570000000000001</v>
      </c>
      <c r="R57" s="112">
        <v>38.526699999999998</v>
      </c>
      <c r="S57" s="118">
        <v>-3341.3</v>
      </c>
      <c r="T57" s="125">
        <v>-10.6981</v>
      </c>
      <c r="U57" s="5">
        <v>4.6667999999999996E-9</v>
      </c>
      <c r="V57" s="6">
        <v>3.1273000000000001E-6</v>
      </c>
      <c r="W57" s="139">
        <v>240.78800000000001</v>
      </c>
      <c r="X57" s="7">
        <v>-0.19048999999999999</v>
      </c>
      <c r="Y57" s="8">
        <v>8.7040999999999996E-4</v>
      </c>
      <c r="Z57" s="30">
        <v>0</v>
      </c>
      <c r="AA57" s="141">
        <v>0.17599999999999999</v>
      </c>
      <c r="AB57" s="9">
        <v>-9.556E-5</v>
      </c>
      <c r="AC57" s="10">
        <v>-2.4129000000000001E-7</v>
      </c>
      <c r="AD57" s="146">
        <v>53.835000000000001</v>
      </c>
      <c r="AE57" s="147">
        <v>0.38</v>
      </c>
      <c r="AF57" s="150">
        <v>49.963000000000001</v>
      </c>
      <c r="AG57" s="152">
        <v>1.2222</v>
      </c>
    </row>
    <row r="58" spans="1:33" x14ac:dyDescent="0.2">
      <c r="A58" s="27">
        <v>9</v>
      </c>
      <c r="B58" s="69">
        <v>7.4808643937500001</v>
      </c>
      <c r="C58" s="28">
        <f t="shared" si="4"/>
        <v>0.53609335156562288</v>
      </c>
      <c r="D58" s="29">
        <v>128.25800000000001</v>
      </c>
      <c r="E58" s="59">
        <v>596</v>
      </c>
      <c r="F58" s="43">
        <v>25.53</v>
      </c>
      <c r="G58" s="40">
        <v>4.9100000000000001E-4</v>
      </c>
      <c r="H58" s="44">
        <f t="shared" si="1"/>
        <v>261.21792260692462</v>
      </c>
      <c r="I58" s="52">
        <f t="shared" si="2"/>
        <v>0.25297408107615044</v>
      </c>
      <c r="J58" s="51">
        <v>0.33300000000000002</v>
      </c>
      <c r="K58" s="76">
        <v>-6.0364000000000004</v>
      </c>
      <c r="L58" s="82">
        <v>1037.3</v>
      </c>
      <c r="M58" s="85">
        <v>1.1599999999999999E-2</v>
      </c>
      <c r="N58" s="4">
        <v>-1.1173E-5</v>
      </c>
      <c r="O58" s="96">
        <v>0.2379</v>
      </c>
      <c r="P58" s="97">
        <v>0.253</v>
      </c>
      <c r="Q58" s="98">
        <v>0.28570000000000001</v>
      </c>
      <c r="R58" s="113" t="str" cm="1">
        <f t="array" ref="R58">LEFT(INDEX($R$27:$R$59, MATCH(MIN(IF(ABS($B$27:$B$59-B58)&lt;&gt;0, ABS($B$27:$B$59-B58))), IF(ABS($B$27:$B$59-B58)&lt;&gt;0, ABS($B$27:$B$59-B58)), 0)),7)</f>
        <v>10.104</v>
      </c>
      <c r="S58" s="119" cm="1">
        <f t="array" ref="S58">INDEX($S$27:$S$59, MATCH(MIN(IF(ABS($B$27:$B$59-B58)&lt;&gt;0, ABS($B$27:$B$59-B58))), IF(ABS($B$27:$B$59-B58)&lt;&gt;0, ABS($B$27:$B$59-B58)), 0))</f>
        <v>-2614.1999999999998</v>
      </c>
      <c r="T58" s="126" cm="1">
        <f t="array" ref="T58">INDEX($T$27:$T$59, MATCH(MIN(IF(ABS($B$27:$B$59-B58)&lt;&gt;0, ABS($B$27:$B$59-B58))), IF(ABS($B$27:$B$59-B58)&lt;&gt;0, ABS($B$27:$B$59-B58)), 0))</f>
        <v>0.90710000000000002</v>
      </c>
      <c r="U58" s="37" cm="1">
        <f t="array" ref="U58">INDEX($U$27:$U$59, MATCH(MIN(IF(ABS($B$27:$B$59-B58)&lt;&gt;0, ABS($B$27:$B$59-B58))), IF(ABS($B$27:$B$59-B58)&lt;&gt;0, ABS($B$27:$B$59-B58)), 0))</f>
        <v>-1.0373E-2</v>
      </c>
      <c r="V58" s="38" cm="1">
        <f t="array" ref="V58">INDEX($V$27:$V$59, MATCH(MIN(IF(ABS($B$27:$B$59-B58)&lt;&gt;0, ABS($B$27:$B$59-B58))), IF(ABS($B$27:$B$59-B58)&lt;&gt;0, ABS($B$27:$B$59-B58)), 0))</f>
        <v>6.3651999999999996E-6</v>
      </c>
      <c r="W58" s="139">
        <v>248.05600000000001</v>
      </c>
      <c r="X58" s="7">
        <v>-0.17619000000000001</v>
      </c>
      <c r="Y58" s="8">
        <v>8.3591000000000004E-4</v>
      </c>
      <c r="Z58" s="30">
        <v>0</v>
      </c>
      <c r="AA58" s="141">
        <v>0.17510000000000001</v>
      </c>
      <c r="AB58" s="9">
        <v>-9.5247000000000005E-5</v>
      </c>
      <c r="AC58" s="10">
        <v>-2.2499999999999999E-7</v>
      </c>
      <c r="AD58" s="146">
        <v>54.540999999999997</v>
      </c>
      <c r="AE58" s="147">
        <v>0.38</v>
      </c>
      <c r="AF58" s="150">
        <v>51.244</v>
      </c>
      <c r="AG58" s="152">
        <v>1.2222</v>
      </c>
    </row>
    <row r="59" spans="1:33" x14ac:dyDescent="0.2">
      <c r="A59" s="27">
        <v>9</v>
      </c>
      <c r="B59" s="69">
        <v>8.3842370924999994</v>
      </c>
      <c r="C59" s="28">
        <f t="shared" si="4"/>
        <v>0.61369381690133262</v>
      </c>
      <c r="D59" s="29">
        <v>128.25800000000001</v>
      </c>
      <c r="E59" s="59">
        <v>573.5</v>
      </c>
      <c r="F59" s="45" t="str" cm="1">
        <f t="array" ref="F59">LEFT(INDEX($F$27:$F$59, MATCH(MIN(IF(ABS($B$27:$B$59-B59)&lt;&gt;0, ABS($B$27:$B$59-B59))), IF(ABS($B$27:$B$59-B59)&lt;&gt;0, ABS($B$27:$B$59-B59)), 0)),5)</f>
        <v>23.68</v>
      </c>
      <c r="G59" s="36" t="str" cm="1">
        <f t="array" ref="G59">LEFT(INDEX($G$27:$G$59, MATCH(MIN(IF(ABS($B$27:$B$59-B59)&lt;&gt;0, ABS($B$27:$B$59-B59))), IF(ABS($B$27:$B$59-B59)&lt;&gt;0, ABS($B$27:$B$59-B59)), 0)),8)</f>
        <v>0.000522</v>
      </c>
      <c r="H59" s="46">
        <f t="shared" si="1"/>
        <v>245.70498084291191</v>
      </c>
      <c r="I59" s="54">
        <f t="shared" si="2"/>
        <v>0.25924402678730785</v>
      </c>
      <c r="J59" s="53" t="str" cm="1">
        <f t="array" ref="J59">LEFT(INDEX($J$27:$J$59, MATCH(MIN(IF(ABS($B$27:$B$59-B59)&lt;&gt;0, ABS($B$27:$B$59-B59))), IF(ABS($B$27:$B$59-B59)&lt;&gt;0, ABS($B$27:$B$59-B59)), 0)),5)</f>
        <v>0.344</v>
      </c>
      <c r="K59" s="76">
        <v>-2.7955999999999999</v>
      </c>
      <c r="L59" s="82">
        <v>588.35</v>
      </c>
      <c r="M59" s="85">
        <v>4.0000000000000001E-3</v>
      </c>
      <c r="N59" s="4">
        <v>-5.7123000000000003E-6</v>
      </c>
      <c r="O59" s="96">
        <v>0.23380000000000001</v>
      </c>
      <c r="P59" s="97">
        <v>0.253</v>
      </c>
      <c r="Q59" s="98">
        <v>0.28570000000000001</v>
      </c>
      <c r="R59" s="113" t="str" cm="1">
        <f t="array" ref="R59">LEFT(INDEX($R$27:$R$59, MATCH(MIN(IF(ABS($B$27:$B$59-B59)&lt;&gt;0, ABS($B$27:$B$59-B59))), IF(ABS($B$27:$B$59-B59)&lt;&gt;0, ABS($B$27:$B$59-B59)), 0)),7)</f>
        <v>38.5267</v>
      </c>
      <c r="S59" s="119" cm="1">
        <f t="array" ref="S59">INDEX($S$27:$S$59, MATCH(MIN(IF(ABS($B$27:$B$59-B59)&lt;&gt;0, ABS($B$27:$B$59-B59))), IF(ABS($B$27:$B$59-B59)&lt;&gt;0, ABS($B$27:$B$59-B59)), 0))</f>
        <v>-3341.3</v>
      </c>
      <c r="T59" s="126" cm="1">
        <f t="array" ref="T59">INDEX($T$27:$T$59, MATCH(MIN(IF(ABS($B$27:$B$59-B59)&lt;&gt;0, ABS($B$27:$B$59-B59))), IF(ABS($B$27:$B$59-B59)&lt;&gt;0, ABS($B$27:$B$59-B59)), 0))</f>
        <v>-10.6981</v>
      </c>
      <c r="U59" s="37" cm="1">
        <f t="array" ref="U59">INDEX($U$27:$U$59, MATCH(MIN(IF(ABS($B$27:$B$59-B59)&lt;&gt;0, ABS($B$27:$B$59-B59))), IF(ABS($B$27:$B$59-B59)&lt;&gt;0, ABS($B$27:$B$59-B59)), 0))</f>
        <v>4.6667999999999996E-9</v>
      </c>
      <c r="V59" s="38" cm="1">
        <f t="array" ref="V59">INDEX($V$27:$V$59, MATCH(MIN(IF(ABS($B$27:$B$59-B59)&lt;&gt;0, ABS($B$27:$B$59-B59))), IF(ABS($B$27:$B$59-B59)&lt;&gt;0, ABS($B$27:$B$59-B59)), 0))</f>
        <v>3.1273000000000001E-6</v>
      </c>
      <c r="W59" s="139">
        <v>233.57499999999999</v>
      </c>
      <c r="X59" s="7">
        <v>-0.17765</v>
      </c>
      <c r="Y59" s="8">
        <v>8.5468999999999996E-4</v>
      </c>
      <c r="Z59" s="30">
        <v>0</v>
      </c>
      <c r="AA59" s="141">
        <v>0.17699999999999999</v>
      </c>
      <c r="AB59" s="9">
        <v>-9.8676000000000002E-5</v>
      </c>
      <c r="AC59" s="10">
        <v>-2.4742999999999999E-7</v>
      </c>
      <c r="AD59" s="146">
        <v>53.542000000000002</v>
      </c>
      <c r="AE59" s="147">
        <v>0.38</v>
      </c>
      <c r="AF59" s="150">
        <v>49.256</v>
      </c>
      <c r="AG59" s="152">
        <v>1.2222</v>
      </c>
    </row>
    <row r="60" spans="1:33" x14ac:dyDescent="0.2">
      <c r="A60" s="27">
        <v>10</v>
      </c>
      <c r="B60" s="69">
        <v>5.3024470962499999</v>
      </c>
      <c r="C60" s="28">
        <f t="shared" ref="C60:C91" si="5">(B60-MIN($B$60:$B$133))/(MAX($B$60:$B$133)-MIN($B$60:$B$133))</f>
        <v>0.32577930782389297</v>
      </c>
      <c r="D60" s="31">
        <v>142.285</v>
      </c>
      <c r="E60" s="47">
        <v>612.1</v>
      </c>
      <c r="F60" s="44">
        <v>22.19</v>
      </c>
      <c r="G60" s="11">
        <v>5.5699999999999999E-4</v>
      </c>
      <c r="H60" s="61">
        <f t="shared" si="1"/>
        <v>255.44883303411132</v>
      </c>
      <c r="I60" s="29">
        <f t="shared" si="2"/>
        <v>0.24287348117981697</v>
      </c>
      <c r="J60" s="52">
        <v>0.40400000000000003</v>
      </c>
      <c r="K60" s="75">
        <v>-5.2145000000000001</v>
      </c>
      <c r="L60" s="81">
        <v>887.22</v>
      </c>
      <c r="M60" s="13">
        <v>1.0200000000000001E-2</v>
      </c>
      <c r="N60" s="12">
        <v>-1.0373999999999999E-5</v>
      </c>
      <c r="O60" s="93">
        <v>0.2283</v>
      </c>
      <c r="P60" s="94">
        <v>0.24299999999999999</v>
      </c>
      <c r="Q60" s="95">
        <v>0.28570000000000001</v>
      </c>
      <c r="R60" s="111">
        <v>54.908000000000001</v>
      </c>
      <c r="S60" s="118">
        <v>-4210.3</v>
      </c>
      <c r="T60" s="125">
        <v>-16.829999999999998</v>
      </c>
      <c r="U60" s="5">
        <v>3.9908000000000001E-3</v>
      </c>
      <c r="V60" s="6">
        <v>1.7434999999999999E-6</v>
      </c>
      <c r="W60" s="138">
        <v>306.637</v>
      </c>
      <c r="X60" s="13">
        <v>-0.35621999999999998</v>
      </c>
      <c r="Y60" s="14">
        <v>1.1157999999999999E-3</v>
      </c>
      <c r="Z60" s="30">
        <v>0</v>
      </c>
      <c r="AA60" s="77">
        <v>0.16650000000000001</v>
      </c>
      <c r="AB60" s="5">
        <v>-6.5858000000000005E-5</v>
      </c>
      <c r="AC60" s="15">
        <v>-2.3752E-7</v>
      </c>
      <c r="AD60" s="146">
        <v>60.176000000000002</v>
      </c>
      <c r="AE60" s="147">
        <v>0.38</v>
      </c>
      <c r="AF60" s="150">
        <v>49.823</v>
      </c>
      <c r="AG60" s="152">
        <v>1.2222</v>
      </c>
    </row>
    <row r="61" spans="1:33" x14ac:dyDescent="0.2">
      <c r="A61" s="27">
        <v>10</v>
      </c>
      <c r="B61" s="69">
        <v>3.5367682612500002</v>
      </c>
      <c r="C61" s="28">
        <f t="shared" si="5"/>
        <v>0.18451653333765458</v>
      </c>
      <c r="D61" s="31">
        <v>142.285</v>
      </c>
      <c r="E61" s="47">
        <v>612.20000000000005</v>
      </c>
      <c r="F61" s="44">
        <v>22.39</v>
      </c>
      <c r="G61" s="11">
        <v>5.4600000000000004E-4</v>
      </c>
      <c r="H61" s="61">
        <f t="shared" si="1"/>
        <v>260.59523809523807</v>
      </c>
      <c r="I61" s="29">
        <f t="shared" si="2"/>
        <v>0.24018362260686543</v>
      </c>
      <c r="J61" s="52">
        <v>0.41799999999999998</v>
      </c>
      <c r="K61" s="75">
        <v>-5.5774999999999997</v>
      </c>
      <c r="L61" s="81">
        <v>935.34</v>
      </c>
      <c r="M61" s="13">
        <v>1.11E-2</v>
      </c>
      <c r="N61" s="12">
        <v>-1.1080999999999999E-5</v>
      </c>
      <c r="O61" s="93">
        <v>0.22850000000000001</v>
      </c>
      <c r="P61" s="94">
        <v>0.24</v>
      </c>
      <c r="Q61" s="95">
        <v>0.28570000000000001</v>
      </c>
      <c r="R61" s="111">
        <v>76.037999999999997</v>
      </c>
      <c r="S61" s="118">
        <v>-4782.8</v>
      </c>
      <c r="T61" s="125">
        <v>-25.49</v>
      </c>
      <c r="U61" s="5">
        <v>1.2197E-2</v>
      </c>
      <c r="V61" s="6">
        <v>-1.1443E-6</v>
      </c>
      <c r="W61" s="138">
        <v>308.30900000000003</v>
      </c>
      <c r="X61" s="13">
        <v>-0.36336000000000002</v>
      </c>
      <c r="Y61" s="14">
        <v>1.134E-3</v>
      </c>
      <c r="Z61" s="30">
        <v>0</v>
      </c>
      <c r="AA61" s="77">
        <v>0.1668</v>
      </c>
      <c r="AB61" s="5">
        <v>-6.5598000000000005E-5</v>
      </c>
      <c r="AC61" s="15">
        <v>-2.3853000000000001E-7</v>
      </c>
      <c r="AD61" s="146">
        <v>60.689</v>
      </c>
      <c r="AE61" s="147">
        <v>0.38</v>
      </c>
      <c r="AF61" s="150">
        <v>50.695</v>
      </c>
      <c r="AG61" s="152">
        <v>1.2222</v>
      </c>
    </row>
    <row r="62" spans="1:33" x14ac:dyDescent="0.2">
      <c r="A62" s="27">
        <v>10</v>
      </c>
      <c r="B62" s="69">
        <v>3.8466588562499999</v>
      </c>
      <c r="C62" s="28">
        <f t="shared" si="5"/>
        <v>0.20930926708353492</v>
      </c>
      <c r="D62" s="31">
        <v>142.285</v>
      </c>
      <c r="E62" s="47">
        <v>608.29999999999995</v>
      </c>
      <c r="F62" s="44">
        <v>21.89</v>
      </c>
      <c r="G62" s="11">
        <v>5.62E-4</v>
      </c>
      <c r="H62" s="61">
        <f t="shared" si="1"/>
        <v>253.1761565836299</v>
      </c>
      <c r="I62" s="29">
        <f t="shared" si="2"/>
        <v>0.24325077942127726</v>
      </c>
      <c r="J62" s="52">
        <v>0.42399999999999999</v>
      </c>
      <c r="K62" s="75">
        <v>-5.2142999999999997</v>
      </c>
      <c r="L62" s="81">
        <v>882.74</v>
      </c>
      <c r="M62" s="13">
        <v>1.04E-2</v>
      </c>
      <c r="N62" s="12">
        <v>-1.0594000000000001E-5</v>
      </c>
      <c r="O62" s="93">
        <v>0.22800000000000001</v>
      </c>
      <c r="P62" s="94">
        <v>0.24299999999999999</v>
      </c>
      <c r="Q62" s="95">
        <v>0.28570000000000001</v>
      </c>
      <c r="R62" s="111">
        <v>49.328000000000003</v>
      </c>
      <c r="S62" s="118">
        <v>-4133.5</v>
      </c>
      <c r="T62" s="125">
        <v>-14.367000000000001</v>
      </c>
      <c r="U62" s="5">
        <v>9.0414E-4</v>
      </c>
      <c r="V62" s="6">
        <v>3.0570000000000001E-6</v>
      </c>
      <c r="W62" s="138">
        <v>306.43299999999999</v>
      </c>
      <c r="X62" s="13">
        <v>-0.36203999999999997</v>
      </c>
      <c r="Y62" s="14">
        <v>1.1316E-3</v>
      </c>
      <c r="Z62" s="30">
        <v>0</v>
      </c>
      <c r="AA62" s="77">
        <v>0.1673</v>
      </c>
      <c r="AB62" s="5">
        <v>-6.5276000000000003E-5</v>
      </c>
      <c r="AC62" s="15">
        <v>-2.4367000000000001E-7</v>
      </c>
      <c r="AD62" s="146">
        <v>61.216000000000001</v>
      </c>
      <c r="AE62" s="147">
        <v>0.38</v>
      </c>
      <c r="AF62" s="150">
        <v>50.073</v>
      </c>
      <c r="AG62" s="152">
        <v>1.2222</v>
      </c>
    </row>
    <row r="63" spans="1:33" x14ac:dyDescent="0.2">
      <c r="A63" s="27">
        <v>10</v>
      </c>
      <c r="B63" s="69">
        <v>3.84263691</v>
      </c>
      <c r="C63" s="28">
        <f t="shared" si="5"/>
        <v>0.20898749209544118</v>
      </c>
      <c r="D63" s="31">
        <v>142.285</v>
      </c>
      <c r="E63" s="47">
        <v>606.29999999999995</v>
      </c>
      <c r="F63" s="44">
        <v>21.89</v>
      </c>
      <c r="G63" s="11">
        <v>5.5500000000000005E-4</v>
      </c>
      <c r="H63" s="61">
        <f t="shared" si="1"/>
        <v>256.36936936936934</v>
      </c>
      <c r="I63" s="29">
        <f t="shared" si="2"/>
        <v>0.24101338162428973</v>
      </c>
      <c r="J63" s="52">
        <v>0.42399999999999999</v>
      </c>
      <c r="K63" s="75">
        <v>-5.2004000000000001</v>
      </c>
      <c r="L63" s="81">
        <v>877.33</v>
      </c>
      <c r="M63" s="13">
        <v>1.04E-2</v>
      </c>
      <c r="N63" s="12">
        <v>-1.0648999999999999E-5</v>
      </c>
      <c r="O63" s="93">
        <v>0.2268</v>
      </c>
      <c r="P63" s="94">
        <v>0.24099999999999999</v>
      </c>
      <c r="Q63" s="95">
        <v>0.28570000000000001</v>
      </c>
      <c r="R63" s="111">
        <v>67.078000000000003</v>
      </c>
      <c r="S63" s="118">
        <v>-4553.8</v>
      </c>
      <c r="T63" s="125">
        <v>-21.748000000000001</v>
      </c>
      <c r="U63" s="5">
        <v>8.2991999999999996E-3</v>
      </c>
      <c r="V63" s="6">
        <v>3.6514E-7</v>
      </c>
      <c r="W63" s="138">
        <v>304.96100000000001</v>
      </c>
      <c r="X63" s="13">
        <v>-0.36667</v>
      </c>
      <c r="Y63" s="14">
        <v>1.1431E-3</v>
      </c>
      <c r="Z63" s="30">
        <v>0</v>
      </c>
      <c r="AA63" s="77">
        <v>0.16719999999999999</v>
      </c>
      <c r="AB63" s="5">
        <v>-6.5327000000000007E-5</v>
      </c>
      <c r="AC63" s="15">
        <v>-2.4541000000000003E-7</v>
      </c>
      <c r="AD63" s="146">
        <v>60.682000000000002</v>
      </c>
      <c r="AE63" s="147">
        <v>0.38</v>
      </c>
      <c r="AF63" s="150">
        <v>50.039000000000001</v>
      </c>
      <c r="AG63" s="152">
        <v>1.2222</v>
      </c>
    </row>
    <row r="64" spans="1:33" x14ac:dyDescent="0.2">
      <c r="A64" s="27">
        <v>10</v>
      </c>
      <c r="B64" s="69">
        <v>5.3013787412499997</v>
      </c>
      <c r="C64" s="28">
        <f t="shared" si="5"/>
        <v>0.32569383430037063</v>
      </c>
      <c r="D64" s="31">
        <v>142.285</v>
      </c>
      <c r="E64" s="47">
        <v>606.9</v>
      </c>
      <c r="F64" s="44">
        <v>22.09</v>
      </c>
      <c r="G64" s="11">
        <v>5.4799999999999998E-4</v>
      </c>
      <c r="H64" s="61">
        <f t="shared" si="1"/>
        <v>259.64416058394164</v>
      </c>
      <c r="I64" s="29">
        <f t="shared" si="2"/>
        <v>0.23991042312579419</v>
      </c>
      <c r="J64" s="52">
        <v>0.40200000000000002</v>
      </c>
      <c r="K64" s="75">
        <v>-5.0777000000000001</v>
      </c>
      <c r="L64" s="81">
        <v>860.14</v>
      </c>
      <c r="M64" s="13">
        <v>0.01</v>
      </c>
      <c r="N64" s="12">
        <v>-1.0319999999999999E-5</v>
      </c>
      <c r="O64" s="93">
        <v>0.22539999999999999</v>
      </c>
      <c r="P64" s="94">
        <v>0.24</v>
      </c>
      <c r="Q64" s="95">
        <v>0.28570000000000001</v>
      </c>
      <c r="R64" s="111">
        <v>52.747999999999998</v>
      </c>
      <c r="S64" s="118">
        <v>-4111.2</v>
      </c>
      <c r="T64" s="125">
        <v>-15.989000000000001</v>
      </c>
      <c r="U64" s="5">
        <v>3.3029000000000001E-3</v>
      </c>
      <c r="V64" s="6">
        <v>2.0078000000000001E-6</v>
      </c>
      <c r="W64" s="138">
        <v>302.37099999999998</v>
      </c>
      <c r="X64" s="13">
        <v>-0.36364999999999997</v>
      </c>
      <c r="Y64" s="14">
        <v>1.1344E-3</v>
      </c>
      <c r="Z64" s="30">
        <v>0</v>
      </c>
      <c r="AA64" s="77">
        <v>0.1663</v>
      </c>
      <c r="AB64" s="5">
        <v>-6.6030000000000003E-5</v>
      </c>
      <c r="AC64" s="15">
        <v>-2.4181999999999998E-7</v>
      </c>
      <c r="AD64" s="146">
        <v>59.573</v>
      </c>
      <c r="AE64" s="147">
        <v>0.38</v>
      </c>
      <c r="AF64" s="150">
        <v>52.493000000000002</v>
      </c>
      <c r="AG64" s="152">
        <v>1.2222</v>
      </c>
    </row>
    <row r="65" spans="1:33" x14ac:dyDescent="0.2">
      <c r="A65" s="27">
        <v>10</v>
      </c>
      <c r="B65" s="69">
        <v>3.5364777525000002</v>
      </c>
      <c r="C65" s="28">
        <f t="shared" si="5"/>
        <v>0.18449329124445843</v>
      </c>
      <c r="D65" s="31">
        <v>142.285</v>
      </c>
      <c r="E65" s="47">
        <v>614</v>
      </c>
      <c r="F65" s="44">
        <v>22.39</v>
      </c>
      <c r="G65" s="11">
        <v>5.5099999999999995E-4</v>
      </c>
      <c r="H65" s="61">
        <f t="shared" si="1"/>
        <v>258.23049001814883</v>
      </c>
      <c r="I65" s="29">
        <f t="shared" si="2"/>
        <v>0.24167253696327923</v>
      </c>
      <c r="J65" s="52">
        <v>0.41699999999999998</v>
      </c>
      <c r="K65" s="75">
        <v>-5.5553999999999997</v>
      </c>
      <c r="L65" s="81">
        <v>935.76</v>
      </c>
      <c r="M65" s="13">
        <v>1.0999999999999999E-2</v>
      </c>
      <c r="N65" s="12">
        <v>-1.0964999999999999E-5</v>
      </c>
      <c r="O65" s="93">
        <v>0.22919999999999999</v>
      </c>
      <c r="P65" s="94">
        <v>0.24199999999999999</v>
      </c>
      <c r="Q65" s="95">
        <v>0.28570000000000001</v>
      </c>
      <c r="R65" s="111">
        <v>68.120999999999995</v>
      </c>
      <c r="S65" s="118">
        <v>-4601.8999999999996</v>
      </c>
      <c r="T65" s="125">
        <v>-22.192</v>
      </c>
      <c r="U65" s="5">
        <v>8.8807999999999995E-3</v>
      </c>
      <c r="V65" s="6">
        <v>5.5663E-8</v>
      </c>
      <c r="W65" s="138">
        <v>309.67099999999999</v>
      </c>
      <c r="X65" s="13">
        <v>-0.35904999999999998</v>
      </c>
      <c r="Y65" s="14">
        <v>1.1230999999999999E-3</v>
      </c>
      <c r="Z65" s="30">
        <v>0</v>
      </c>
      <c r="AA65" s="77">
        <v>0.16689999999999999</v>
      </c>
      <c r="AB65" s="5">
        <v>-6.5542000000000004E-5</v>
      </c>
      <c r="AC65" s="15">
        <v>-2.3705E-7</v>
      </c>
      <c r="AD65" s="146">
        <v>60.957000000000001</v>
      </c>
      <c r="AE65" s="147">
        <v>0.38</v>
      </c>
      <c r="AF65" s="150">
        <v>50.749000000000002</v>
      </c>
      <c r="AG65" s="152">
        <v>1.2222</v>
      </c>
    </row>
    <row r="66" spans="1:33" x14ac:dyDescent="0.2">
      <c r="A66" s="27">
        <v>10</v>
      </c>
      <c r="B66" s="69">
        <v>5.2154923062499998</v>
      </c>
      <c r="C66" s="28">
        <f t="shared" si="5"/>
        <v>0.31882250761380937</v>
      </c>
      <c r="D66" s="31">
        <v>142.285</v>
      </c>
      <c r="E66" s="47">
        <v>602.9</v>
      </c>
      <c r="F66" s="44">
        <v>20.97</v>
      </c>
      <c r="G66" s="11">
        <v>5.9000000000000003E-4</v>
      </c>
      <c r="H66" s="61">
        <f t="shared" si="1"/>
        <v>241.16101694915253</v>
      </c>
      <c r="I66" s="29">
        <f t="shared" si="2"/>
        <v>0.24682840570950615</v>
      </c>
      <c r="J66" s="52">
        <v>0.438</v>
      </c>
      <c r="K66" s="75">
        <v>-47.069000000000003</v>
      </c>
      <c r="L66" s="81">
        <v>6162.4</v>
      </c>
      <c r="M66" s="13">
        <v>0.1177</v>
      </c>
      <c r="N66" s="12">
        <v>-9.8554000000000005E-5</v>
      </c>
      <c r="O66" s="93">
        <v>0.2278</v>
      </c>
      <c r="P66" s="94">
        <v>0.247</v>
      </c>
      <c r="Q66" s="95">
        <v>0.28570000000000001</v>
      </c>
      <c r="R66" s="111">
        <v>38.755000000000003</v>
      </c>
      <c r="S66" s="118">
        <v>-3915.2</v>
      </c>
      <c r="T66" s="125">
        <v>-9.8475000000000001</v>
      </c>
      <c r="U66" s="5">
        <v>-4.2319999999999997E-3</v>
      </c>
      <c r="V66" s="6">
        <v>5.1351000000000002E-6</v>
      </c>
      <c r="W66" s="138">
        <v>305.16699999999997</v>
      </c>
      <c r="X66" s="13">
        <v>-0.36254999999999998</v>
      </c>
      <c r="Y66" s="14">
        <v>1.1343E-3</v>
      </c>
      <c r="Z66" s="30">
        <v>0</v>
      </c>
      <c r="AA66" s="77">
        <v>0.16830000000000001</v>
      </c>
      <c r="AB66" s="5">
        <v>-6.4472000000000002E-5</v>
      </c>
      <c r="AC66" s="15">
        <v>-2.5235000000000001E-7</v>
      </c>
      <c r="AD66" s="146">
        <v>61.886000000000003</v>
      </c>
      <c r="AE66" s="147">
        <v>0.38</v>
      </c>
      <c r="AF66" s="150">
        <v>50.743000000000002</v>
      </c>
      <c r="AG66" s="152">
        <v>1.2222</v>
      </c>
    </row>
    <row r="67" spans="1:33" x14ac:dyDescent="0.2">
      <c r="A67" s="27">
        <v>10</v>
      </c>
      <c r="B67" s="69">
        <v>4.5318276312499997</v>
      </c>
      <c r="C67" s="28">
        <f t="shared" si="5"/>
        <v>0.2641260549552869</v>
      </c>
      <c r="D67" s="31">
        <v>142.285</v>
      </c>
      <c r="E67" s="47">
        <v>603.1</v>
      </c>
      <c r="F67" s="44">
        <v>21.48</v>
      </c>
      <c r="G67" s="11">
        <v>5.7600000000000001E-4</v>
      </c>
      <c r="H67" s="61">
        <f t="shared" ref="H67:H130" si="6">1/LEFT(G67,8)*D67/1000</f>
        <v>247.02256944444443</v>
      </c>
      <c r="I67" s="29">
        <f t="shared" ref="I67:I130" si="7">LEFT(F67,5)*100000/(H67*8.314/(D67/1000)*E67)</f>
        <v>0.2467501423066063</v>
      </c>
      <c r="J67" s="52">
        <v>0.45300000000000001</v>
      </c>
      <c r="K67" s="75">
        <v>-5.2003000000000004</v>
      </c>
      <c r="L67" s="81">
        <v>874.76</v>
      </c>
      <c r="M67" s="13">
        <v>1.0500000000000001E-2</v>
      </c>
      <c r="N67" s="12">
        <v>-1.0886999999999999E-5</v>
      </c>
      <c r="O67" s="93">
        <v>0.22889999999999999</v>
      </c>
      <c r="P67" s="94">
        <v>0.247</v>
      </c>
      <c r="Q67" s="95">
        <v>0.28570000000000001</v>
      </c>
      <c r="R67" s="111">
        <v>18.28</v>
      </c>
      <c r="S67" s="118">
        <v>-2795.6</v>
      </c>
      <c r="T67" s="125">
        <v>-3.3942000000000001</v>
      </c>
      <c r="U67" s="5">
        <v>0</v>
      </c>
      <c r="V67" s="6">
        <v>0</v>
      </c>
      <c r="W67" s="138">
        <v>307.57</v>
      </c>
      <c r="X67" s="13">
        <v>-0.36498000000000003</v>
      </c>
      <c r="Y67" s="14">
        <v>1.1423E-3</v>
      </c>
      <c r="Z67" s="30">
        <v>0</v>
      </c>
      <c r="AA67" s="77">
        <v>0.16850000000000001</v>
      </c>
      <c r="AB67" s="5">
        <v>-6.4344000000000006E-5</v>
      </c>
      <c r="AC67" s="15">
        <v>-2.5268000000000001E-7</v>
      </c>
      <c r="AD67" s="146">
        <v>61.868000000000002</v>
      </c>
      <c r="AE67" s="147">
        <v>0.38</v>
      </c>
      <c r="AF67" s="150">
        <v>50.539000000000001</v>
      </c>
      <c r="AG67" s="152">
        <v>1.2222</v>
      </c>
    </row>
    <row r="68" spans="1:33" x14ac:dyDescent="0.2">
      <c r="A68" s="27">
        <v>10</v>
      </c>
      <c r="B68" s="69">
        <v>4.5326873499999998</v>
      </c>
      <c r="C68" s="28">
        <f t="shared" si="5"/>
        <v>0.26419483657824999</v>
      </c>
      <c r="D68" s="31">
        <v>142.285</v>
      </c>
      <c r="E68" s="47">
        <v>603</v>
      </c>
      <c r="F68" s="44">
        <v>21.48</v>
      </c>
      <c r="G68" s="11">
        <v>5.6899999999999995E-4</v>
      </c>
      <c r="H68" s="61">
        <f t="shared" si="6"/>
        <v>250.06151142355012</v>
      </c>
      <c r="I68" s="29">
        <f t="shared" si="7"/>
        <v>0.2437918657853384</v>
      </c>
      <c r="J68" s="52">
        <v>0.432</v>
      </c>
      <c r="K68" s="75">
        <v>-4.9024999999999999</v>
      </c>
      <c r="L68" s="81">
        <v>834.26</v>
      </c>
      <c r="M68" s="13">
        <v>9.7000000000000003E-3</v>
      </c>
      <c r="N68" s="12">
        <v>-1.0263E-5</v>
      </c>
      <c r="O68" s="93">
        <v>0.22750000000000001</v>
      </c>
      <c r="P68" s="94">
        <v>0.24399999999999999</v>
      </c>
      <c r="Q68" s="95">
        <v>0.28570000000000001</v>
      </c>
      <c r="R68" s="111">
        <v>60.244999999999997</v>
      </c>
      <c r="S68" s="118">
        <v>-4404.7</v>
      </c>
      <c r="T68" s="125">
        <v>-18.847000000000001</v>
      </c>
      <c r="U68" s="5">
        <v>5.0920000000000002E-3</v>
      </c>
      <c r="V68" s="6">
        <v>1.6421999999999999E-6</v>
      </c>
      <c r="W68" s="138">
        <v>303.64299999999997</v>
      </c>
      <c r="X68" s="13">
        <v>-0.36525000000000002</v>
      </c>
      <c r="Y68" s="14">
        <v>1.1402999999999999E-3</v>
      </c>
      <c r="Z68" s="30">
        <v>0</v>
      </c>
      <c r="AA68" s="77">
        <v>0.16769999999999999</v>
      </c>
      <c r="AB68" s="5">
        <v>-6.4949000000000004E-5</v>
      </c>
      <c r="AC68" s="15">
        <v>-2.5025000000000001E-7</v>
      </c>
      <c r="AD68" s="146">
        <v>61.011000000000003</v>
      </c>
      <c r="AE68" s="147">
        <v>0.38</v>
      </c>
      <c r="AF68" s="150">
        <v>49.673999999999999</v>
      </c>
      <c r="AG68" s="152">
        <v>1.2222</v>
      </c>
    </row>
    <row r="69" spans="1:33" x14ac:dyDescent="0.2">
      <c r="A69" s="27">
        <v>10</v>
      </c>
      <c r="B69" s="69">
        <v>4.2286324899999999</v>
      </c>
      <c r="C69" s="28">
        <f t="shared" si="5"/>
        <v>0.23986898961887088</v>
      </c>
      <c r="D69" s="31">
        <v>142.285</v>
      </c>
      <c r="E69" s="47">
        <v>613.20000000000005</v>
      </c>
      <c r="F69" s="44">
        <v>21.89</v>
      </c>
      <c r="G69" s="11">
        <v>5.6700000000000001E-4</v>
      </c>
      <c r="H69" s="61">
        <f t="shared" si="6"/>
        <v>250.94356261022924</v>
      </c>
      <c r="I69" s="29">
        <f t="shared" si="7"/>
        <v>0.24345385403725689</v>
      </c>
      <c r="J69" s="52">
        <v>0.42399999999999999</v>
      </c>
      <c r="K69" s="75">
        <v>-5.2343999999999999</v>
      </c>
      <c r="L69" s="81">
        <v>894.24</v>
      </c>
      <c r="M69" s="13">
        <v>1.03E-2</v>
      </c>
      <c r="N69" s="12">
        <v>-1.0438000000000001E-5</v>
      </c>
      <c r="O69" s="93">
        <v>0.22789999999999999</v>
      </c>
      <c r="P69" s="94">
        <v>0.24299999999999999</v>
      </c>
      <c r="Q69" s="95">
        <v>0.28570000000000001</v>
      </c>
      <c r="R69" s="111">
        <v>66.638999999999996</v>
      </c>
      <c r="S69" s="118">
        <v>-4601.3999999999996</v>
      </c>
      <c r="T69" s="125">
        <v>-21.495999999999999</v>
      </c>
      <c r="U69" s="5">
        <v>7.842E-3</v>
      </c>
      <c r="V69" s="6">
        <v>5.1865E-7</v>
      </c>
      <c r="W69" s="138">
        <v>310.88900000000001</v>
      </c>
      <c r="X69" s="13">
        <v>-0.36031999999999997</v>
      </c>
      <c r="Y69" s="14">
        <v>1.1271E-3</v>
      </c>
      <c r="Z69" s="30">
        <v>0</v>
      </c>
      <c r="AA69" s="77">
        <v>0.16739999999999999</v>
      </c>
      <c r="AB69" s="5">
        <v>-6.5121000000000002E-5</v>
      </c>
      <c r="AC69" s="15">
        <v>-2.396E-7</v>
      </c>
      <c r="AD69" s="146">
        <v>61.42</v>
      </c>
      <c r="AE69" s="147">
        <v>0.38</v>
      </c>
      <c r="AF69" s="150">
        <v>50.216000000000001</v>
      </c>
      <c r="AG69" s="152">
        <v>1.2222</v>
      </c>
    </row>
    <row r="70" spans="1:33" x14ac:dyDescent="0.2">
      <c r="A70" s="27">
        <v>10</v>
      </c>
      <c r="B70" s="69">
        <v>6.3956176662499997</v>
      </c>
      <c r="C70" s="28">
        <f t="shared" si="5"/>
        <v>0.41323819595453243</v>
      </c>
      <c r="D70" s="31">
        <v>142.285</v>
      </c>
      <c r="E70" s="47">
        <v>602</v>
      </c>
      <c r="F70" s="44">
        <v>21.6</v>
      </c>
      <c r="G70" s="11">
        <v>5.7399999999999997E-4</v>
      </c>
      <c r="H70" s="61">
        <f t="shared" si="6"/>
        <v>247.88327526132406</v>
      </c>
      <c r="I70" s="29">
        <f t="shared" si="7"/>
        <v>0.24771889388031393</v>
      </c>
      <c r="J70" s="52">
        <v>0.42899999999999999</v>
      </c>
      <c r="K70" s="75">
        <v>-5.0212000000000003</v>
      </c>
      <c r="L70" s="81">
        <v>846.58</v>
      </c>
      <c r="M70" s="13">
        <v>0.01</v>
      </c>
      <c r="N70" s="12">
        <v>-1.0518E-5</v>
      </c>
      <c r="O70" s="93">
        <v>0.24790000000000001</v>
      </c>
      <c r="P70" s="94">
        <v>0.27139999999999997</v>
      </c>
      <c r="Q70" s="95">
        <v>0.29310000000000003</v>
      </c>
      <c r="R70" s="111">
        <v>3.7585000000000002</v>
      </c>
      <c r="S70" s="118">
        <v>-2748.6</v>
      </c>
      <c r="T70" s="125">
        <v>3.8574000000000002</v>
      </c>
      <c r="U70" s="5">
        <v>-1.4111E-2</v>
      </c>
      <c r="V70" s="6">
        <v>7.6942E-6</v>
      </c>
      <c r="W70" s="138">
        <v>183.23400000000001</v>
      </c>
      <c r="X70" s="13">
        <v>0.87514999999999998</v>
      </c>
      <c r="Y70" s="14">
        <v>-2.4074000000000001E-3</v>
      </c>
      <c r="Z70" s="30">
        <v>3.2467000000000002E-6</v>
      </c>
      <c r="AA70" s="77">
        <v>0.16869999999999999</v>
      </c>
      <c r="AB70" s="5">
        <v>-7.0984999999999999E-5</v>
      </c>
      <c r="AC70" s="15">
        <v>-2.4395000000000001E-7</v>
      </c>
      <c r="AD70" s="146">
        <v>59.81</v>
      </c>
      <c r="AE70" s="147">
        <v>0.38</v>
      </c>
      <c r="AF70" s="150">
        <v>48.84</v>
      </c>
      <c r="AG70" s="152">
        <v>1.2130000000000001</v>
      </c>
    </row>
    <row r="71" spans="1:33" x14ac:dyDescent="0.2">
      <c r="A71" s="27">
        <v>10</v>
      </c>
      <c r="B71" s="69">
        <v>4.5325591737500002</v>
      </c>
      <c r="C71" s="28">
        <f t="shared" si="5"/>
        <v>0.2641845818635537</v>
      </c>
      <c r="D71" s="31">
        <v>142.285</v>
      </c>
      <c r="E71" s="47">
        <v>599.4</v>
      </c>
      <c r="F71" s="44">
        <v>21.38</v>
      </c>
      <c r="G71" s="11">
        <v>5.6599999999999999E-4</v>
      </c>
      <c r="H71" s="61">
        <f t="shared" si="6"/>
        <v>251.386925795053</v>
      </c>
      <c r="I71" s="29">
        <f t="shared" si="7"/>
        <v>0.24282722302127321</v>
      </c>
      <c r="J71" s="52">
        <v>0.43</v>
      </c>
      <c r="K71" s="75">
        <v>-4.7401</v>
      </c>
      <c r="L71" s="81">
        <v>806.59</v>
      </c>
      <c r="M71" s="13">
        <v>9.4000000000000004E-3</v>
      </c>
      <c r="N71" s="12">
        <v>-1.0103E-5</v>
      </c>
      <c r="O71" s="93">
        <v>0.22600000000000001</v>
      </c>
      <c r="P71" s="94">
        <v>0.24299999999999999</v>
      </c>
      <c r="Q71" s="95">
        <v>0.28570000000000001</v>
      </c>
      <c r="R71" s="111">
        <v>35.5</v>
      </c>
      <c r="S71" s="118">
        <v>-3763.6</v>
      </c>
      <c r="T71" s="125">
        <v>-8.6134000000000004</v>
      </c>
      <c r="U71" s="5">
        <v>-5.0412E-3</v>
      </c>
      <c r="V71" s="6">
        <v>5.3778999999999998E-6</v>
      </c>
      <c r="W71" s="138">
        <v>300.51299999999998</v>
      </c>
      <c r="X71" s="13">
        <v>-0.36840000000000001</v>
      </c>
      <c r="Y71" s="14">
        <v>1.1483000000000001E-3</v>
      </c>
      <c r="Z71" s="30">
        <v>0</v>
      </c>
      <c r="AA71" s="77">
        <v>0.1676</v>
      </c>
      <c r="AB71" s="5">
        <v>-6.5050999999999998E-5</v>
      </c>
      <c r="AC71" s="15">
        <v>-2.5340999999999999E-7</v>
      </c>
      <c r="AD71" s="146">
        <v>61.008000000000003</v>
      </c>
      <c r="AE71" s="147">
        <v>0.38</v>
      </c>
      <c r="AF71" s="150">
        <v>49.337000000000003</v>
      </c>
      <c r="AG71" s="152">
        <v>1.2222</v>
      </c>
    </row>
    <row r="72" spans="1:33" x14ac:dyDescent="0.2">
      <c r="A72" s="27">
        <v>10</v>
      </c>
      <c r="B72" s="69">
        <v>9.8183384549999992</v>
      </c>
      <c r="C72" s="28">
        <f t="shared" si="5"/>
        <v>0.68707227343587207</v>
      </c>
      <c r="D72" s="31">
        <v>142.285</v>
      </c>
      <c r="E72" s="47">
        <v>646</v>
      </c>
      <c r="F72" s="44">
        <v>25.74</v>
      </c>
      <c r="G72" s="11">
        <v>5.0299999999999997E-4</v>
      </c>
      <c r="H72" s="61">
        <f t="shared" si="6"/>
        <v>282.87276341948308</v>
      </c>
      <c r="I72" s="29">
        <f t="shared" si="7"/>
        <v>0.24106490525511445</v>
      </c>
      <c r="J72" s="52">
        <v>0.311</v>
      </c>
      <c r="K72" s="75">
        <v>-6.9156000000000004</v>
      </c>
      <c r="L72" s="81">
        <v>1234.2</v>
      </c>
      <c r="M72" s="13">
        <v>1.2699999999999999E-2</v>
      </c>
      <c r="N72" s="12">
        <v>-1.093E-5</v>
      </c>
      <c r="O72" s="93">
        <v>0.2361</v>
      </c>
      <c r="P72" s="94">
        <v>0.24099999999999999</v>
      </c>
      <c r="Q72" s="95">
        <v>0.28570000000000001</v>
      </c>
      <c r="R72" s="111">
        <v>74.566000000000003</v>
      </c>
      <c r="S72" s="118">
        <v>-4532.8999999999996</v>
      </c>
      <c r="T72" s="125">
        <v>-25.472000000000001</v>
      </c>
      <c r="U72" s="5">
        <v>1.47E-2</v>
      </c>
      <c r="V72" s="6">
        <v>-2.8217999999999998E-6</v>
      </c>
      <c r="W72" s="138">
        <v>301.77999999999997</v>
      </c>
      <c r="X72" s="13">
        <v>-0.25174999999999997</v>
      </c>
      <c r="Y72" s="14">
        <v>9.3718000000000002E-4</v>
      </c>
      <c r="Z72" s="30">
        <v>0</v>
      </c>
      <c r="AA72" s="77">
        <v>0.16370000000000001</v>
      </c>
      <c r="AB72" s="5">
        <v>-7.5989999999999996E-5</v>
      </c>
      <c r="AC72" s="15">
        <v>-1.8865000000000001E-7</v>
      </c>
      <c r="AD72" s="146">
        <v>56.606000000000002</v>
      </c>
      <c r="AE72" s="147">
        <v>0.38</v>
      </c>
      <c r="AF72" s="150">
        <v>51.465000000000003</v>
      </c>
      <c r="AG72" s="152">
        <v>1.2222</v>
      </c>
    </row>
    <row r="73" spans="1:33" x14ac:dyDescent="0.2">
      <c r="A73" s="27">
        <v>10</v>
      </c>
      <c r="B73" s="69">
        <v>9.4525418962500005</v>
      </c>
      <c r="C73" s="28">
        <f t="shared" si="5"/>
        <v>0.65780679448112034</v>
      </c>
      <c r="D73" s="31">
        <v>142.285</v>
      </c>
      <c r="E73" s="47">
        <v>615.29999999999995</v>
      </c>
      <c r="F73" s="44">
        <v>23.71</v>
      </c>
      <c r="G73" s="11">
        <v>5.1800000000000001E-4</v>
      </c>
      <c r="H73" s="61">
        <f t="shared" si="6"/>
        <v>274.68146718146716</v>
      </c>
      <c r="I73" s="29">
        <f t="shared" si="7"/>
        <v>0.24008464141928729</v>
      </c>
      <c r="J73" s="52">
        <v>0.34599999999999997</v>
      </c>
      <c r="K73" s="75">
        <v>-6.0784000000000002</v>
      </c>
      <c r="L73" s="81">
        <v>1082.5</v>
      </c>
      <c r="M73" s="13">
        <v>1.1299999999999999E-2</v>
      </c>
      <c r="N73" s="12">
        <v>-1.0557000000000001E-5</v>
      </c>
      <c r="O73" s="93">
        <v>0.23119999999999999</v>
      </c>
      <c r="P73" s="94">
        <v>0.24</v>
      </c>
      <c r="Q73" s="95">
        <v>0.28570000000000001</v>
      </c>
      <c r="R73" s="111">
        <v>61.186999999999998</v>
      </c>
      <c r="S73" s="118">
        <v>-4160.7</v>
      </c>
      <c r="T73" s="125">
        <v>-19.835999999999999</v>
      </c>
      <c r="U73" s="5">
        <v>8.5614999999999997E-3</v>
      </c>
      <c r="V73" s="6">
        <v>-3.1058000000000002E-7</v>
      </c>
      <c r="W73" s="138">
        <v>284.11</v>
      </c>
      <c r="X73" s="13">
        <v>-0.27051999999999998</v>
      </c>
      <c r="Y73" s="14">
        <v>9.9146E-4</v>
      </c>
      <c r="Z73" s="30">
        <v>0</v>
      </c>
      <c r="AA73" s="77">
        <v>0.16569999999999999</v>
      </c>
      <c r="AB73" s="5">
        <v>-7.7183999999999998E-5</v>
      </c>
      <c r="AC73" s="15">
        <v>-2.1565E-7</v>
      </c>
      <c r="AD73" s="146">
        <v>56.859000000000002</v>
      </c>
      <c r="AE73" s="147">
        <v>0.38</v>
      </c>
      <c r="AF73" s="150">
        <v>49.524000000000001</v>
      </c>
      <c r="AG73" s="152">
        <v>1.2222</v>
      </c>
    </row>
    <row r="74" spans="1:33" x14ac:dyDescent="0.2">
      <c r="A74" s="27">
        <v>10</v>
      </c>
      <c r="B74" s="69">
        <v>7.6353460499999999</v>
      </c>
      <c r="C74" s="28">
        <f t="shared" si="5"/>
        <v>0.51242241203416006</v>
      </c>
      <c r="D74" s="31">
        <v>142.285</v>
      </c>
      <c r="E74" s="47">
        <v>594.6</v>
      </c>
      <c r="F74" s="44">
        <v>22.19</v>
      </c>
      <c r="G74" s="11">
        <v>5.3899999999999998E-4</v>
      </c>
      <c r="H74" s="61">
        <f t="shared" si="6"/>
        <v>263.9795918367347</v>
      </c>
      <c r="I74" s="29">
        <f t="shared" si="7"/>
        <v>0.24194193091038818</v>
      </c>
      <c r="J74" s="52">
        <v>0.38400000000000001</v>
      </c>
      <c r="K74" s="75">
        <v>-4.9370000000000003</v>
      </c>
      <c r="L74" s="81">
        <v>905.39</v>
      </c>
      <c r="M74" s="13">
        <v>8.9999999999999993E-3</v>
      </c>
      <c r="N74" s="12">
        <v>-9.3340999999999993E-6</v>
      </c>
      <c r="O74" s="93">
        <v>0.22819999999999999</v>
      </c>
      <c r="P74" s="94">
        <v>0.24199999999999999</v>
      </c>
      <c r="Q74" s="95">
        <v>0.28570000000000001</v>
      </c>
      <c r="R74" s="111">
        <v>19.542000000000002</v>
      </c>
      <c r="S74" s="118">
        <v>-3158.4</v>
      </c>
      <c r="T74" s="125">
        <v>-2.3512</v>
      </c>
      <c r="U74" s="5">
        <v>-9.9985000000000004E-3</v>
      </c>
      <c r="V74" s="6">
        <v>6.9574999999999999E-6</v>
      </c>
      <c r="W74" s="138">
        <v>288.94400000000002</v>
      </c>
      <c r="X74" s="13">
        <v>-0.36124000000000001</v>
      </c>
      <c r="Y74" s="14">
        <v>1.1276000000000001E-3</v>
      </c>
      <c r="Z74" s="30">
        <v>0</v>
      </c>
      <c r="AA74" s="77">
        <v>0.1653</v>
      </c>
      <c r="AB74" s="5">
        <v>-6.6962E-5</v>
      </c>
      <c r="AC74" s="15">
        <v>-2.5008999999999998E-7</v>
      </c>
      <c r="AD74" s="146">
        <v>57.741</v>
      </c>
      <c r="AE74" s="147">
        <v>0.38</v>
      </c>
      <c r="AF74" s="150">
        <v>48.442</v>
      </c>
      <c r="AG74" s="152">
        <v>1.2222</v>
      </c>
    </row>
    <row r="75" spans="1:33" x14ac:dyDescent="0.2">
      <c r="A75" s="27">
        <v>10</v>
      </c>
      <c r="B75" s="69">
        <v>7.1458311300000004</v>
      </c>
      <c r="C75" s="28">
        <f t="shared" si="5"/>
        <v>0.47325887086184426</v>
      </c>
      <c r="D75" s="31">
        <v>142.285</v>
      </c>
      <c r="E75" s="47">
        <v>611.70000000000005</v>
      </c>
      <c r="F75" s="44">
        <v>23.1</v>
      </c>
      <c r="G75" s="11">
        <v>5.2599999999999999E-4</v>
      </c>
      <c r="H75" s="61">
        <f t="shared" si="6"/>
        <v>270.50380228136879</v>
      </c>
      <c r="I75" s="29">
        <f t="shared" si="7"/>
        <v>0.23891819408472481</v>
      </c>
      <c r="J75" s="52">
        <v>0.36899999999999999</v>
      </c>
      <c r="K75" s="75">
        <v>-5.8684000000000003</v>
      </c>
      <c r="L75" s="81">
        <v>1052.7</v>
      </c>
      <c r="M75" s="13">
        <v>1.09E-2</v>
      </c>
      <c r="N75" s="12">
        <v>-1.0383E-5</v>
      </c>
      <c r="O75" s="93">
        <v>0.22819999999999999</v>
      </c>
      <c r="P75" s="94">
        <v>0.23899999999999999</v>
      </c>
      <c r="Q75" s="95">
        <v>0.28570000000000001</v>
      </c>
      <c r="R75" s="111">
        <v>51.39</v>
      </c>
      <c r="S75" s="118">
        <v>-3979</v>
      </c>
      <c r="T75" s="125">
        <v>-15.644</v>
      </c>
      <c r="U75" s="5">
        <v>3.8685999999999998E-3</v>
      </c>
      <c r="V75" s="6">
        <v>1.5492999999999999E-6</v>
      </c>
      <c r="W75" s="138">
        <v>300.06</v>
      </c>
      <c r="X75" s="13">
        <v>-0.35414000000000001</v>
      </c>
      <c r="Y75" s="14">
        <v>1.1084000000000001E-3</v>
      </c>
      <c r="Z75" s="30">
        <v>0</v>
      </c>
      <c r="AA75" s="77">
        <v>0.16470000000000001</v>
      </c>
      <c r="AB75" s="5">
        <v>-6.7250999999999997E-5</v>
      </c>
      <c r="AC75" s="15">
        <v>-2.3185E-7</v>
      </c>
      <c r="AD75" s="146">
        <v>58.11</v>
      </c>
      <c r="AE75" s="147">
        <v>0.38</v>
      </c>
      <c r="AF75" s="150">
        <v>49.612000000000002</v>
      </c>
      <c r="AG75" s="152">
        <v>1.2222</v>
      </c>
    </row>
    <row r="76" spans="1:33" x14ac:dyDescent="0.2">
      <c r="A76" s="27">
        <v>10</v>
      </c>
      <c r="B76" s="69">
        <v>8.4524123400000004</v>
      </c>
      <c r="C76" s="28">
        <f t="shared" si="5"/>
        <v>0.57779163364833741</v>
      </c>
      <c r="D76" s="31">
        <v>142.285</v>
      </c>
      <c r="E76" s="47">
        <v>642.29999999999995</v>
      </c>
      <c r="F76" s="44">
        <v>25.43</v>
      </c>
      <c r="G76" s="11">
        <v>5.0600000000000005E-4</v>
      </c>
      <c r="H76" s="61">
        <f t="shared" si="6"/>
        <v>281.195652173913</v>
      </c>
      <c r="I76" s="29">
        <f t="shared" si="7"/>
        <v>0.24096220840945112</v>
      </c>
      <c r="J76" s="52">
        <v>0.32900000000000001</v>
      </c>
      <c r="K76" s="75">
        <v>-6.9718999999999998</v>
      </c>
      <c r="L76" s="81">
        <v>1238.7</v>
      </c>
      <c r="M76" s="13">
        <v>1.29E-2</v>
      </c>
      <c r="N76" s="12">
        <v>-1.1195999999999999E-5</v>
      </c>
      <c r="O76" s="93">
        <v>0.2351</v>
      </c>
      <c r="P76" s="94">
        <v>0.24099999999999999</v>
      </c>
      <c r="Q76" s="95">
        <v>0.28570000000000001</v>
      </c>
      <c r="R76" s="111">
        <v>83.534999999999997</v>
      </c>
      <c r="S76" s="118">
        <v>-4812.6000000000004</v>
      </c>
      <c r="T76" s="125">
        <v>-29.052</v>
      </c>
      <c r="U76" s="5">
        <v>1.7675E-2</v>
      </c>
      <c r="V76" s="6">
        <v>-3.7440000000000001E-6</v>
      </c>
      <c r="W76" s="138">
        <v>301.839</v>
      </c>
      <c r="X76" s="13">
        <v>-0.25618000000000002</v>
      </c>
      <c r="Y76" s="14">
        <v>9.5036999999999997E-4</v>
      </c>
      <c r="Z76" s="30">
        <v>0</v>
      </c>
      <c r="AA76" s="77">
        <v>0.16450000000000001</v>
      </c>
      <c r="AB76" s="5">
        <v>-7.5891999999999998E-5</v>
      </c>
      <c r="AC76" s="15">
        <v>-1.9315000000000001E-7</v>
      </c>
      <c r="AD76" s="146">
        <v>57.72</v>
      </c>
      <c r="AE76" s="147">
        <v>0.38</v>
      </c>
      <c r="AF76" s="150">
        <v>51.820999999999998</v>
      </c>
      <c r="AG76" s="152">
        <v>1.2222</v>
      </c>
    </row>
    <row r="77" spans="1:33" x14ac:dyDescent="0.2">
      <c r="A77" s="27">
        <v>10</v>
      </c>
      <c r="B77" s="69">
        <v>5.1620214375</v>
      </c>
      <c r="C77" s="28">
        <f t="shared" si="5"/>
        <v>0.31454458168295085</v>
      </c>
      <c r="D77" s="31">
        <v>142.285</v>
      </c>
      <c r="E77" s="47">
        <v>617.29999999999995</v>
      </c>
      <c r="F77" s="44">
        <v>23.41</v>
      </c>
      <c r="G77" s="11">
        <v>5.2400000000000005E-4</v>
      </c>
      <c r="H77" s="61">
        <f t="shared" si="6"/>
        <v>271.53625954198469</v>
      </c>
      <c r="I77" s="29">
        <f t="shared" si="7"/>
        <v>0.23901568600111278</v>
      </c>
      <c r="J77" s="52">
        <v>0.38400000000000001</v>
      </c>
      <c r="K77" s="75">
        <v>-6.3616999999999999</v>
      </c>
      <c r="L77" s="81">
        <v>1127.3</v>
      </c>
      <c r="M77" s="13">
        <v>1.2E-2</v>
      </c>
      <c r="N77" s="12">
        <v>-1.1133E-5</v>
      </c>
      <c r="O77" s="93">
        <v>0.22969999999999999</v>
      </c>
      <c r="P77" s="94">
        <v>0.23899999999999999</v>
      </c>
      <c r="Q77" s="95">
        <v>0.28570000000000001</v>
      </c>
      <c r="R77" s="111">
        <v>75.069000000000003</v>
      </c>
      <c r="S77" s="118">
        <v>-4660.8999999999996</v>
      </c>
      <c r="T77" s="125">
        <v>-25.306000000000001</v>
      </c>
      <c r="U77" s="5">
        <v>1.2913000000000001E-2</v>
      </c>
      <c r="V77" s="6">
        <v>-1.6500000000000001E-6</v>
      </c>
      <c r="W77" s="138">
        <v>306.22500000000002</v>
      </c>
      <c r="X77" s="13">
        <v>-0.35397000000000001</v>
      </c>
      <c r="Y77" s="14">
        <v>1.1081000000000001E-3</v>
      </c>
      <c r="Z77" s="30">
        <v>0</v>
      </c>
      <c r="AA77" s="77">
        <v>0.1651</v>
      </c>
      <c r="AB77" s="5">
        <v>-6.6802000000000002E-5</v>
      </c>
      <c r="AC77" s="15">
        <v>-2.2847999999999999E-7</v>
      </c>
      <c r="AD77" s="146">
        <v>59.078000000000003</v>
      </c>
      <c r="AE77" s="147">
        <v>0.38</v>
      </c>
      <c r="AF77" s="150">
        <v>50.884999999999998</v>
      </c>
      <c r="AG77" s="152">
        <v>1.2222</v>
      </c>
    </row>
    <row r="78" spans="1:33" x14ac:dyDescent="0.2">
      <c r="A78" s="27">
        <v>10</v>
      </c>
      <c r="B78" s="69">
        <v>6.3278576725000004</v>
      </c>
      <c r="C78" s="28">
        <f t="shared" si="5"/>
        <v>0.40781707149715335</v>
      </c>
      <c r="D78" s="31">
        <v>142.285</v>
      </c>
      <c r="E78" s="47">
        <v>626.79999999999995</v>
      </c>
      <c r="F78" s="44">
        <v>24.22</v>
      </c>
      <c r="G78" s="11">
        <v>5.1599999999999997E-4</v>
      </c>
      <c r="H78" s="61">
        <f t="shared" si="6"/>
        <v>275.74612403100775</v>
      </c>
      <c r="I78" s="29">
        <f t="shared" si="7"/>
        <v>0.23981968735430464</v>
      </c>
      <c r="J78" s="52">
        <v>0.35899999999999999</v>
      </c>
      <c r="K78" s="75">
        <v>-6.6517999999999997</v>
      </c>
      <c r="L78" s="81">
        <v>1177</v>
      </c>
      <c r="M78" s="13">
        <v>1.2500000000000001E-2</v>
      </c>
      <c r="N78" s="12">
        <v>-1.1236999999999999E-5</v>
      </c>
      <c r="O78" s="93">
        <v>0.2319</v>
      </c>
      <c r="P78" s="94">
        <v>0.24</v>
      </c>
      <c r="Q78" s="95">
        <v>0.28570000000000001</v>
      </c>
      <c r="R78" s="111">
        <v>69.763999999999996</v>
      </c>
      <c r="S78" s="118">
        <v>-4484.8</v>
      </c>
      <c r="T78" s="125">
        <v>-23.260999999999999</v>
      </c>
      <c r="U78" s="5">
        <v>1.1587E-2</v>
      </c>
      <c r="V78" s="6">
        <v>-1.3978E-6</v>
      </c>
      <c r="W78" s="138">
        <v>309.03199999999998</v>
      </c>
      <c r="X78" s="13">
        <v>-0.34100999999999998</v>
      </c>
      <c r="Y78" s="14">
        <v>1.0744999999999999E-3</v>
      </c>
      <c r="Z78" s="30">
        <v>0</v>
      </c>
      <c r="AA78" s="77">
        <v>0.16389999999999999</v>
      </c>
      <c r="AB78" s="5">
        <v>-6.7413E-5</v>
      </c>
      <c r="AC78" s="15">
        <v>-2.1693E-7</v>
      </c>
      <c r="AD78" s="146">
        <v>58.551000000000002</v>
      </c>
      <c r="AE78" s="147">
        <v>0.38</v>
      </c>
      <c r="AF78" s="150">
        <v>51.119</v>
      </c>
      <c r="AG78" s="152">
        <v>1.2222</v>
      </c>
    </row>
    <row r="79" spans="1:33" x14ac:dyDescent="0.2">
      <c r="A79" s="27">
        <v>10</v>
      </c>
      <c r="B79" s="69">
        <v>6.8159821950000001</v>
      </c>
      <c r="C79" s="28">
        <f t="shared" si="5"/>
        <v>0.44686937420152384</v>
      </c>
      <c r="D79" s="31">
        <v>142.285</v>
      </c>
      <c r="E79" s="47">
        <v>620.9</v>
      </c>
      <c r="F79" s="44">
        <v>24.71</v>
      </c>
      <c r="G79" s="11">
        <v>5.2400000000000005E-4</v>
      </c>
      <c r="H79" s="61">
        <f t="shared" si="6"/>
        <v>271.53625954198469</v>
      </c>
      <c r="I79" s="29">
        <f t="shared" si="7"/>
        <v>0.25082588448492499</v>
      </c>
      <c r="J79" s="52">
        <v>0.38300000000000001</v>
      </c>
      <c r="K79" s="75">
        <v>-7.3037000000000001</v>
      </c>
      <c r="L79" s="81">
        <v>1253.5</v>
      </c>
      <c r="M79" s="13">
        <v>1.4200000000000001E-2</v>
      </c>
      <c r="N79" s="12">
        <v>-1.2695E-5</v>
      </c>
      <c r="O79" s="93">
        <v>0.2311</v>
      </c>
      <c r="P79" s="94">
        <v>0.24099999999999999</v>
      </c>
      <c r="Q79" s="95">
        <v>0.28570000000000001</v>
      </c>
      <c r="R79" s="111">
        <v>99.899000000000001</v>
      </c>
      <c r="S79" s="118">
        <v>-5267.3</v>
      </c>
      <c r="T79" s="125">
        <v>-35.631999999999998</v>
      </c>
      <c r="U79" s="5">
        <v>2.3335000000000002E-2</v>
      </c>
      <c r="V79" s="6">
        <v>-5.4867999999999997E-6</v>
      </c>
      <c r="W79" s="138">
        <v>305.82900000000001</v>
      </c>
      <c r="X79" s="13">
        <v>-0.34416000000000002</v>
      </c>
      <c r="Y79" s="14">
        <v>1.0831E-3</v>
      </c>
      <c r="Z79" s="30">
        <v>0</v>
      </c>
      <c r="AA79" s="77">
        <v>0.1643</v>
      </c>
      <c r="AB79" s="5">
        <v>-6.7277E-5</v>
      </c>
      <c r="AC79" s="15">
        <v>-2.23E-7</v>
      </c>
      <c r="AD79" s="146">
        <v>58.530999999999999</v>
      </c>
      <c r="AE79" s="147">
        <v>0.38</v>
      </c>
      <c r="AF79" s="150">
        <v>52.798000000000002</v>
      </c>
      <c r="AG79" s="152">
        <v>1.2222</v>
      </c>
    </row>
    <row r="80" spans="1:33" x14ac:dyDescent="0.2">
      <c r="A80" s="27">
        <v>10</v>
      </c>
      <c r="B80" s="69">
        <v>5.1567065325000003</v>
      </c>
      <c r="C80" s="28">
        <f t="shared" si="5"/>
        <v>0.31411936379420002</v>
      </c>
      <c r="D80" s="31">
        <v>142.285</v>
      </c>
      <c r="E80" s="47">
        <v>616.1</v>
      </c>
      <c r="F80" s="44">
        <v>23.41</v>
      </c>
      <c r="G80" s="11">
        <v>5.22E-4</v>
      </c>
      <c r="H80" s="61">
        <f t="shared" si="6"/>
        <v>272.57662835249045</v>
      </c>
      <c r="I80" s="29">
        <f t="shared" si="7"/>
        <v>0.23856717492064133</v>
      </c>
      <c r="J80" s="52">
        <v>0.38500000000000001</v>
      </c>
      <c r="K80" s="75">
        <v>-6.3738000000000001</v>
      </c>
      <c r="L80" s="81">
        <v>1126.8</v>
      </c>
      <c r="M80" s="13">
        <v>1.21E-2</v>
      </c>
      <c r="N80" s="12">
        <v>-1.1202E-5</v>
      </c>
      <c r="O80" s="93">
        <v>0.22969999999999999</v>
      </c>
      <c r="P80" s="94">
        <v>0.23899999999999999</v>
      </c>
      <c r="Q80" s="95">
        <v>0.28570000000000001</v>
      </c>
      <c r="R80" s="111">
        <v>77.064999999999998</v>
      </c>
      <c r="S80" s="118">
        <v>-4699.1000000000004</v>
      </c>
      <c r="T80" s="125">
        <v>-26.148</v>
      </c>
      <c r="U80" s="5">
        <v>1.38E-2</v>
      </c>
      <c r="V80" s="6">
        <v>-1.9752000000000002E-6</v>
      </c>
      <c r="W80" s="138">
        <v>305.20800000000003</v>
      </c>
      <c r="X80" s="13">
        <v>-0.35439999999999999</v>
      </c>
      <c r="Y80" s="14">
        <v>1.1092999999999999E-3</v>
      </c>
      <c r="Z80" s="30">
        <v>0</v>
      </c>
      <c r="AA80" s="77">
        <v>0.1651</v>
      </c>
      <c r="AB80" s="5">
        <v>-6.6835000000000006E-5</v>
      </c>
      <c r="AC80" s="15">
        <v>-2.2947E-7</v>
      </c>
      <c r="AD80" s="146">
        <v>58.95</v>
      </c>
      <c r="AE80" s="147">
        <v>0.38</v>
      </c>
      <c r="AF80" s="150">
        <v>50.841999999999999</v>
      </c>
      <c r="AG80" s="152">
        <v>1.2222</v>
      </c>
    </row>
    <row r="81" spans="1:33" x14ac:dyDescent="0.2">
      <c r="A81" s="27">
        <v>10</v>
      </c>
      <c r="B81" s="69">
        <v>6.1522359199999999</v>
      </c>
      <c r="C81" s="28">
        <f t="shared" si="5"/>
        <v>0.39376648906590073</v>
      </c>
      <c r="D81" s="31">
        <v>142.285</v>
      </c>
      <c r="E81" s="47">
        <v>603.5</v>
      </c>
      <c r="F81" s="44">
        <v>22.39</v>
      </c>
      <c r="G81" s="11">
        <v>5.3700000000000004E-4</v>
      </c>
      <c r="H81" s="61">
        <f t="shared" si="6"/>
        <v>264.96275605214146</v>
      </c>
      <c r="I81" s="29">
        <f t="shared" si="7"/>
        <v>0.23962994312505095</v>
      </c>
      <c r="J81" s="52">
        <v>0.39700000000000002</v>
      </c>
      <c r="K81" s="75">
        <v>-5.5315000000000003</v>
      </c>
      <c r="L81" s="81">
        <v>998.68</v>
      </c>
      <c r="M81" s="13">
        <v>1.03E-2</v>
      </c>
      <c r="N81" s="12">
        <v>-1.0164E-5</v>
      </c>
      <c r="O81" s="93">
        <v>0.2276</v>
      </c>
      <c r="P81" s="94">
        <v>0.24</v>
      </c>
      <c r="Q81" s="95">
        <v>0.28570000000000001</v>
      </c>
      <c r="R81" s="111">
        <v>64.491</v>
      </c>
      <c r="S81" s="118">
        <v>-4365.5</v>
      </c>
      <c r="T81" s="125">
        <v>-20.893000000000001</v>
      </c>
      <c r="U81" s="5">
        <v>8.2670999999999994E-3</v>
      </c>
      <c r="V81" s="6">
        <v>2.0753000000000001E-7</v>
      </c>
      <c r="W81" s="138">
        <v>298.06799999999998</v>
      </c>
      <c r="X81" s="13">
        <v>-0.36334</v>
      </c>
      <c r="Y81" s="14">
        <v>1.1328E-3</v>
      </c>
      <c r="Z81" s="30">
        <v>0</v>
      </c>
      <c r="AA81" s="77">
        <v>0.16589999999999999</v>
      </c>
      <c r="AB81" s="5">
        <v>-6.6439000000000005E-5</v>
      </c>
      <c r="AC81" s="15">
        <v>-2.4340000000000002E-7</v>
      </c>
      <c r="AD81" s="146">
        <v>58.777000000000001</v>
      </c>
      <c r="AE81" s="147">
        <v>0.38</v>
      </c>
      <c r="AF81" s="150">
        <v>49.555999999999997</v>
      </c>
      <c r="AG81" s="152">
        <v>1.2222</v>
      </c>
    </row>
    <row r="82" spans="1:33" x14ac:dyDescent="0.2">
      <c r="A82" s="27">
        <v>10</v>
      </c>
      <c r="B82" s="69">
        <v>3.8443178025</v>
      </c>
      <c r="C82" s="28">
        <f t="shared" si="5"/>
        <v>0.20912197155651657</v>
      </c>
      <c r="D82" s="31">
        <v>142.285</v>
      </c>
      <c r="E82" s="47">
        <v>601.79999999999995</v>
      </c>
      <c r="F82" s="44">
        <v>21.89</v>
      </c>
      <c r="G82" s="11">
        <v>5.4500000000000002E-4</v>
      </c>
      <c r="H82" s="61">
        <f t="shared" si="6"/>
        <v>261.0733944954128</v>
      </c>
      <c r="I82" s="29">
        <f t="shared" si="7"/>
        <v>0.23844051999242435</v>
      </c>
      <c r="J82" s="52">
        <v>0.42399999999999999</v>
      </c>
      <c r="K82" s="75">
        <v>-5.1711999999999998</v>
      </c>
      <c r="L82" s="81">
        <v>865.28</v>
      </c>
      <c r="M82" s="13">
        <v>1.04E-2</v>
      </c>
      <c r="N82" s="12">
        <v>-1.0781999999999999E-5</v>
      </c>
      <c r="O82" s="93">
        <v>0.2248</v>
      </c>
      <c r="P82" s="94">
        <v>0.23799999999999999</v>
      </c>
      <c r="Q82" s="95">
        <v>0.28570000000000001</v>
      </c>
      <c r="R82" s="111">
        <v>76.397000000000006</v>
      </c>
      <c r="S82" s="118">
        <v>-4745.8</v>
      </c>
      <c r="T82" s="125">
        <v>-25.661000000000001</v>
      </c>
      <c r="U82" s="5">
        <v>1.2347E-2</v>
      </c>
      <c r="V82" s="6">
        <v>-1.1103E-6</v>
      </c>
      <c r="W82" s="138">
        <v>301.42599999999999</v>
      </c>
      <c r="X82" s="13">
        <v>-0.37448999999999999</v>
      </c>
      <c r="Y82" s="14">
        <v>1.1622E-3</v>
      </c>
      <c r="Z82" s="30">
        <v>0</v>
      </c>
      <c r="AA82" s="77">
        <v>0.1671</v>
      </c>
      <c r="AB82" s="5">
        <v>-6.5451999999999996E-5</v>
      </c>
      <c r="AC82" s="15">
        <v>-2.4932000000000001E-7</v>
      </c>
      <c r="AD82" s="146">
        <v>60.076999999999998</v>
      </c>
      <c r="AE82" s="147">
        <v>0.38</v>
      </c>
      <c r="AF82" s="150">
        <v>49.930999999999997</v>
      </c>
      <c r="AG82" s="152">
        <v>1.2222</v>
      </c>
    </row>
    <row r="83" spans="1:33" x14ac:dyDescent="0.2">
      <c r="A83" s="27">
        <v>10</v>
      </c>
      <c r="B83" s="69">
        <v>3.8441401687500001</v>
      </c>
      <c r="C83" s="28">
        <f t="shared" si="5"/>
        <v>0.20910776000463638</v>
      </c>
      <c r="D83" s="31">
        <v>142.285</v>
      </c>
      <c r="E83" s="47">
        <v>606.70000000000005</v>
      </c>
      <c r="F83" s="44">
        <v>21.89</v>
      </c>
      <c r="G83" s="11">
        <v>5.5500000000000005E-4</v>
      </c>
      <c r="H83" s="61">
        <f t="shared" si="6"/>
        <v>256.36936936936934</v>
      </c>
      <c r="I83" s="29">
        <f t="shared" si="7"/>
        <v>0.24085448043317431</v>
      </c>
      <c r="J83" s="52">
        <v>0.42399999999999999</v>
      </c>
      <c r="K83" s="75">
        <v>-5.2007000000000003</v>
      </c>
      <c r="L83" s="81">
        <v>878.13</v>
      </c>
      <c r="M83" s="13">
        <v>1.04E-2</v>
      </c>
      <c r="N83" s="12">
        <v>-1.0634E-5</v>
      </c>
      <c r="O83" s="93">
        <v>0.22639999999999999</v>
      </c>
      <c r="P83" s="94">
        <v>0.24099999999999999</v>
      </c>
      <c r="Q83" s="95">
        <v>0.28570000000000001</v>
      </c>
      <c r="R83" s="111">
        <v>70.56</v>
      </c>
      <c r="S83" s="118">
        <v>-4643.6000000000004</v>
      </c>
      <c r="T83" s="125">
        <v>-23.186</v>
      </c>
      <c r="U83" s="5">
        <v>9.7061000000000005E-3</v>
      </c>
      <c r="V83" s="6">
        <v>-1.4399999999999999E-7</v>
      </c>
      <c r="W83" s="138">
        <v>305.34300000000002</v>
      </c>
      <c r="X83" s="13">
        <v>-0.36659000000000003</v>
      </c>
      <c r="Y83" s="14">
        <v>1.1428E-3</v>
      </c>
      <c r="Z83" s="30">
        <v>0</v>
      </c>
      <c r="AA83" s="77">
        <v>0.1673</v>
      </c>
      <c r="AB83" s="5">
        <v>-6.5309999999999996E-5</v>
      </c>
      <c r="AC83" s="15">
        <v>-2.4508000000000002E-7</v>
      </c>
      <c r="AD83" s="146">
        <v>60.683999999999997</v>
      </c>
      <c r="AE83" s="147">
        <v>0.38</v>
      </c>
      <c r="AF83" s="150">
        <v>50.091000000000001</v>
      </c>
      <c r="AG83" s="152">
        <v>1.2222</v>
      </c>
    </row>
    <row r="84" spans="1:33" x14ac:dyDescent="0.2">
      <c r="A84" s="27">
        <v>10</v>
      </c>
      <c r="B84" s="69">
        <v>3.5376202575</v>
      </c>
      <c r="C84" s="28">
        <f t="shared" si="5"/>
        <v>0.18458469712358275</v>
      </c>
      <c r="D84" s="31">
        <v>142.285</v>
      </c>
      <c r="E84" s="47">
        <v>610.9</v>
      </c>
      <c r="F84" s="44">
        <v>22.29</v>
      </c>
      <c r="G84" s="11">
        <v>5.44E-4</v>
      </c>
      <c r="H84" s="61">
        <f t="shared" si="6"/>
        <v>261.55330882352939</v>
      </c>
      <c r="I84" s="29">
        <f t="shared" si="7"/>
        <v>0.23874199732838364</v>
      </c>
      <c r="J84" s="52">
        <v>0.41499999999999998</v>
      </c>
      <c r="K84" s="75">
        <v>-5.4408000000000003</v>
      </c>
      <c r="L84" s="81">
        <v>915.32</v>
      </c>
      <c r="M84" s="13">
        <v>1.0800000000000001E-2</v>
      </c>
      <c r="N84" s="12">
        <v>-1.0872E-5</v>
      </c>
      <c r="O84" s="93">
        <v>0.2268</v>
      </c>
      <c r="P84" s="94">
        <v>0.23899999999999999</v>
      </c>
      <c r="Q84" s="95">
        <v>0.28570000000000001</v>
      </c>
      <c r="R84" s="111">
        <v>71.069999999999993</v>
      </c>
      <c r="S84" s="118">
        <v>-4640.6000000000004</v>
      </c>
      <c r="T84" s="125">
        <v>-23.462</v>
      </c>
      <c r="U84" s="5">
        <v>1.0298E-2</v>
      </c>
      <c r="V84" s="6">
        <v>-4.7207000000000002E-7</v>
      </c>
      <c r="W84" s="138">
        <v>307.322</v>
      </c>
      <c r="X84" s="13">
        <v>-0.36598999999999998</v>
      </c>
      <c r="Y84" s="14">
        <v>1.1402999999999999E-3</v>
      </c>
      <c r="Z84" s="30">
        <v>0</v>
      </c>
      <c r="AA84" s="77">
        <v>0.1668</v>
      </c>
      <c r="AB84" s="5">
        <v>-6.5642000000000006E-5</v>
      </c>
      <c r="AC84" s="15">
        <v>-2.396E-7</v>
      </c>
      <c r="AD84" s="146">
        <v>60.488</v>
      </c>
      <c r="AE84" s="147">
        <v>0.38</v>
      </c>
      <c r="AF84" s="150">
        <v>50.435000000000002</v>
      </c>
      <c r="AG84" s="152">
        <v>1.2222</v>
      </c>
    </row>
    <row r="85" spans="1:33" x14ac:dyDescent="0.2">
      <c r="A85" s="27">
        <v>10</v>
      </c>
      <c r="B85" s="69">
        <v>6.05380845</v>
      </c>
      <c r="C85" s="28">
        <f t="shared" si="5"/>
        <v>0.38589181943615408</v>
      </c>
      <c r="D85" s="31">
        <v>142.285</v>
      </c>
      <c r="E85" s="47">
        <v>625.70000000000005</v>
      </c>
      <c r="F85" s="44">
        <v>24.22</v>
      </c>
      <c r="G85" s="11">
        <v>5.13E-4</v>
      </c>
      <c r="H85" s="61">
        <f t="shared" si="6"/>
        <v>277.35867446393758</v>
      </c>
      <c r="I85" s="29">
        <f t="shared" si="7"/>
        <v>0.23884454606895122</v>
      </c>
      <c r="J85" s="52">
        <v>0.35799999999999998</v>
      </c>
      <c r="K85" s="75">
        <v>-6.6329000000000002</v>
      </c>
      <c r="L85" s="81">
        <v>1172.7</v>
      </c>
      <c r="M85" s="13">
        <v>1.2500000000000001E-2</v>
      </c>
      <c r="N85" s="12">
        <v>-1.1236999999999999E-5</v>
      </c>
      <c r="O85" s="93">
        <v>0.23119999999999999</v>
      </c>
      <c r="P85" s="94">
        <v>0.23899999999999999</v>
      </c>
      <c r="Q85" s="95">
        <v>0.28570000000000001</v>
      </c>
      <c r="R85" s="111">
        <v>64.646000000000001</v>
      </c>
      <c r="S85" s="118">
        <v>-4341.5</v>
      </c>
      <c r="T85" s="125">
        <v>-21.164999999999999</v>
      </c>
      <c r="U85" s="5">
        <v>9.6097999999999999E-3</v>
      </c>
      <c r="V85" s="6">
        <v>-6.9999999999999997E-7</v>
      </c>
      <c r="W85" s="138">
        <v>308.17700000000002</v>
      </c>
      <c r="X85" s="13">
        <v>-0.34329999999999999</v>
      </c>
      <c r="Y85" s="14">
        <v>1.08E-3</v>
      </c>
      <c r="Z85" s="30">
        <v>0</v>
      </c>
      <c r="AA85" s="77">
        <v>0.16389999999999999</v>
      </c>
      <c r="AB85" s="5">
        <v>-6.7469000000000001E-5</v>
      </c>
      <c r="AC85" s="15">
        <v>-2.1769000000000001E-7</v>
      </c>
      <c r="AD85" s="146">
        <v>58.414000000000001</v>
      </c>
      <c r="AE85" s="147">
        <v>0.38</v>
      </c>
      <c r="AF85" s="150">
        <v>51.109000000000002</v>
      </c>
      <c r="AG85" s="152">
        <v>1.2222</v>
      </c>
    </row>
    <row r="86" spans="1:33" x14ac:dyDescent="0.2">
      <c r="A86" s="27">
        <v>10</v>
      </c>
      <c r="B86" s="69">
        <v>5.6405692199999997</v>
      </c>
      <c r="C86" s="28">
        <f t="shared" si="5"/>
        <v>0.35283069926003957</v>
      </c>
      <c r="D86" s="31">
        <v>142.285</v>
      </c>
      <c r="E86" s="47">
        <v>624.5</v>
      </c>
      <c r="F86" s="44">
        <v>24.22</v>
      </c>
      <c r="G86" s="11">
        <v>5.1099999999999995E-4</v>
      </c>
      <c r="H86" s="61">
        <f t="shared" si="6"/>
        <v>278.44422700587086</v>
      </c>
      <c r="I86" s="29">
        <f t="shared" si="7"/>
        <v>0.23837053766178681</v>
      </c>
      <c r="J86" s="52">
        <v>0.35899999999999999</v>
      </c>
      <c r="K86" s="75">
        <v>-6.6517999999999997</v>
      </c>
      <c r="L86" s="81">
        <v>1173.0999999999999</v>
      </c>
      <c r="M86" s="13">
        <v>1.2500000000000001E-2</v>
      </c>
      <c r="N86" s="12">
        <v>-1.1316E-5</v>
      </c>
      <c r="O86" s="93">
        <v>0.23050000000000001</v>
      </c>
      <c r="P86" s="94">
        <v>0.23799999999999999</v>
      </c>
      <c r="Q86" s="95">
        <v>0.28570000000000001</v>
      </c>
      <c r="R86" s="111">
        <v>66.286000000000001</v>
      </c>
      <c r="S86" s="118">
        <v>-4371.2</v>
      </c>
      <c r="T86" s="125">
        <v>-21.859000000000002</v>
      </c>
      <c r="U86" s="5">
        <v>1.0342E-2</v>
      </c>
      <c r="V86" s="6">
        <v>-9.6622999999999994E-7</v>
      </c>
      <c r="W86" s="138">
        <v>307.29599999999999</v>
      </c>
      <c r="X86" s="13">
        <v>-0.34560999999999997</v>
      </c>
      <c r="Y86" s="14">
        <v>1.0857E-3</v>
      </c>
      <c r="Z86" s="30">
        <v>0</v>
      </c>
      <c r="AA86" s="77">
        <v>0.16389999999999999</v>
      </c>
      <c r="AB86" s="5">
        <v>-6.7510999999999998E-5</v>
      </c>
      <c r="AC86" s="15">
        <v>-2.1861E-7</v>
      </c>
      <c r="AD86" s="146">
        <v>58.222000000000001</v>
      </c>
      <c r="AE86" s="147">
        <v>0.38</v>
      </c>
      <c r="AF86" s="150">
        <v>51.063000000000002</v>
      </c>
      <c r="AG86" s="152">
        <v>1.2222</v>
      </c>
    </row>
    <row r="87" spans="1:33" x14ac:dyDescent="0.2">
      <c r="A87" s="27">
        <v>10</v>
      </c>
      <c r="B87" s="69">
        <v>2.8516956324999998</v>
      </c>
      <c r="C87" s="28">
        <f t="shared" si="5"/>
        <v>0.12970743762699216</v>
      </c>
      <c r="D87" s="31">
        <v>142.285</v>
      </c>
      <c r="E87" s="47">
        <v>614.29999999999995</v>
      </c>
      <c r="F87" s="44">
        <v>22.8</v>
      </c>
      <c r="G87" s="11">
        <v>5.2999999999999998E-4</v>
      </c>
      <c r="H87" s="61">
        <f t="shared" si="6"/>
        <v>268.46226415094338</v>
      </c>
      <c r="I87" s="29">
        <f t="shared" si="7"/>
        <v>0.23660296413154672</v>
      </c>
      <c r="J87" s="52">
        <v>0.41</v>
      </c>
      <c r="K87" s="75">
        <v>-5.8025000000000002</v>
      </c>
      <c r="L87" s="81">
        <v>966.81</v>
      </c>
      <c r="M87" s="13">
        <v>1.1599999999999999E-2</v>
      </c>
      <c r="N87" s="12">
        <v>-1.1378E-5</v>
      </c>
      <c r="O87" s="93">
        <v>0.22689999999999999</v>
      </c>
      <c r="P87" s="94">
        <v>0.23699999999999999</v>
      </c>
      <c r="Q87" s="95">
        <v>0.28570000000000001</v>
      </c>
      <c r="R87" s="111">
        <v>83.593000000000004</v>
      </c>
      <c r="S87" s="118">
        <v>-4939.8</v>
      </c>
      <c r="T87" s="125">
        <v>-28.698</v>
      </c>
      <c r="U87" s="5">
        <v>1.5712E-2</v>
      </c>
      <c r="V87" s="6">
        <v>-2.5127999999999999E-6</v>
      </c>
      <c r="W87" s="138">
        <v>308.65800000000002</v>
      </c>
      <c r="X87" s="13">
        <v>-0.36575999999999997</v>
      </c>
      <c r="Y87" s="14">
        <v>1.1387999999999999E-3</v>
      </c>
      <c r="Z87" s="30">
        <v>0</v>
      </c>
      <c r="AA87" s="77">
        <v>0.1663</v>
      </c>
      <c r="AB87" s="5">
        <v>-6.5947999999999999E-5</v>
      </c>
      <c r="AC87" s="15">
        <v>-2.3502E-7</v>
      </c>
      <c r="AD87" s="146">
        <v>60.170999999999999</v>
      </c>
      <c r="AE87" s="147">
        <v>0.38</v>
      </c>
      <c r="AF87" s="150">
        <v>51.034999999999997</v>
      </c>
      <c r="AG87" s="152">
        <v>1.2222</v>
      </c>
    </row>
    <row r="88" spans="1:33" x14ac:dyDescent="0.2">
      <c r="A88" s="27">
        <v>10</v>
      </c>
      <c r="B88" s="69">
        <v>4.2052842000000004</v>
      </c>
      <c r="C88" s="28">
        <f t="shared" si="5"/>
        <v>0.23800101444720881</v>
      </c>
      <c r="D88" s="31">
        <v>142.285</v>
      </c>
      <c r="E88" s="47">
        <v>620</v>
      </c>
      <c r="F88" s="44">
        <v>23.1</v>
      </c>
      <c r="G88" s="11">
        <v>5.3200000000000003E-4</v>
      </c>
      <c r="H88" s="61">
        <f t="shared" si="6"/>
        <v>267.45300751879694</v>
      </c>
      <c r="I88" s="29">
        <f t="shared" si="7"/>
        <v>0.23840859180395294</v>
      </c>
      <c r="J88" s="52">
        <v>0.38900000000000001</v>
      </c>
      <c r="K88" s="75">
        <v>-5.7398999999999996</v>
      </c>
      <c r="L88" s="81">
        <v>966.22</v>
      </c>
      <c r="M88" s="13">
        <v>1.1299999999999999E-2</v>
      </c>
      <c r="N88" s="12">
        <v>-1.0971E-5</v>
      </c>
      <c r="O88" s="93">
        <v>0.22689999999999999</v>
      </c>
      <c r="P88" s="94">
        <v>0.23799999999999999</v>
      </c>
      <c r="Q88" s="95">
        <v>0.28570000000000001</v>
      </c>
      <c r="R88" s="111">
        <v>67.260000000000005</v>
      </c>
      <c r="S88" s="118">
        <v>-4489.2</v>
      </c>
      <c r="T88" s="125">
        <v>-22.061</v>
      </c>
      <c r="U88" s="5">
        <v>9.7119000000000007E-3</v>
      </c>
      <c r="V88" s="6">
        <v>-5.1832999999999996E-7</v>
      </c>
      <c r="W88" s="138">
        <v>252.84299999999999</v>
      </c>
      <c r="X88" s="13">
        <v>-0.18862999999999999</v>
      </c>
      <c r="Y88" s="14">
        <v>8.6328999999999996E-4</v>
      </c>
      <c r="Z88" s="30">
        <v>0</v>
      </c>
      <c r="AA88" s="77">
        <v>0.16550000000000001</v>
      </c>
      <c r="AB88" s="5">
        <v>-6.6427000000000006E-5</v>
      </c>
      <c r="AC88" s="15">
        <v>-2.2756999999999999E-7</v>
      </c>
      <c r="AD88" s="146">
        <v>59.664999999999999</v>
      </c>
      <c r="AE88" s="147">
        <v>0.38</v>
      </c>
      <c r="AF88" s="150">
        <v>50.722999999999999</v>
      </c>
      <c r="AG88" s="152">
        <v>1.2222</v>
      </c>
    </row>
    <row r="89" spans="1:33" x14ac:dyDescent="0.2">
      <c r="A89" s="27">
        <v>10</v>
      </c>
      <c r="B89" s="69">
        <v>2.85179591125</v>
      </c>
      <c r="C89" s="28">
        <f t="shared" si="5"/>
        <v>0.12971546040790013</v>
      </c>
      <c r="D89" s="31">
        <v>142.285</v>
      </c>
      <c r="E89" s="47">
        <v>615.5</v>
      </c>
      <c r="F89" s="44">
        <v>22.8</v>
      </c>
      <c r="G89" s="11">
        <v>5.3300000000000005E-4</v>
      </c>
      <c r="H89" s="61">
        <f t="shared" si="6"/>
        <v>266.95121951219511</v>
      </c>
      <c r="I89" s="29">
        <f t="shared" si="7"/>
        <v>0.23747832583291043</v>
      </c>
      <c r="J89" s="52">
        <v>0.40899999999999997</v>
      </c>
      <c r="K89" s="75">
        <v>-5.7816000000000001</v>
      </c>
      <c r="L89" s="81">
        <v>966.23</v>
      </c>
      <c r="M89" s="13">
        <v>1.1599999999999999E-2</v>
      </c>
      <c r="N89" s="12">
        <v>-1.1289E-5</v>
      </c>
      <c r="O89" s="93">
        <v>0.2268</v>
      </c>
      <c r="P89" s="94">
        <v>0.23699999999999999</v>
      </c>
      <c r="Q89" s="95">
        <v>0.28570000000000001</v>
      </c>
      <c r="R89" s="111">
        <v>80.994</v>
      </c>
      <c r="S89" s="118">
        <v>-4885.8999999999996</v>
      </c>
      <c r="T89" s="125">
        <v>-27.606999999999999</v>
      </c>
      <c r="U89" s="5">
        <v>1.4585000000000001E-2</v>
      </c>
      <c r="V89" s="6">
        <v>-2.1028E-6</v>
      </c>
      <c r="W89" s="138">
        <v>309.66199999999998</v>
      </c>
      <c r="X89" s="13">
        <v>-0.36519000000000001</v>
      </c>
      <c r="Y89" s="14">
        <v>1.1374E-3</v>
      </c>
      <c r="Z89" s="30">
        <v>0</v>
      </c>
      <c r="AA89" s="77">
        <v>0.1663</v>
      </c>
      <c r="AB89" s="5">
        <v>-6.5920999999999994E-5</v>
      </c>
      <c r="AC89" s="15">
        <v>-2.34E-7</v>
      </c>
      <c r="AD89" s="146">
        <v>60.298999999999999</v>
      </c>
      <c r="AE89" s="147">
        <v>0.38</v>
      </c>
      <c r="AF89" s="150">
        <v>51.055999999999997</v>
      </c>
      <c r="AG89" s="152">
        <v>1.2222</v>
      </c>
    </row>
    <row r="90" spans="1:33" x14ac:dyDescent="0.2">
      <c r="A90" s="27">
        <v>10</v>
      </c>
      <c r="B90" s="69">
        <v>4.2031469000000001</v>
      </c>
      <c r="C90" s="28">
        <f t="shared" si="5"/>
        <v>0.23783002019733465</v>
      </c>
      <c r="D90" s="31">
        <v>142.285</v>
      </c>
      <c r="E90" s="47">
        <v>615.70000000000005</v>
      </c>
      <c r="F90" s="44">
        <v>23.1</v>
      </c>
      <c r="G90" s="11">
        <v>5.2499999999999997E-4</v>
      </c>
      <c r="H90" s="61">
        <f t="shared" si="6"/>
        <v>271.01904761904763</v>
      </c>
      <c r="I90" s="29">
        <f t="shared" si="7"/>
        <v>0.23691475511150784</v>
      </c>
      <c r="J90" s="52">
        <v>0.39</v>
      </c>
      <c r="K90" s="75">
        <v>-5.7747999999999999</v>
      </c>
      <c r="L90" s="81">
        <v>963.14</v>
      </c>
      <c r="M90" s="13">
        <v>1.15E-2</v>
      </c>
      <c r="N90" s="12">
        <v>-1.1204E-5</v>
      </c>
      <c r="O90" s="93">
        <v>0.22689999999999999</v>
      </c>
      <c r="P90" s="94">
        <v>0.23699999999999999</v>
      </c>
      <c r="Q90" s="95">
        <v>0.28570000000000001</v>
      </c>
      <c r="R90" s="111">
        <v>68.549000000000007</v>
      </c>
      <c r="S90" s="118">
        <v>-4490.2</v>
      </c>
      <c r="T90" s="125">
        <v>-22.63</v>
      </c>
      <c r="U90" s="5">
        <v>1.0382000000000001E-2</v>
      </c>
      <c r="V90" s="6">
        <v>-7.5400999999999996E-7</v>
      </c>
      <c r="W90" s="138">
        <v>306.529</v>
      </c>
      <c r="X90" s="13">
        <v>-0.36037999999999998</v>
      </c>
      <c r="Y90" s="14">
        <v>1.1244E-3</v>
      </c>
      <c r="Z90" s="30">
        <v>0</v>
      </c>
      <c r="AA90" s="77">
        <v>0.16539999999999999</v>
      </c>
      <c r="AB90" s="5">
        <v>-6.6579000000000001E-5</v>
      </c>
      <c r="AC90" s="15">
        <v>-2.3096E-7</v>
      </c>
      <c r="AD90" s="146">
        <v>59.337000000000003</v>
      </c>
      <c r="AE90" s="147">
        <v>0.38</v>
      </c>
      <c r="AF90" s="150">
        <v>50.61</v>
      </c>
      <c r="AG90" s="152">
        <v>1.2222</v>
      </c>
    </row>
    <row r="91" spans="1:33" x14ac:dyDescent="0.2">
      <c r="A91" s="27">
        <v>10</v>
      </c>
      <c r="B91" s="69">
        <v>3.1559346387499998</v>
      </c>
      <c r="C91" s="28">
        <f t="shared" si="5"/>
        <v>0.15404801716948355</v>
      </c>
      <c r="D91" s="31">
        <v>142.285</v>
      </c>
      <c r="E91" s="47">
        <v>606.6</v>
      </c>
      <c r="F91" s="44">
        <v>22.29</v>
      </c>
      <c r="G91" s="11">
        <v>5.4100000000000003E-4</v>
      </c>
      <c r="H91" s="61">
        <f t="shared" si="6"/>
        <v>263.00369685767095</v>
      </c>
      <c r="I91" s="29">
        <f t="shared" si="7"/>
        <v>0.23910844078142601</v>
      </c>
      <c r="J91" s="52">
        <v>0.41599999999999998</v>
      </c>
      <c r="K91" s="75">
        <v>-5.4492000000000003</v>
      </c>
      <c r="L91" s="81">
        <v>908.61</v>
      </c>
      <c r="M91" s="13">
        <v>1.0999999999999999E-2</v>
      </c>
      <c r="N91" s="12">
        <v>-1.1066E-5</v>
      </c>
      <c r="O91" s="93">
        <v>0.22639999999999999</v>
      </c>
      <c r="P91" s="94">
        <v>0.23899999999999999</v>
      </c>
      <c r="Q91" s="95">
        <v>0.28570000000000001</v>
      </c>
      <c r="R91" s="111">
        <v>50.734999999999999</v>
      </c>
      <c r="S91" s="118">
        <v>-4109</v>
      </c>
      <c r="T91" s="125">
        <v>-15.061999999999999</v>
      </c>
      <c r="U91" s="5">
        <v>2.0425E-3</v>
      </c>
      <c r="V91" s="6">
        <v>2.5513E-6</v>
      </c>
      <c r="W91" s="138">
        <v>303.59399999999999</v>
      </c>
      <c r="X91" s="13">
        <v>-0.36791000000000001</v>
      </c>
      <c r="Y91" s="14">
        <v>1.145E-3</v>
      </c>
      <c r="Z91" s="30">
        <v>0</v>
      </c>
      <c r="AA91" s="77">
        <v>0.16669999999999999</v>
      </c>
      <c r="AB91" s="5">
        <v>-6.5759000000000005E-5</v>
      </c>
      <c r="AC91" s="15">
        <v>-2.4326999999999998E-7</v>
      </c>
      <c r="AD91" s="146">
        <v>60.427999999999997</v>
      </c>
      <c r="AE91" s="147">
        <v>0.38</v>
      </c>
      <c r="AF91" s="150">
        <v>50.307000000000002</v>
      </c>
      <c r="AG91" s="152">
        <v>1.2222</v>
      </c>
    </row>
    <row r="92" spans="1:33" x14ac:dyDescent="0.2">
      <c r="A92" s="27">
        <v>10</v>
      </c>
      <c r="B92" s="69">
        <v>1.23049313625</v>
      </c>
      <c r="C92" s="28">
        <f t="shared" ref="C92:C123" si="8">(B92-MIN($B$60:$B$133))/(MAX($B$60:$B$133)-MIN($B$60:$B$133))</f>
        <v>3.4631075883608199E-6</v>
      </c>
      <c r="D92" s="31">
        <v>142.285</v>
      </c>
      <c r="E92" s="47">
        <v>609.6</v>
      </c>
      <c r="F92" s="44">
        <v>21.78</v>
      </c>
      <c r="G92" s="11">
        <v>5.5199999999999997E-4</v>
      </c>
      <c r="H92" s="61">
        <f t="shared" si="6"/>
        <v>257.76268115942031</v>
      </c>
      <c r="I92" s="29">
        <f t="shared" si="7"/>
        <v>0.23721490550991686</v>
      </c>
      <c r="J92" s="52">
        <v>0.443</v>
      </c>
      <c r="K92" s="75">
        <v>-5.3761999999999999</v>
      </c>
      <c r="L92" s="81">
        <v>908.11</v>
      </c>
      <c r="M92" s="13">
        <v>1.0699999999999999E-2</v>
      </c>
      <c r="N92" s="12">
        <v>-1.0905E-5</v>
      </c>
      <c r="O92" s="93">
        <v>0.22370000000000001</v>
      </c>
      <c r="P92" s="94">
        <v>0.23699999999999999</v>
      </c>
      <c r="Q92" s="95">
        <v>0.28570000000000001</v>
      </c>
      <c r="R92" s="111">
        <v>87.272999999999996</v>
      </c>
      <c r="S92" s="118">
        <v>-5136.8999999999996</v>
      </c>
      <c r="T92" s="125">
        <v>-29.989000000000001</v>
      </c>
      <c r="U92" s="5">
        <v>1.6015999999999999E-2</v>
      </c>
      <c r="V92" s="6">
        <v>-2.3588000000000002E-6</v>
      </c>
      <c r="W92" s="138">
        <v>298.363</v>
      </c>
      <c r="X92" s="13">
        <v>-0.25313999999999998</v>
      </c>
      <c r="Y92" s="14">
        <v>1.0269999999999999E-3</v>
      </c>
      <c r="Z92" s="30">
        <v>0</v>
      </c>
      <c r="AA92" s="77">
        <v>0.17100000000000001</v>
      </c>
      <c r="AB92" s="5">
        <v>-7.6953999999999995E-5</v>
      </c>
      <c r="AC92" s="15">
        <v>-2.325E-7</v>
      </c>
      <c r="AD92" s="146">
        <v>62.817999999999998</v>
      </c>
      <c r="AE92" s="147">
        <v>0.38</v>
      </c>
      <c r="AF92" s="150">
        <v>50.787999999999997</v>
      </c>
      <c r="AG92" s="152">
        <v>1.2222</v>
      </c>
    </row>
    <row r="93" spans="1:33" x14ac:dyDescent="0.2">
      <c r="A93" s="27">
        <v>10</v>
      </c>
      <c r="B93" s="69">
        <v>1.2315515275</v>
      </c>
      <c r="C93" s="28">
        <f t="shared" si="8"/>
        <v>8.8139483327413036E-5</v>
      </c>
      <c r="D93" s="31">
        <v>142.285</v>
      </c>
      <c r="E93" s="47">
        <v>613.6</v>
      </c>
      <c r="F93" s="44">
        <v>21.89</v>
      </c>
      <c r="G93" s="11">
        <v>5.6099999999999998E-4</v>
      </c>
      <c r="H93" s="61">
        <f t="shared" si="6"/>
        <v>253.62745098039213</v>
      </c>
      <c r="I93" s="29">
        <f t="shared" si="7"/>
        <v>0.24072059694789175</v>
      </c>
      <c r="J93" s="52">
        <v>0.44600000000000001</v>
      </c>
      <c r="K93" s="75">
        <v>-5.5312000000000001</v>
      </c>
      <c r="L93" s="81">
        <v>935.48</v>
      </c>
      <c r="M93" s="13">
        <v>1.0999999999999999E-2</v>
      </c>
      <c r="N93" s="12">
        <v>-1.1038E-5</v>
      </c>
      <c r="O93" s="93">
        <v>0.22689999999999999</v>
      </c>
      <c r="P93" s="94">
        <v>0.24099999999999999</v>
      </c>
      <c r="Q93" s="95">
        <v>0.28570000000000001</v>
      </c>
      <c r="R93" s="111">
        <v>81.394000000000005</v>
      </c>
      <c r="S93" s="118">
        <v>-5035.5</v>
      </c>
      <c r="T93" s="125">
        <v>-27.491</v>
      </c>
      <c r="U93" s="5">
        <v>1.3341E-2</v>
      </c>
      <c r="V93" s="6">
        <v>-1.3741999999999999E-6</v>
      </c>
      <c r="W93" s="138">
        <v>297.286</v>
      </c>
      <c r="X93" s="13">
        <v>-0.27567999999999998</v>
      </c>
      <c r="Y93" s="14">
        <v>1.0261999999999999E-3</v>
      </c>
      <c r="Z93" s="30">
        <v>0</v>
      </c>
      <c r="AA93" s="77">
        <v>0.1711</v>
      </c>
      <c r="AB93" s="5">
        <v>-7.6647E-5</v>
      </c>
      <c r="AC93" s="15">
        <v>-2.2942E-7</v>
      </c>
      <c r="AD93" s="146">
        <v>63.360999999999997</v>
      </c>
      <c r="AE93" s="147">
        <v>0.38</v>
      </c>
      <c r="AF93" s="150">
        <v>51.17</v>
      </c>
      <c r="AG93" s="152">
        <v>1.2222</v>
      </c>
    </row>
    <row r="94" spans="1:33" x14ac:dyDescent="0.2">
      <c r="A94" s="27">
        <v>10</v>
      </c>
      <c r="B94" s="69">
        <v>5.8493388424999999</v>
      </c>
      <c r="C94" s="28">
        <f t="shared" si="8"/>
        <v>0.36953327025891242</v>
      </c>
      <c r="D94" s="31">
        <v>142.285</v>
      </c>
      <c r="E94" s="47">
        <v>623.4</v>
      </c>
      <c r="F94" s="44">
        <v>22.9</v>
      </c>
      <c r="G94" s="11">
        <v>5.2899999999999996E-4</v>
      </c>
      <c r="H94" s="61">
        <f t="shared" si="6"/>
        <v>268.96975425330811</v>
      </c>
      <c r="I94" s="29">
        <f t="shared" si="7"/>
        <v>0.23372993390865077</v>
      </c>
      <c r="J94" s="52">
        <v>0.39100000000000001</v>
      </c>
      <c r="K94" s="75">
        <v>-5.6102999999999996</v>
      </c>
      <c r="L94" s="81">
        <v>955.84</v>
      </c>
      <c r="M94" s="13">
        <v>1.0999999999999999E-2</v>
      </c>
      <c r="N94" s="12">
        <v>-1.062E-5</v>
      </c>
      <c r="O94" s="93">
        <v>0.22259999999999999</v>
      </c>
      <c r="P94" s="94">
        <v>0.23400000000000001</v>
      </c>
      <c r="Q94" s="95">
        <v>0.28570000000000001</v>
      </c>
      <c r="R94" s="111">
        <v>165.09</v>
      </c>
      <c r="S94" s="118">
        <v>-6976.8</v>
      </c>
      <c r="T94" s="125">
        <v>-62.423000000000002</v>
      </c>
      <c r="U94" s="5">
        <v>4.8743000000000002E-2</v>
      </c>
      <c r="V94" s="6">
        <v>-1.4382000000000001E-5</v>
      </c>
      <c r="W94" s="138">
        <v>314.52499999999998</v>
      </c>
      <c r="X94" s="13">
        <v>-0.36435000000000001</v>
      </c>
      <c r="Y94" s="14">
        <v>1.1341999999999999E-3</v>
      </c>
      <c r="Z94" s="30">
        <v>0</v>
      </c>
      <c r="AA94" s="77">
        <v>0.1658</v>
      </c>
      <c r="AB94" s="5">
        <v>-6.6161999999999994E-5</v>
      </c>
      <c r="AC94" s="15">
        <v>-2.2555999999999999E-7</v>
      </c>
      <c r="AD94" s="146">
        <v>58.262999999999998</v>
      </c>
      <c r="AE94" s="147">
        <v>0.38</v>
      </c>
      <c r="AF94" s="150">
        <v>50.588000000000001</v>
      </c>
      <c r="AG94" s="152">
        <v>1.2222</v>
      </c>
    </row>
    <row r="95" spans="1:33" x14ac:dyDescent="0.2">
      <c r="A95" s="27">
        <v>10</v>
      </c>
      <c r="B95" s="69">
        <v>3.53771058375</v>
      </c>
      <c r="C95" s="28">
        <f t="shared" si="8"/>
        <v>0.18459192365676133</v>
      </c>
      <c r="D95" s="31">
        <v>142.285</v>
      </c>
      <c r="E95" s="47">
        <v>607.6</v>
      </c>
      <c r="F95" s="44">
        <v>22.29</v>
      </c>
      <c r="G95" s="11">
        <v>5.3700000000000004E-4</v>
      </c>
      <c r="H95" s="61">
        <f t="shared" si="6"/>
        <v>264.96275605214146</v>
      </c>
      <c r="I95" s="29">
        <f t="shared" si="7"/>
        <v>0.23694992131580686</v>
      </c>
      <c r="J95" s="52">
        <v>0.41599999999999998</v>
      </c>
      <c r="K95" s="75">
        <v>-5.4530000000000003</v>
      </c>
      <c r="L95" s="81">
        <v>910.91</v>
      </c>
      <c r="M95" s="13">
        <v>1.09E-2</v>
      </c>
      <c r="N95" s="12">
        <v>-1.1032E-5</v>
      </c>
      <c r="O95" s="93">
        <v>0.2243</v>
      </c>
      <c r="P95" s="94">
        <v>0.23699999999999999</v>
      </c>
      <c r="Q95" s="95">
        <v>0.28570000000000001</v>
      </c>
      <c r="R95" s="111">
        <v>80.046999999999997</v>
      </c>
      <c r="S95" s="118">
        <v>-4837.7</v>
      </c>
      <c r="T95" s="125">
        <v>-27.213000000000001</v>
      </c>
      <c r="U95" s="5">
        <v>1.4109999999999999E-2</v>
      </c>
      <c r="V95" s="6">
        <v>-1.854E-6</v>
      </c>
      <c r="W95" s="138">
        <v>304.709</v>
      </c>
      <c r="X95" s="13">
        <v>-0.37117</v>
      </c>
      <c r="Y95" s="14">
        <v>1.1532000000000001E-3</v>
      </c>
      <c r="Z95" s="30">
        <v>0</v>
      </c>
      <c r="AA95" s="77">
        <v>0.16669999999999999</v>
      </c>
      <c r="AB95" s="5">
        <v>-6.5732E-5</v>
      </c>
      <c r="AC95" s="15">
        <v>-2.4241000000000001E-7</v>
      </c>
      <c r="AD95" s="146">
        <v>60.024999999999999</v>
      </c>
      <c r="AE95" s="147">
        <v>0.38</v>
      </c>
      <c r="AF95" s="150">
        <v>50.345999999999997</v>
      </c>
      <c r="AG95" s="152">
        <v>1.2222</v>
      </c>
    </row>
    <row r="96" spans="1:33" x14ac:dyDescent="0.2">
      <c r="A96" s="27">
        <v>10</v>
      </c>
      <c r="B96" s="69">
        <v>1.9198902225000001</v>
      </c>
      <c r="C96" s="28">
        <f t="shared" si="8"/>
        <v>5.515853615710116E-2</v>
      </c>
      <c r="D96" s="31">
        <v>142.285</v>
      </c>
      <c r="E96" s="48">
        <v>613</v>
      </c>
      <c r="F96" s="48">
        <v>21.6</v>
      </c>
      <c r="G96" s="35">
        <v>5.8299999999999997E-4</v>
      </c>
      <c r="H96" s="61">
        <f t="shared" si="6"/>
        <v>244.05660377358492</v>
      </c>
      <c r="I96" s="29">
        <f t="shared" si="7"/>
        <v>0.24708808939185892</v>
      </c>
      <c r="J96" s="55">
        <v>0.46500000000000002</v>
      </c>
      <c r="K96" s="76">
        <v>-4.7527999999999997</v>
      </c>
      <c r="L96" s="82">
        <v>805.4</v>
      </c>
      <c r="M96" s="85">
        <v>9.5999999999999992E-3</v>
      </c>
      <c r="N96" s="4">
        <v>-1.0134E-5</v>
      </c>
      <c r="O96" s="99" t="str" cm="1">
        <f t="array" aca="1" ref="O96" ca="1">LEFT(INDEX($O$60:$O$133, MATCH(MIN(IF(ABS($B$60:$B$133-B96)&lt;&gt;0, ABS($B$60:$B$133-B96))), IF(ABS($B$60:$B$133-B96)&lt;&gt;0, ABS($B$60:$B$133-B96)), 0)),6)</f>
        <v>0.3299</v>
      </c>
      <c r="P96" s="100" t="str" cm="1">
        <f t="array" aca="1" ref="P96" ca="1">LEFT(INDEX($P$60:$P$133, MATCH(MIN(IF(ABS($B$60:$B$133-B96)&lt;&gt;0, ABS($B$60:$B$133-B96))), IF(ABS($B$60:$B$133-B96)&lt;&gt;0, ABS($B$60:$B$133-B96)), 0)),6)</f>
        <v>0.3522</v>
      </c>
      <c r="Q96" s="101" t="str" cm="1">
        <f t="array" aca="1" ref="Q96" ca="1">LEFT(INDEX($Q$60:$Q$133, MATCH(MIN(IF(ABS($B$60:$B$133-B96)&lt;&gt;0, ABS($B$60:$B$133-B96))), IF(ABS($B$60:$B$133-B96)&lt;&gt;0, ABS($B$60:$B$133-B96)), 0)),6)</f>
        <v>0.4125</v>
      </c>
      <c r="R96" s="114">
        <v>64.652000000000001</v>
      </c>
      <c r="S96" s="120">
        <v>-4564.3999999999996</v>
      </c>
      <c r="T96" s="127">
        <v>-20.802</v>
      </c>
      <c r="U96" s="65">
        <v>8.1381999999999999E-3</v>
      </c>
      <c r="V96" s="32">
        <v>-3.4024999999999999E-14</v>
      </c>
      <c r="W96" s="139">
        <v>163.72800000000001</v>
      </c>
      <c r="X96" s="7">
        <v>1.0267999999999999</v>
      </c>
      <c r="Y96" s="8">
        <v>-2.8681000000000002E-3</v>
      </c>
      <c r="Z96" s="33">
        <v>3.6165E-6</v>
      </c>
      <c r="AA96" s="141">
        <v>0.1716</v>
      </c>
      <c r="AB96" s="9">
        <v>-7.5296000000000006E-5</v>
      </c>
      <c r="AC96" s="10">
        <v>-2.3305000000000001E-7</v>
      </c>
      <c r="AD96" s="146">
        <v>66.225999999999999</v>
      </c>
      <c r="AE96" s="147">
        <v>0.435</v>
      </c>
      <c r="AF96" s="150">
        <v>52.155000000000001</v>
      </c>
      <c r="AG96" s="152">
        <v>1.214</v>
      </c>
    </row>
    <row r="97" spans="1:33" x14ac:dyDescent="0.2">
      <c r="A97" s="27">
        <v>10</v>
      </c>
      <c r="B97" s="69">
        <v>2.6078256</v>
      </c>
      <c r="C97" s="28">
        <f t="shared" si="8"/>
        <v>0.11019666549668052</v>
      </c>
      <c r="D97" s="31">
        <v>142.285</v>
      </c>
      <c r="E97" s="44">
        <v>610</v>
      </c>
      <c r="F97" s="44">
        <v>21.2</v>
      </c>
      <c r="G97" s="11">
        <v>5.8299999999999997E-4</v>
      </c>
      <c r="H97" s="61">
        <f t="shared" si="6"/>
        <v>244.05660377358492</v>
      </c>
      <c r="I97" s="29">
        <f t="shared" si="7"/>
        <v>0.24370506788864915</v>
      </c>
      <c r="J97" s="52">
        <v>0.47199999999999998</v>
      </c>
      <c r="K97" s="75">
        <v>-6.6482999999999999</v>
      </c>
      <c r="L97" s="81">
        <v>1076.5</v>
      </c>
      <c r="M97" s="13">
        <v>1.37E-2</v>
      </c>
      <c r="N97" s="12">
        <v>-1.2961E-5</v>
      </c>
      <c r="O97" s="102">
        <v>0.32300000000000001</v>
      </c>
      <c r="P97" s="103">
        <v>0.34660000000000002</v>
      </c>
      <c r="Q97" s="104">
        <v>0.40720000000000001</v>
      </c>
      <c r="R97" s="111">
        <v>56.813000000000002</v>
      </c>
      <c r="S97" s="118">
        <v>-4602.2</v>
      </c>
      <c r="T97" s="125">
        <v>-16.768999999999998</v>
      </c>
      <c r="U97" s="66">
        <v>-1.5533E-10</v>
      </c>
      <c r="V97" s="6">
        <v>4.4071999999999999E-6</v>
      </c>
      <c r="W97" s="138">
        <v>148.34200000000001</v>
      </c>
      <c r="X97" s="13">
        <v>1.1724000000000001</v>
      </c>
      <c r="Y97" s="14">
        <v>-3.2618999999999999E-3</v>
      </c>
      <c r="Z97" s="30">
        <v>4.0292999999999997E-6</v>
      </c>
      <c r="AA97" s="77">
        <v>0.17119999999999999</v>
      </c>
      <c r="AB97" s="5">
        <v>-7.1512000000000002E-5</v>
      </c>
      <c r="AC97" s="15">
        <v>-2.4088999999999998E-7</v>
      </c>
      <c r="AD97" s="146">
        <v>65.665999999999997</v>
      </c>
      <c r="AE97" s="147">
        <v>0.42499999999999999</v>
      </c>
      <c r="AF97" s="150">
        <v>51.634</v>
      </c>
      <c r="AG97" s="152">
        <v>1.244</v>
      </c>
    </row>
    <row r="98" spans="1:33" x14ac:dyDescent="0.2">
      <c r="A98" s="27">
        <v>10</v>
      </c>
      <c r="B98" s="69">
        <v>1.9186194224999999</v>
      </c>
      <c r="C98" s="28">
        <f t="shared" si="8"/>
        <v>5.5056866062711013E-2</v>
      </c>
      <c r="D98" s="31">
        <v>142.285</v>
      </c>
      <c r="E98" s="44">
        <v>610</v>
      </c>
      <c r="F98" s="44">
        <v>21.6</v>
      </c>
      <c r="G98" s="11">
        <v>5.8299999999999997E-4</v>
      </c>
      <c r="H98" s="61">
        <f t="shared" si="6"/>
        <v>244.05660377358492</v>
      </c>
      <c r="I98" s="29">
        <f t="shared" si="7"/>
        <v>0.24830327671673688</v>
      </c>
      <c r="J98" s="52">
        <v>0.46500000000000002</v>
      </c>
      <c r="K98" s="75">
        <v>-4.7950999999999997</v>
      </c>
      <c r="L98" s="81">
        <v>796.52</v>
      </c>
      <c r="M98" s="13">
        <v>9.7999999999999997E-3</v>
      </c>
      <c r="N98" s="12">
        <v>-1.0436E-5</v>
      </c>
      <c r="O98" s="102">
        <v>0.32990000000000003</v>
      </c>
      <c r="P98" s="103">
        <v>0.35220000000000001</v>
      </c>
      <c r="Q98" s="104">
        <v>0.41249999999999998</v>
      </c>
      <c r="R98" s="111">
        <v>12.449</v>
      </c>
      <c r="S98" s="118">
        <v>-3091.8</v>
      </c>
      <c r="T98" s="125">
        <v>0.42099999999999999</v>
      </c>
      <c r="U98" s="66">
        <v>-1.1259E-2</v>
      </c>
      <c r="V98" s="6">
        <v>6.7772000000000001E-6</v>
      </c>
      <c r="W98" s="138">
        <v>170.15799999999999</v>
      </c>
      <c r="X98" s="13">
        <v>0.98007</v>
      </c>
      <c r="Y98" s="14">
        <v>-2.7634999999999999E-3</v>
      </c>
      <c r="Z98" s="30">
        <v>3.6333E-6</v>
      </c>
      <c r="AA98" s="77">
        <v>0.17269999999999999</v>
      </c>
      <c r="AB98" s="5">
        <v>-8.0258000000000003E-5</v>
      </c>
      <c r="AC98" s="15">
        <v>-2.3059999999999999E-7</v>
      </c>
      <c r="AD98" s="146">
        <v>62.015999999999998</v>
      </c>
      <c r="AE98" s="147">
        <v>0.375</v>
      </c>
      <c r="AF98" s="150">
        <v>54.353000000000002</v>
      </c>
      <c r="AG98" s="152">
        <v>1.2726</v>
      </c>
    </row>
    <row r="99" spans="1:33" x14ac:dyDescent="0.2">
      <c r="A99" s="27">
        <v>10</v>
      </c>
      <c r="B99" s="69">
        <v>1.9198160925000001</v>
      </c>
      <c r="C99" s="28">
        <f t="shared" si="8"/>
        <v>5.5152605401595063E-2</v>
      </c>
      <c r="D99" s="31">
        <v>142.285</v>
      </c>
      <c r="E99" s="48">
        <v>610</v>
      </c>
      <c r="F99" s="48">
        <v>21.6</v>
      </c>
      <c r="G99" s="35">
        <v>5.8299999999999997E-4</v>
      </c>
      <c r="H99" s="61">
        <f t="shared" si="6"/>
        <v>244.05660377358492</v>
      </c>
      <c r="I99" s="29">
        <f t="shared" si="7"/>
        <v>0.24830327671673688</v>
      </c>
      <c r="J99" s="55">
        <v>0.45600000000000002</v>
      </c>
      <c r="K99" s="76">
        <v>-4.5434000000000001</v>
      </c>
      <c r="L99" s="82">
        <v>785.04</v>
      </c>
      <c r="M99" s="85">
        <v>8.9999999999999993E-3</v>
      </c>
      <c r="N99" s="4">
        <v>-9.6878000000000007E-6</v>
      </c>
      <c r="O99" s="99" t="str" cm="1">
        <f t="array" aca="1" ref="O99" ca="1">LEFT(INDEX($O$60:$O$133, MATCH(MIN(IF(ABS($B$60:$B$133-B99)&lt;&gt;0, ABS($B$60:$B$133-B99))), IF(ABS($B$60:$B$133-B99)&lt;&gt;0, ABS($B$60:$B$133-B99)), 0)),6)</f>
        <v>0.3299</v>
      </c>
      <c r="P99" s="100" t="str" cm="1">
        <f t="array" aca="1" ref="P99" ca="1">LEFT(INDEX($P$60:$P$133, MATCH(MIN(IF(ABS($B$60:$B$133-B99)&lt;&gt;0, ABS($B$60:$B$133-B99))), IF(ABS($B$60:$B$133-B99)&lt;&gt;0, ABS($B$60:$B$133-B99)), 0)),6)</f>
        <v>0.3522</v>
      </c>
      <c r="Q99" s="101" t="str" cm="1">
        <f t="array" aca="1" ref="Q99" ca="1">LEFT(INDEX($Q$60:$Q$133, MATCH(MIN(IF(ABS($B$60:$B$133-B99)&lt;&gt;0, ABS($B$60:$B$133-B99))), IF(ABS($B$60:$B$133-B99)&lt;&gt;0, ABS($B$60:$B$133-B99)), 0)),6)</f>
        <v>0.4125</v>
      </c>
      <c r="R99" s="114">
        <v>3.7845</v>
      </c>
      <c r="S99" s="120">
        <v>-3221.7</v>
      </c>
      <c r="T99" s="127">
        <v>5.2149000000000001</v>
      </c>
      <c r="U99" s="65">
        <v>-2.2499999999999999E-2</v>
      </c>
      <c r="V99" s="32">
        <v>1.3173000000000001E-5</v>
      </c>
      <c r="W99" s="139">
        <v>163.221</v>
      </c>
      <c r="X99" s="7">
        <v>1.042</v>
      </c>
      <c r="Y99" s="8">
        <v>-2.9260000000000002E-3</v>
      </c>
      <c r="Z99" s="33">
        <v>3.7311000000000002E-6</v>
      </c>
      <c r="AA99" s="141">
        <v>0.1716</v>
      </c>
      <c r="AB99" s="9">
        <v>-7.6642000000000002E-5</v>
      </c>
      <c r="AC99" s="10">
        <v>-2.3372999999999999E-7</v>
      </c>
      <c r="AD99" s="146">
        <v>65.682000000000002</v>
      </c>
      <c r="AE99" s="147">
        <v>0.432</v>
      </c>
      <c r="AF99" s="150">
        <v>52.893000000000001</v>
      </c>
      <c r="AG99" s="152">
        <v>1.2324999999999999</v>
      </c>
    </row>
    <row r="100" spans="1:33" x14ac:dyDescent="0.2">
      <c r="A100" s="27">
        <v>10</v>
      </c>
      <c r="B100" s="69">
        <v>13.729700565</v>
      </c>
      <c r="C100" s="28">
        <f t="shared" si="8"/>
        <v>1</v>
      </c>
      <c r="D100" s="31">
        <v>142.285</v>
      </c>
      <c r="E100" s="47">
        <v>627.29999999999995</v>
      </c>
      <c r="F100" s="44">
        <v>24.01</v>
      </c>
      <c r="G100" s="11">
        <v>5.2099999999999998E-4</v>
      </c>
      <c r="H100" s="61">
        <f t="shared" si="6"/>
        <v>273.09980806142033</v>
      </c>
      <c r="I100" s="29">
        <f t="shared" si="7"/>
        <v>0.23985268012127686</v>
      </c>
      <c r="J100" s="52">
        <v>0.308</v>
      </c>
      <c r="K100" s="75">
        <v>-5.8639000000000001</v>
      </c>
      <c r="L100" s="81">
        <v>1069.7</v>
      </c>
      <c r="M100" s="13">
        <v>1.0500000000000001E-2</v>
      </c>
      <c r="N100" s="12">
        <v>-9.6471999999999997E-6</v>
      </c>
      <c r="O100" s="93">
        <v>0.23300000000000001</v>
      </c>
      <c r="P100" s="94">
        <v>0.24</v>
      </c>
      <c r="Q100" s="95">
        <v>0.28570000000000001</v>
      </c>
      <c r="R100" s="111">
        <v>96.01</v>
      </c>
      <c r="S100" s="118">
        <v>-4963.7</v>
      </c>
      <c r="T100" s="125">
        <v>-34.432000000000002</v>
      </c>
      <c r="U100" s="66">
        <v>2.3654999999999999E-2</v>
      </c>
      <c r="V100" s="6">
        <v>-5.9877000000000003E-6</v>
      </c>
      <c r="W100" s="138">
        <v>311.55099999999999</v>
      </c>
      <c r="X100" s="13">
        <v>-0.37508999999999998</v>
      </c>
      <c r="Y100" s="14">
        <v>1.1011E-3</v>
      </c>
      <c r="Z100" s="30">
        <v>0</v>
      </c>
      <c r="AA100" s="77">
        <v>0.161</v>
      </c>
      <c r="AB100" s="5">
        <v>-6.3445E-5</v>
      </c>
      <c r="AC100" s="15">
        <v>-2.1659000000000001E-7</v>
      </c>
      <c r="AD100" s="146">
        <v>55.067</v>
      </c>
      <c r="AE100" s="147">
        <v>0.38</v>
      </c>
      <c r="AF100" s="150">
        <v>48.500999999999998</v>
      </c>
      <c r="AG100" s="152">
        <v>1.2222</v>
      </c>
    </row>
    <row r="101" spans="1:33" x14ac:dyDescent="0.2">
      <c r="A101" s="27">
        <v>10</v>
      </c>
      <c r="B101" s="69">
        <v>13.02790755</v>
      </c>
      <c r="C101" s="28">
        <f t="shared" si="8"/>
        <v>0.94385319320318961</v>
      </c>
      <c r="D101" s="31">
        <v>142.285</v>
      </c>
      <c r="E101" s="47">
        <v>643.79999999999995</v>
      </c>
      <c r="F101" s="44">
        <v>25.84</v>
      </c>
      <c r="G101" s="11">
        <v>5.0799999999999999E-4</v>
      </c>
      <c r="H101" s="61">
        <f t="shared" si="6"/>
        <v>280.08858267716533</v>
      </c>
      <c r="I101" s="29">
        <f t="shared" si="7"/>
        <v>0.24524221450054906</v>
      </c>
      <c r="J101" s="52">
        <v>0.29399999999999998</v>
      </c>
      <c r="K101" s="75">
        <v>-6.7838000000000003</v>
      </c>
      <c r="L101" s="81">
        <v>1211.0999999999999</v>
      </c>
      <c r="M101" s="13">
        <v>1.24E-2</v>
      </c>
      <c r="N101" s="12">
        <v>-1.0713999999999999E-5</v>
      </c>
      <c r="O101" s="93">
        <v>0.2392</v>
      </c>
      <c r="P101" s="94">
        <v>0.245</v>
      </c>
      <c r="Q101" s="95">
        <v>0.28570000000000001</v>
      </c>
      <c r="R101" s="111">
        <v>60.018999999999998</v>
      </c>
      <c r="S101" s="118">
        <v>-4108.3999999999996</v>
      </c>
      <c r="T101" s="125">
        <v>-19.55</v>
      </c>
      <c r="U101" s="66">
        <v>9.2479999999999993E-3</v>
      </c>
      <c r="V101" s="6">
        <v>-9.4842000000000002E-7</v>
      </c>
      <c r="W101" s="138">
        <v>319.59800000000001</v>
      </c>
      <c r="X101" s="13">
        <v>-0.35533999999999999</v>
      </c>
      <c r="Y101" s="14">
        <v>1.0459E-3</v>
      </c>
      <c r="Z101" s="30">
        <v>0</v>
      </c>
      <c r="AA101" s="77">
        <v>0.15970000000000001</v>
      </c>
      <c r="AB101" s="5">
        <v>-6.3338999999999998E-5</v>
      </c>
      <c r="AC101" s="15">
        <v>-2.0118000000000001E-7</v>
      </c>
      <c r="AD101" s="146">
        <v>56.207999999999998</v>
      </c>
      <c r="AE101" s="147">
        <v>0.38</v>
      </c>
      <c r="AF101" s="150">
        <v>50.752000000000002</v>
      </c>
      <c r="AG101" s="152">
        <v>1.2222</v>
      </c>
    </row>
    <row r="102" spans="1:33" x14ac:dyDescent="0.2">
      <c r="A102" s="27">
        <v>10</v>
      </c>
      <c r="B102" s="69">
        <v>1.2304498500000001</v>
      </c>
      <c r="C102" s="28">
        <f t="shared" si="8"/>
        <v>0</v>
      </c>
      <c r="D102" s="31">
        <v>142.285</v>
      </c>
      <c r="E102" s="48">
        <v>601</v>
      </c>
      <c r="F102" s="48">
        <v>21.78</v>
      </c>
      <c r="G102" s="35">
        <v>5.4500000000000002E-4</v>
      </c>
      <c r="H102" s="61">
        <f t="shared" si="6"/>
        <v>261.0733944954128</v>
      </c>
      <c r="I102" s="29">
        <f t="shared" si="7"/>
        <v>0.23755812319856609</v>
      </c>
      <c r="J102" s="55">
        <v>0.44400000000000001</v>
      </c>
      <c r="K102" s="76">
        <v>-5.3550000000000004</v>
      </c>
      <c r="L102" s="82">
        <v>889.37</v>
      </c>
      <c r="M102" s="85">
        <v>1.09E-2</v>
      </c>
      <c r="N102" s="4">
        <v>-1.1232E-5</v>
      </c>
      <c r="O102" s="99" t="str" cm="1">
        <f t="array" ref="O102">LEFT(INDEX($O$60:$O$133, MATCH(MIN(IF(ABS($B$60:$B$133-B102)&lt;&gt;0, ABS($B$60:$B$133-B102))), IF(ABS($B$60:$B$133-B102)&lt;&gt;0, ABS($B$60:$B$133-B102)), 0)),6)</f>
        <v>0.2237</v>
      </c>
      <c r="P102" s="100" t="str" cm="1">
        <f t="array" ref="P102">LEFT(INDEX($P$60:$P$133, MATCH(MIN(IF(ABS($B$60:$B$133-B102)&lt;&gt;0, ABS($B$60:$B$133-B102))), IF(ABS($B$60:$B$133-B102)&lt;&gt;0, ABS($B$60:$B$133-B102)), 0)),6)</f>
        <v>0.237</v>
      </c>
      <c r="Q102" s="105" t="str" cm="1">
        <f t="array" ref="Q102">LEFT(INDEX($Q$60:$Q$133, MATCH(MIN(IF(ABS($B$60:$B$133-B102)&lt;&gt;0, ABS($B$60:$B$133-B102))), IF(ABS($B$60:$B$133-B102)&lt;&gt;0, ABS($B$60:$B$133-B102)), 0)),6)</f>
        <v>0.2857</v>
      </c>
      <c r="R102" s="114">
        <v>51.716999999999999</v>
      </c>
      <c r="S102" s="120">
        <v>-4186.6000000000004</v>
      </c>
      <c r="T102" s="127">
        <v>-15.336</v>
      </c>
      <c r="U102" s="65">
        <v>1.7503E-3</v>
      </c>
      <c r="V102" s="32">
        <v>2.8445E-6</v>
      </c>
      <c r="W102" s="139">
        <v>303.30700000000002</v>
      </c>
      <c r="X102" s="7">
        <v>-0.37857000000000002</v>
      </c>
      <c r="Y102" s="8">
        <v>1.1735000000000001E-3</v>
      </c>
      <c r="Z102" s="30">
        <v>0</v>
      </c>
      <c r="AA102" s="141">
        <v>0.1678</v>
      </c>
      <c r="AB102" s="9">
        <v>-6.4857999999999995E-5</v>
      </c>
      <c r="AC102" s="10">
        <v>-2.5261999999999999E-7</v>
      </c>
      <c r="AD102" s="146">
        <v>61.542999999999999</v>
      </c>
      <c r="AE102" s="147">
        <v>0.38</v>
      </c>
      <c r="AF102" s="150">
        <v>50.566000000000003</v>
      </c>
      <c r="AG102" s="152">
        <v>1.2222</v>
      </c>
    </row>
    <row r="103" spans="1:33" x14ac:dyDescent="0.2">
      <c r="A103" s="27">
        <v>10</v>
      </c>
      <c r="B103" s="69">
        <v>10.633358790000001</v>
      </c>
      <c r="C103" s="28">
        <f t="shared" si="8"/>
        <v>0.75227780883823969</v>
      </c>
      <c r="D103" s="31">
        <v>142.285</v>
      </c>
      <c r="E103" s="47">
        <v>598.5</v>
      </c>
      <c r="F103" s="44">
        <v>22.19</v>
      </c>
      <c r="G103" s="11">
        <v>5.44E-4</v>
      </c>
      <c r="H103" s="61">
        <f t="shared" si="6"/>
        <v>261.55330882352939</v>
      </c>
      <c r="I103" s="29">
        <f t="shared" si="7"/>
        <v>0.24259510133685588</v>
      </c>
      <c r="J103" s="52">
        <v>0.36299999999999999</v>
      </c>
      <c r="K103" s="75">
        <v>-4.7188999999999997</v>
      </c>
      <c r="L103" s="81">
        <v>882.33</v>
      </c>
      <c r="M103" s="13">
        <v>8.3000000000000001E-3</v>
      </c>
      <c r="N103" s="12">
        <v>-8.7013999999999994E-6</v>
      </c>
      <c r="O103" s="93">
        <v>0.22889999999999999</v>
      </c>
      <c r="P103" s="94">
        <v>0.24299999999999999</v>
      </c>
      <c r="Q103" s="95">
        <v>0.28570000000000001</v>
      </c>
      <c r="R103" s="111">
        <v>44.331000000000003</v>
      </c>
      <c r="S103" s="118">
        <v>-3742.2</v>
      </c>
      <c r="T103" s="125">
        <v>-12.715999999999999</v>
      </c>
      <c r="U103" s="5">
        <v>7.0193999999999996E-4</v>
      </c>
      <c r="V103" s="6">
        <v>2.8949E-6</v>
      </c>
      <c r="W103" s="138">
        <v>289.59399999999999</v>
      </c>
      <c r="X103" s="13">
        <v>-0.35400999999999999</v>
      </c>
      <c r="Y103" s="14">
        <v>1.1087E-3</v>
      </c>
      <c r="Z103" s="30">
        <v>0</v>
      </c>
      <c r="AA103" s="77">
        <v>0.16470000000000001</v>
      </c>
      <c r="AB103" s="5">
        <v>-6.7414000000000002E-5</v>
      </c>
      <c r="AC103" s="15">
        <v>-2.4415999999999998E-7</v>
      </c>
      <c r="AD103" s="146">
        <v>56.844999999999999</v>
      </c>
      <c r="AE103" s="147">
        <v>0.38</v>
      </c>
      <c r="AF103" s="150">
        <v>47.685000000000002</v>
      </c>
      <c r="AG103" s="152">
        <v>1.2222</v>
      </c>
    </row>
    <row r="104" spans="1:33" x14ac:dyDescent="0.2">
      <c r="A104" s="27">
        <v>10</v>
      </c>
      <c r="B104" s="69">
        <v>11.699499465000001</v>
      </c>
      <c r="C104" s="28">
        <f t="shared" si="8"/>
        <v>0.83757417574130166</v>
      </c>
      <c r="D104" s="31">
        <v>142.285</v>
      </c>
      <c r="E104" s="47">
        <v>610.20000000000005</v>
      </c>
      <c r="F104" s="44">
        <v>22.49</v>
      </c>
      <c r="G104" s="11">
        <v>5.3499999999999999E-4</v>
      </c>
      <c r="H104" s="61">
        <f t="shared" si="6"/>
        <v>265.95327102803736</v>
      </c>
      <c r="I104" s="29">
        <f t="shared" si="7"/>
        <v>0.23717068830759142</v>
      </c>
      <c r="J104" s="52">
        <v>0.34399999999999997</v>
      </c>
      <c r="K104" s="75">
        <v>-4.9816000000000003</v>
      </c>
      <c r="L104" s="81">
        <v>933.92</v>
      </c>
      <c r="M104" s="13">
        <v>8.6999999999999994E-3</v>
      </c>
      <c r="N104" s="12">
        <v>-8.7212000000000005E-6</v>
      </c>
      <c r="O104" s="93">
        <v>0.2261</v>
      </c>
      <c r="P104" s="94">
        <v>0.23699999999999999</v>
      </c>
      <c r="Q104" s="95">
        <v>0.28570000000000001</v>
      </c>
      <c r="R104" s="111">
        <v>120.05</v>
      </c>
      <c r="S104" s="118">
        <v>-5576.4</v>
      </c>
      <c r="T104" s="125">
        <v>-44.295000000000002</v>
      </c>
      <c r="U104" s="5">
        <v>3.2982999999999998E-2</v>
      </c>
      <c r="V104" s="6">
        <v>-9.2E-6</v>
      </c>
      <c r="W104" s="138">
        <v>297.28399999999999</v>
      </c>
      <c r="X104" s="13">
        <v>-0.35588999999999998</v>
      </c>
      <c r="Y104" s="14">
        <v>1.1122E-3</v>
      </c>
      <c r="Z104" s="30">
        <v>0</v>
      </c>
      <c r="AA104" s="77">
        <v>0.16420000000000001</v>
      </c>
      <c r="AB104" s="5">
        <v>-6.7651000000000007E-5</v>
      </c>
      <c r="AC104" s="15">
        <v>-2.3153999999999999E-7</v>
      </c>
      <c r="AD104" s="146">
        <v>55.381999999999998</v>
      </c>
      <c r="AE104" s="147">
        <v>0.38</v>
      </c>
      <c r="AF104" s="150">
        <v>47.597999999999999</v>
      </c>
      <c r="AG104" s="152">
        <v>1.2222</v>
      </c>
    </row>
    <row r="105" spans="1:33" x14ac:dyDescent="0.2">
      <c r="A105" s="27">
        <v>10</v>
      </c>
      <c r="B105" s="69">
        <v>10.912045466249999</v>
      </c>
      <c r="C105" s="28">
        <f t="shared" si="8"/>
        <v>0.77457407943912893</v>
      </c>
      <c r="D105" s="31">
        <v>142.285</v>
      </c>
      <c r="E105" s="47">
        <v>623</v>
      </c>
      <c r="F105" s="44">
        <v>25.1</v>
      </c>
      <c r="G105" s="11">
        <v>5.7350000000000001E-4</v>
      </c>
      <c r="H105" s="61">
        <f t="shared" si="6"/>
        <v>248.3158813263525</v>
      </c>
      <c r="I105" s="29">
        <f t="shared" si="7"/>
        <v>0.27767084161739986</v>
      </c>
      <c r="J105" s="52">
        <v>0.36399999999999999</v>
      </c>
      <c r="K105" s="75">
        <v>-7.2949000000000002</v>
      </c>
      <c r="L105" s="81">
        <v>1253.5999999999999</v>
      </c>
      <c r="M105" s="13">
        <v>1.41E-2</v>
      </c>
      <c r="N105" s="12">
        <v>-1.2534000000000001E-5</v>
      </c>
      <c r="O105" s="93">
        <v>0.23419999999999999</v>
      </c>
      <c r="P105" s="94">
        <v>0.24199999999999999</v>
      </c>
      <c r="Q105" s="95">
        <v>0.28570000000000001</v>
      </c>
      <c r="R105" s="111">
        <v>110.52</v>
      </c>
      <c r="S105" s="118">
        <v>-5453</v>
      </c>
      <c r="T105" s="125">
        <v>-40.21</v>
      </c>
      <c r="U105" s="5">
        <v>2.8577999999999999E-2</v>
      </c>
      <c r="V105" s="6">
        <v>-7.5619999999999998E-6</v>
      </c>
      <c r="W105" s="138">
        <v>304.36099999999999</v>
      </c>
      <c r="X105" s="13">
        <v>-0.33712999999999999</v>
      </c>
      <c r="Y105" s="14">
        <v>1.0648000000000001E-3</v>
      </c>
      <c r="Z105" s="30">
        <v>0</v>
      </c>
      <c r="AA105" s="77">
        <v>0.1636</v>
      </c>
      <c r="AB105" s="5">
        <v>-6.7756999999999995E-5</v>
      </c>
      <c r="AC105" s="15">
        <v>-2.1890000000000001E-7</v>
      </c>
      <c r="AD105" s="146">
        <v>57.149000000000001</v>
      </c>
      <c r="AE105" s="147">
        <v>0.38</v>
      </c>
      <c r="AF105" s="150">
        <v>52.62</v>
      </c>
      <c r="AG105" s="152">
        <v>1.2222</v>
      </c>
    </row>
    <row r="106" spans="1:33" x14ac:dyDescent="0.2">
      <c r="A106" s="27">
        <v>10</v>
      </c>
      <c r="B106" s="69">
        <v>9.4552818712499995</v>
      </c>
      <c r="C106" s="28">
        <f t="shared" si="8"/>
        <v>0.65802600562124969</v>
      </c>
      <c r="D106" s="31">
        <v>142.285</v>
      </c>
      <c r="E106" s="47">
        <v>620.4</v>
      </c>
      <c r="F106" s="44">
        <v>23.71</v>
      </c>
      <c r="G106" s="11">
        <v>5.2499999999999997E-4</v>
      </c>
      <c r="H106" s="61">
        <f t="shared" si="6"/>
        <v>271.01904761904763</v>
      </c>
      <c r="I106" s="29">
        <f t="shared" si="7"/>
        <v>0.24132874148100966</v>
      </c>
      <c r="J106" s="52">
        <v>0.34499999999999997</v>
      </c>
      <c r="K106" s="75">
        <v>-6.0915999999999997</v>
      </c>
      <c r="L106" s="81">
        <v>1092.8</v>
      </c>
      <c r="M106" s="13">
        <v>1.12E-2</v>
      </c>
      <c r="N106" s="12">
        <v>-1.0403E-5</v>
      </c>
      <c r="O106" s="93">
        <v>0.23080000000000001</v>
      </c>
      <c r="P106" s="94">
        <v>0.24099999999999999</v>
      </c>
      <c r="Q106" s="95">
        <v>0.28570000000000001</v>
      </c>
      <c r="R106" s="111">
        <v>64.641000000000005</v>
      </c>
      <c r="S106" s="118">
        <v>-4283.7</v>
      </c>
      <c r="T106" s="125">
        <v>-21.222000000000001</v>
      </c>
      <c r="U106" s="5">
        <v>9.7824000000000001E-3</v>
      </c>
      <c r="V106" s="6">
        <v>-7.4964000000000003E-7</v>
      </c>
      <c r="W106" s="138">
        <v>302.661</v>
      </c>
      <c r="X106" s="13">
        <v>-0.34061000000000002</v>
      </c>
      <c r="Y106" s="14">
        <v>1.0732999999999999E-3</v>
      </c>
      <c r="Z106" s="30">
        <v>0</v>
      </c>
      <c r="AA106" s="77">
        <v>0.1636</v>
      </c>
      <c r="AB106" s="5">
        <v>-6.7795999999999999E-5</v>
      </c>
      <c r="AC106" s="15">
        <v>-2.2116E-7</v>
      </c>
      <c r="AD106" s="146">
        <v>57.247999999999998</v>
      </c>
      <c r="AE106" s="147">
        <v>0.38</v>
      </c>
      <c r="AF106" s="150">
        <v>49.594000000000001</v>
      </c>
      <c r="AG106" s="152">
        <v>1.2222</v>
      </c>
    </row>
    <row r="107" spans="1:33" x14ac:dyDescent="0.2">
      <c r="A107" s="27">
        <v>10</v>
      </c>
      <c r="B107" s="69">
        <v>9.8182366987500007</v>
      </c>
      <c r="C107" s="28">
        <f t="shared" si="8"/>
        <v>0.68706413244787856</v>
      </c>
      <c r="D107" s="31">
        <v>142.285</v>
      </c>
      <c r="E107" s="47">
        <v>646.70000000000005</v>
      </c>
      <c r="F107" s="44">
        <v>25.74</v>
      </c>
      <c r="G107" s="11">
        <v>5.0600000000000005E-4</v>
      </c>
      <c r="H107" s="61">
        <f t="shared" si="6"/>
        <v>281.195652173913</v>
      </c>
      <c r="I107" s="29">
        <f t="shared" si="7"/>
        <v>0.24224017875173823</v>
      </c>
      <c r="J107" s="52">
        <v>0.311</v>
      </c>
      <c r="K107" s="75">
        <v>-6.9092000000000002</v>
      </c>
      <c r="L107" s="81">
        <v>1234.5</v>
      </c>
      <c r="M107" s="13">
        <v>1.2699999999999999E-2</v>
      </c>
      <c r="N107" s="12">
        <v>-1.0896999999999999E-5</v>
      </c>
      <c r="O107" s="93">
        <v>0.23710000000000001</v>
      </c>
      <c r="P107" s="94">
        <v>0.24199999999999999</v>
      </c>
      <c r="Q107" s="95">
        <v>0.28570000000000001</v>
      </c>
      <c r="R107" s="111">
        <v>70.983000000000004</v>
      </c>
      <c r="S107" s="118">
        <v>-4451.2</v>
      </c>
      <c r="T107" s="125">
        <v>-23.98</v>
      </c>
      <c r="U107" s="5">
        <v>1.3216E-2</v>
      </c>
      <c r="V107" s="6">
        <v>-2.2933000000000001E-6</v>
      </c>
      <c r="W107" s="138">
        <v>341.01</v>
      </c>
      <c r="X107" s="13">
        <v>-0.43712000000000001</v>
      </c>
      <c r="Y107" s="14">
        <v>1.1502999999999999E-3</v>
      </c>
      <c r="Z107" s="30">
        <v>0</v>
      </c>
      <c r="AA107" s="77">
        <v>0.15840000000000001</v>
      </c>
      <c r="AB107" s="5">
        <v>-5.4957999999999998E-5</v>
      </c>
      <c r="AC107" s="15">
        <v>-2.0882000000000001E-7</v>
      </c>
      <c r="AD107" s="146">
        <v>54.337000000000003</v>
      </c>
      <c r="AE107" s="147">
        <v>0.38</v>
      </c>
      <c r="AF107" s="150">
        <v>51.470999999999997</v>
      </c>
      <c r="AG107" s="152">
        <v>1.2222</v>
      </c>
    </row>
    <row r="108" spans="1:33" x14ac:dyDescent="0.2">
      <c r="A108" s="27">
        <v>10</v>
      </c>
      <c r="B108" s="69">
        <v>9.0401385624999993</v>
      </c>
      <c r="C108" s="28">
        <f t="shared" si="8"/>
        <v>0.62481255001372282</v>
      </c>
      <c r="D108" s="31">
        <v>142.285</v>
      </c>
      <c r="E108" s="47">
        <v>626.6</v>
      </c>
      <c r="F108" s="44">
        <v>24.22</v>
      </c>
      <c r="G108" s="11">
        <v>5.1800000000000001E-4</v>
      </c>
      <c r="H108" s="61">
        <f t="shared" si="6"/>
        <v>274.68146718146716</v>
      </c>
      <c r="I108" s="29">
        <f t="shared" si="7"/>
        <v>0.24082606405878554</v>
      </c>
      <c r="J108" s="52">
        <v>0.33900000000000002</v>
      </c>
      <c r="K108" s="75">
        <v>-6.3979999999999997</v>
      </c>
      <c r="L108" s="81">
        <v>1141.4000000000001</v>
      </c>
      <c r="M108" s="13">
        <v>1.1900000000000001E-2</v>
      </c>
      <c r="N108" s="12">
        <v>-1.0725E-5</v>
      </c>
      <c r="O108" s="93">
        <v>0.23849999999999999</v>
      </c>
      <c r="P108" s="94">
        <v>0.24099999999999999</v>
      </c>
      <c r="Q108" s="95">
        <v>0.28570000000000001</v>
      </c>
      <c r="R108" s="111">
        <v>62.652000000000001</v>
      </c>
      <c r="S108" s="118">
        <v>-4244.8999999999996</v>
      </c>
      <c r="T108" s="125">
        <v>-20.417000000000002</v>
      </c>
      <c r="U108" s="5">
        <v>9.1248000000000006E-3</v>
      </c>
      <c r="V108" s="6">
        <v>-5.8439999999999997E-7</v>
      </c>
      <c r="W108" s="138">
        <v>332.55900000000003</v>
      </c>
      <c r="X108" s="13">
        <v>-0.46510000000000001</v>
      </c>
      <c r="Y108" s="14">
        <v>1.2129E-3</v>
      </c>
      <c r="Z108" s="30">
        <v>0</v>
      </c>
      <c r="AA108" s="77">
        <v>0.15959999999999999</v>
      </c>
      <c r="AB108" s="5">
        <v>-5.3091999999999999E-5</v>
      </c>
      <c r="AC108" s="15">
        <v>-2.2987000000000001E-7</v>
      </c>
      <c r="AD108" s="146">
        <v>57.469000000000001</v>
      </c>
      <c r="AE108" s="147">
        <v>0.38</v>
      </c>
      <c r="AF108" s="150">
        <v>50.212000000000003</v>
      </c>
      <c r="AG108" s="152">
        <v>1.2222</v>
      </c>
    </row>
    <row r="109" spans="1:33" x14ac:dyDescent="0.2">
      <c r="A109" s="27">
        <v>10</v>
      </c>
      <c r="B109" s="69">
        <v>10.03859506875</v>
      </c>
      <c r="C109" s="28">
        <f t="shared" si="8"/>
        <v>0.7046938588230407</v>
      </c>
      <c r="D109" s="31">
        <v>142.285</v>
      </c>
      <c r="E109" s="47">
        <v>610.1</v>
      </c>
      <c r="F109" s="44">
        <v>23.2</v>
      </c>
      <c r="G109" s="11">
        <v>5.31E-4</v>
      </c>
      <c r="H109" s="61">
        <f t="shared" si="6"/>
        <v>267.95668549905832</v>
      </c>
      <c r="I109" s="29">
        <f t="shared" si="7"/>
        <v>0.24286865114017481</v>
      </c>
      <c r="J109" s="52">
        <v>0.35099999999999998</v>
      </c>
      <c r="K109" s="75">
        <v>-5.6820000000000004</v>
      </c>
      <c r="L109" s="81">
        <v>1023.8</v>
      </c>
      <c r="M109" s="13">
        <v>1.04E-2</v>
      </c>
      <c r="N109" s="12">
        <v>-1.0032E-5</v>
      </c>
      <c r="O109" s="93">
        <v>0.2316</v>
      </c>
      <c r="P109" s="94">
        <v>0.24299999999999999</v>
      </c>
      <c r="Q109" s="95">
        <v>0.28570000000000001</v>
      </c>
      <c r="R109" s="111">
        <v>39.564</v>
      </c>
      <c r="S109" s="118">
        <v>-3638.6</v>
      </c>
      <c r="T109" s="125">
        <v>-10.8</v>
      </c>
      <c r="U109" s="5">
        <v>-7.8226999999999995E-4</v>
      </c>
      <c r="V109" s="6">
        <v>3.2260999999999999E-6</v>
      </c>
      <c r="W109" s="138">
        <v>322.82400000000001</v>
      </c>
      <c r="X109" s="13">
        <v>-0.47915999999999997</v>
      </c>
      <c r="Y109" s="14">
        <v>1.2447999999999999E-3</v>
      </c>
      <c r="Z109" s="30">
        <v>0</v>
      </c>
      <c r="AA109" s="77">
        <v>0.16009999999999999</v>
      </c>
      <c r="AB109" s="5">
        <v>-5.1625999999999997E-5</v>
      </c>
      <c r="AC109" s="15">
        <v>-2.4761999999999999E-7</v>
      </c>
      <c r="AD109" s="146">
        <v>57.222999999999999</v>
      </c>
      <c r="AE109" s="147">
        <v>0.38</v>
      </c>
      <c r="AF109" s="150">
        <v>48.923000000000002</v>
      </c>
      <c r="AG109" s="152">
        <v>1.2222</v>
      </c>
    </row>
    <row r="110" spans="1:33" x14ac:dyDescent="0.2">
      <c r="A110" s="27">
        <v>10</v>
      </c>
      <c r="B110" s="69">
        <v>8.8600119824999997</v>
      </c>
      <c r="C110" s="28">
        <f t="shared" si="8"/>
        <v>0.61040155977861743</v>
      </c>
      <c r="D110" s="31">
        <v>142.285</v>
      </c>
      <c r="E110" s="47">
        <v>633.1</v>
      </c>
      <c r="F110" s="44">
        <v>24.82</v>
      </c>
      <c r="G110" s="11">
        <v>5.1400000000000003E-4</v>
      </c>
      <c r="H110" s="61">
        <f t="shared" si="6"/>
        <v>276.81906614785993</v>
      </c>
      <c r="I110" s="29">
        <f t="shared" si="7"/>
        <v>0.24237206468113587</v>
      </c>
      <c r="J110" s="52">
        <v>0.33400000000000002</v>
      </c>
      <c r="K110" s="75">
        <v>-6.7183000000000002</v>
      </c>
      <c r="L110" s="81">
        <v>1192.2</v>
      </c>
      <c r="M110" s="13">
        <v>1.2500000000000001E-2</v>
      </c>
      <c r="N110" s="12">
        <v>-1.1063000000000001E-5</v>
      </c>
      <c r="O110" s="93">
        <v>0.23449999999999999</v>
      </c>
      <c r="P110" s="94">
        <v>0.24199999999999999</v>
      </c>
      <c r="Q110" s="95">
        <v>0.28570000000000001</v>
      </c>
      <c r="R110" s="111">
        <v>56.256999999999998</v>
      </c>
      <c r="S110" s="118">
        <v>-4099.3999999999996</v>
      </c>
      <c r="T110" s="125">
        <v>-17.786999999999999</v>
      </c>
      <c r="U110" s="5">
        <v>6.6873999999999996E-3</v>
      </c>
      <c r="V110" s="6">
        <v>2.1253000000000001E-7</v>
      </c>
      <c r="W110" s="138">
        <v>335.56</v>
      </c>
      <c r="X110" s="13">
        <v>-0.45518999999999998</v>
      </c>
      <c r="Y110" s="14">
        <v>1.1904999999999999E-3</v>
      </c>
      <c r="Z110" s="30">
        <v>0</v>
      </c>
      <c r="AA110" s="77">
        <v>0.1593</v>
      </c>
      <c r="AB110" s="5">
        <v>-5.3681000000000003E-5</v>
      </c>
      <c r="AC110" s="15">
        <v>-2.2301999999999999E-7</v>
      </c>
      <c r="AD110" s="146">
        <v>57.823</v>
      </c>
      <c r="AE110" s="147">
        <v>0.38</v>
      </c>
      <c r="AF110" s="150">
        <v>50.973999999999997</v>
      </c>
      <c r="AG110" s="152">
        <v>1.2222</v>
      </c>
    </row>
    <row r="111" spans="1:33" x14ac:dyDescent="0.2">
      <c r="A111" s="27">
        <v>10</v>
      </c>
      <c r="B111" s="69">
        <v>8.1537682737499999</v>
      </c>
      <c r="C111" s="28">
        <f t="shared" si="8"/>
        <v>0.55389867613756394</v>
      </c>
      <c r="D111" s="31">
        <v>142.285</v>
      </c>
      <c r="E111" s="47">
        <v>613.20000000000005</v>
      </c>
      <c r="F111" s="44">
        <v>23.41</v>
      </c>
      <c r="G111" s="11">
        <v>5.2999999999999998E-4</v>
      </c>
      <c r="H111" s="61">
        <f t="shared" si="6"/>
        <v>268.46226415094338</v>
      </c>
      <c r="I111" s="29">
        <f t="shared" si="7"/>
        <v>0.24336892118089698</v>
      </c>
      <c r="J111" s="52">
        <v>0.36499999999999999</v>
      </c>
      <c r="K111" s="75">
        <v>-6.0827</v>
      </c>
      <c r="L111" s="81">
        <v>1082</v>
      </c>
      <c r="M111" s="13">
        <v>1.14E-2</v>
      </c>
      <c r="N111" s="12">
        <v>-1.0706E-5</v>
      </c>
      <c r="O111" s="93">
        <v>0.23150000000000001</v>
      </c>
      <c r="P111" s="94">
        <v>0.24299999999999999</v>
      </c>
      <c r="Q111" s="95">
        <v>0.28570000000000001</v>
      </c>
      <c r="R111" s="111">
        <v>40.465000000000003</v>
      </c>
      <c r="S111" s="118">
        <v>-3728.9</v>
      </c>
      <c r="T111" s="125">
        <v>-11.065</v>
      </c>
      <c r="U111" s="5">
        <v>-8.8787999999999996E-4</v>
      </c>
      <c r="V111" s="6">
        <v>3.3247000000000001E-6</v>
      </c>
      <c r="W111" s="138">
        <v>326.90100000000001</v>
      </c>
      <c r="X111" s="13">
        <v>-0.47986000000000001</v>
      </c>
      <c r="Y111" s="14">
        <v>1.2463000000000001E-3</v>
      </c>
      <c r="Z111" s="30">
        <v>0</v>
      </c>
      <c r="AA111" s="77">
        <v>0.1605</v>
      </c>
      <c r="AB111" s="5">
        <v>-5.1366000000000003E-5</v>
      </c>
      <c r="AC111" s="15">
        <v>-2.4605000000000001E-7</v>
      </c>
      <c r="AD111" s="146">
        <v>58.26</v>
      </c>
      <c r="AE111" s="147">
        <v>0.38</v>
      </c>
      <c r="AF111" s="150">
        <v>49.923000000000002</v>
      </c>
      <c r="AG111" s="152">
        <v>1.2222</v>
      </c>
    </row>
    <row r="112" spans="1:33" x14ac:dyDescent="0.2">
      <c r="A112" s="27">
        <v>10</v>
      </c>
      <c r="B112" s="69">
        <v>12.79313158625</v>
      </c>
      <c r="C112" s="28">
        <f t="shared" si="8"/>
        <v>0.9250699901854077</v>
      </c>
      <c r="D112" s="31">
        <v>142.285</v>
      </c>
      <c r="E112" s="47">
        <v>581.4</v>
      </c>
      <c r="F112" s="44">
        <v>21.9</v>
      </c>
      <c r="G112" s="11">
        <v>5.7350000000000001E-4</v>
      </c>
      <c r="H112" s="61">
        <f t="shared" si="6"/>
        <v>248.3158813263525</v>
      </c>
      <c r="I112" s="29">
        <f t="shared" si="7"/>
        <v>0.2596053804578945</v>
      </c>
      <c r="J112" s="52">
        <v>0.375</v>
      </c>
      <c r="K112" s="75">
        <v>-3.9737</v>
      </c>
      <c r="L112" s="81">
        <v>757.92</v>
      </c>
      <c r="M112" s="13">
        <v>6.8999999999999999E-3</v>
      </c>
      <c r="N112" s="12">
        <v>-7.9562000000000002E-6</v>
      </c>
      <c r="O112" s="93">
        <v>0.2356</v>
      </c>
      <c r="P112" s="94">
        <v>0.25600000000000001</v>
      </c>
      <c r="Q112" s="95">
        <v>0.28570000000000001</v>
      </c>
      <c r="R112" s="111">
        <v>15.164</v>
      </c>
      <c r="S112" s="118">
        <v>-2983.7</v>
      </c>
      <c r="T112" s="125">
        <v>-0.52180000000000004</v>
      </c>
      <c r="U112" s="5">
        <v>-1.2201999999999999E-2</v>
      </c>
      <c r="V112" s="6">
        <v>8.0498000000000004E-6</v>
      </c>
      <c r="W112" s="138">
        <v>303.05700000000002</v>
      </c>
      <c r="X112" s="13">
        <v>-0.48150999999999999</v>
      </c>
      <c r="Y112" s="14">
        <v>1.2528999999999999E-3</v>
      </c>
      <c r="Z112" s="30">
        <v>0</v>
      </c>
      <c r="AA112" s="77">
        <v>0.18679999999999999</v>
      </c>
      <c r="AB112" s="5">
        <v>-3.7995999999999999E-4</v>
      </c>
      <c r="AC112" s="15">
        <v>2.5563000000000002E-7</v>
      </c>
      <c r="AD112" s="146">
        <v>56.183</v>
      </c>
      <c r="AE112" s="147">
        <v>0.38</v>
      </c>
      <c r="AF112" s="150">
        <v>47.325000000000003</v>
      </c>
      <c r="AG112" s="152">
        <v>1.2222</v>
      </c>
    </row>
    <row r="113" spans="1:33" x14ac:dyDescent="0.2">
      <c r="A113" s="27">
        <v>10</v>
      </c>
      <c r="B113" s="69">
        <v>10.448191250000001</v>
      </c>
      <c r="C113" s="28">
        <f t="shared" si="8"/>
        <v>0.73746351762814455</v>
      </c>
      <c r="D113" s="31">
        <v>142.285</v>
      </c>
      <c r="E113" s="47">
        <v>601.29999999999995</v>
      </c>
      <c r="F113" s="44">
        <v>22.7</v>
      </c>
      <c r="G113" s="11">
        <v>5.4000000000000001E-4</v>
      </c>
      <c r="H113" s="61">
        <f t="shared" si="6"/>
        <v>263.4907407407407</v>
      </c>
      <c r="I113" s="29">
        <f t="shared" si="7"/>
        <v>0.2451988296866692</v>
      </c>
      <c r="J113" s="52">
        <v>0.35699999999999998</v>
      </c>
      <c r="K113" s="75">
        <v>-5.1814999999999998</v>
      </c>
      <c r="L113" s="81">
        <v>945.42</v>
      </c>
      <c r="M113" s="13">
        <v>9.4000000000000004E-3</v>
      </c>
      <c r="N113" s="12">
        <v>-9.4406999999999992E-6</v>
      </c>
      <c r="O113" s="93">
        <v>0.23069999999999999</v>
      </c>
      <c r="P113" s="94">
        <v>0.245</v>
      </c>
      <c r="Q113" s="95">
        <v>0.28570000000000001</v>
      </c>
      <c r="R113" s="111">
        <v>11.058999999999999</v>
      </c>
      <c r="S113" s="118">
        <v>-2927.2</v>
      </c>
      <c r="T113" s="125">
        <v>1.0936999999999999</v>
      </c>
      <c r="U113" s="5">
        <v>-1.3086E-2</v>
      </c>
      <c r="V113" s="6">
        <v>7.9386000000000005E-6</v>
      </c>
      <c r="W113" s="138">
        <v>289.71800000000002</v>
      </c>
      <c r="X113" s="13">
        <v>-0.34622000000000003</v>
      </c>
      <c r="Y113" s="14">
        <v>1.0888E-3</v>
      </c>
      <c r="Z113" s="30">
        <v>0</v>
      </c>
      <c r="AA113" s="77">
        <v>0.1643</v>
      </c>
      <c r="AB113" s="5">
        <v>-6.7743999999999994E-5</v>
      </c>
      <c r="AC113" s="15">
        <v>-2.3989000000000001E-7</v>
      </c>
      <c r="AD113" s="146">
        <v>57.332000000000001</v>
      </c>
      <c r="AE113" s="147">
        <v>0.38</v>
      </c>
      <c r="AF113" s="150">
        <v>48.203000000000003</v>
      </c>
      <c r="AG113" s="152">
        <v>1.2222</v>
      </c>
    </row>
    <row r="114" spans="1:33" x14ac:dyDescent="0.2">
      <c r="A114" s="27">
        <v>10</v>
      </c>
      <c r="B114" s="69">
        <v>6.1563384174999998</v>
      </c>
      <c r="C114" s="28">
        <f t="shared" si="8"/>
        <v>0.39409470854029505</v>
      </c>
      <c r="D114" s="31">
        <v>142.285</v>
      </c>
      <c r="E114" s="47">
        <v>612.79999999999995</v>
      </c>
      <c r="F114" s="43">
        <v>21.55</v>
      </c>
      <c r="G114" s="40">
        <v>5.7799999999999995E-4</v>
      </c>
      <c r="H114" s="61">
        <f t="shared" si="6"/>
        <v>246.16782006920414</v>
      </c>
      <c r="I114" s="29">
        <f t="shared" si="7"/>
        <v>0.2444816883786573</v>
      </c>
      <c r="J114" s="51">
        <v>0.39700000000000002</v>
      </c>
      <c r="K114" s="75">
        <v>-5.6802999999999999</v>
      </c>
      <c r="L114" s="81">
        <v>1034.3</v>
      </c>
      <c r="M114" s="13">
        <v>1.0500000000000001E-2</v>
      </c>
      <c r="N114" s="12">
        <v>-1.0101999999999999E-5</v>
      </c>
      <c r="O114" s="93">
        <v>0.2278</v>
      </c>
      <c r="P114" s="94">
        <v>0.24</v>
      </c>
      <c r="Q114" s="95">
        <v>0.28570000000000001</v>
      </c>
      <c r="R114" s="111">
        <v>92.766999999999996</v>
      </c>
      <c r="S114" s="118">
        <v>-5140.8999999999996</v>
      </c>
      <c r="T114" s="125">
        <v>-32.518999999999998</v>
      </c>
      <c r="U114" s="5">
        <v>1.9488999999999999E-2</v>
      </c>
      <c r="V114" s="6">
        <v>-3.8700000000000002E-6</v>
      </c>
      <c r="W114" s="138">
        <v>306.245</v>
      </c>
      <c r="X114" s="13">
        <v>-0.35948000000000002</v>
      </c>
      <c r="Y114" s="14">
        <v>1.1234000000000001E-3</v>
      </c>
      <c r="Z114" s="30">
        <v>0</v>
      </c>
      <c r="AA114" s="77">
        <v>0.1661</v>
      </c>
      <c r="AB114" s="5">
        <v>-6.6126999999999999E-5</v>
      </c>
      <c r="AC114" s="15">
        <v>-2.3568999999999999E-7</v>
      </c>
      <c r="AD114" s="146">
        <v>59.314</v>
      </c>
      <c r="AE114" s="147">
        <v>0.38</v>
      </c>
      <c r="AF114" s="150">
        <v>49.802</v>
      </c>
      <c r="AG114" s="152">
        <v>1.2222</v>
      </c>
    </row>
    <row r="115" spans="1:33" x14ac:dyDescent="0.2">
      <c r="A115" s="27">
        <v>10</v>
      </c>
      <c r="B115" s="69">
        <v>6.1477558400000003</v>
      </c>
      <c r="C115" s="28">
        <f t="shared" si="8"/>
        <v>0.39340806118072974</v>
      </c>
      <c r="D115" s="31">
        <v>142.285</v>
      </c>
      <c r="E115" s="47">
        <v>606.9</v>
      </c>
      <c r="F115" s="43">
        <v>21.55</v>
      </c>
      <c r="G115" s="40">
        <v>5.7799999999999995E-4</v>
      </c>
      <c r="H115" s="61">
        <f t="shared" si="6"/>
        <v>246.16782006920414</v>
      </c>
      <c r="I115" s="29">
        <f t="shared" si="7"/>
        <v>0.24685842583364834</v>
      </c>
      <c r="J115" s="51">
        <v>0.39700000000000002</v>
      </c>
      <c r="K115" s="75">
        <v>-5.5925000000000002</v>
      </c>
      <c r="L115" s="81">
        <v>1012.6</v>
      </c>
      <c r="M115" s="13">
        <v>1.04E-2</v>
      </c>
      <c r="N115" s="12">
        <v>-1.0152E-5</v>
      </c>
      <c r="O115" s="93">
        <v>0.2281</v>
      </c>
      <c r="P115" s="94">
        <v>0.24099999999999999</v>
      </c>
      <c r="Q115" s="95">
        <v>0.28570000000000001</v>
      </c>
      <c r="R115" s="111">
        <v>58.354999999999997</v>
      </c>
      <c r="S115" s="118">
        <v>-4244.8</v>
      </c>
      <c r="T115" s="125">
        <v>-18.306999999999999</v>
      </c>
      <c r="U115" s="5">
        <v>5.5537E-3</v>
      </c>
      <c r="V115" s="6">
        <v>1.2051999999999999E-6</v>
      </c>
      <c r="W115" s="138">
        <v>300.84500000000003</v>
      </c>
      <c r="X115" s="13">
        <v>-0.35977999999999999</v>
      </c>
      <c r="Y115" s="14">
        <v>1.1243E-3</v>
      </c>
      <c r="Z115" s="30">
        <v>0</v>
      </c>
      <c r="AA115" s="77">
        <v>0.16600000000000001</v>
      </c>
      <c r="AB115" s="5">
        <v>-6.6332000000000001E-5</v>
      </c>
      <c r="AC115" s="15">
        <v>-2.4051999999999999E-7</v>
      </c>
      <c r="AD115" s="146">
        <v>59.244</v>
      </c>
      <c r="AE115" s="147">
        <v>0.38</v>
      </c>
      <c r="AF115" s="150">
        <v>49.661000000000001</v>
      </c>
      <c r="AG115" s="152">
        <v>1.2222</v>
      </c>
    </row>
    <row r="116" spans="1:33" x14ac:dyDescent="0.2">
      <c r="A116" s="27">
        <v>10</v>
      </c>
      <c r="B116" s="69">
        <v>5.1599545300000003</v>
      </c>
      <c r="C116" s="28">
        <f t="shared" si="8"/>
        <v>0.31437921917065886</v>
      </c>
      <c r="D116" s="31">
        <v>142.285</v>
      </c>
      <c r="E116" s="47">
        <v>612.79999999999995</v>
      </c>
      <c r="F116" s="43">
        <v>22.4</v>
      </c>
      <c r="G116" s="40">
        <v>5.4699999999999996E-4</v>
      </c>
      <c r="H116" s="61">
        <f t="shared" si="6"/>
        <v>260.11882998171848</v>
      </c>
      <c r="I116" s="29">
        <f t="shared" si="7"/>
        <v>0.24049528587785804</v>
      </c>
      <c r="J116" s="51">
        <v>0.41699999999999998</v>
      </c>
      <c r="K116" s="75">
        <v>-5.9508000000000001</v>
      </c>
      <c r="L116" s="81">
        <v>1071.3</v>
      </c>
      <c r="M116" s="13">
        <v>1.11E-2</v>
      </c>
      <c r="N116" s="12">
        <v>-1.0665E-5</v>
      </c>
      <c r="O116" s="93">
        <v>0.2311</v>
      </c>
      <c r="P116" s="94">
        <v>0.24</v>
      </c>
      <c r="Q116" s="95">
        <v>0.28570000000000001</v>
      </c>
      <c r="R116" s="111">
        <v>108.39</v>
      </c>
      <c r="S116" s="118">
        <v>-5554.8</v>
      </c>
      <c r="T116" s="125">
        <v>-38.975000000000001</v>
      </c>
      <c r="U116" s="5">
        <v>2.5878000000000002E-2</v>
      </c>
      <c r="V116" s="6">
        <v>-6.1851000000000003E-6</v>
      </c>
      <c r="W116" s="138">
        <v>308.822</v>
      </c>
      <c r="X116" s="13">
        <v>-0.36331999999999998</v>
      </c>
      <c r="Y116" s="14">
        <v>1.1335E-3</v>
      </c>
      <c r="Z116" s="30">
        <v>0</v>
      </c>
      <c r="AA116" s="77">
        <v>0.1668</v>
      </c>
      <c r="AB116" s="5">
        <v>-6.5594999999999998E-5</v>
      </c>
      <c r="AC116" s="15">
        <v>-2.3797000000000001E-7</v>
      </c>
      <c r="AD116" s="146">
        <v>60.012</v>
      </c>
      <c r="AE116" s="147">
        <v>0.38</v>
      </c>
      <c r="AF116" s="150">
        <v>50.683</v>
      </c>
      <c r="AG116" s="152">
        <v>1.2222</v>
      </c>
    </row>
    <row r="117" spans="1:33" x14ac:dyDescent="0.2">
      <c r="A117" s="27">
        <v>10</v>
      </c>
      <c r="B117" s="69">
        <v>6.7389752999999999</v>
      </c>
      <c r="C117" s="28">
        <f t="shared" si="8"/>
        <v>0.44070845329867436</v>
      </c>
      <c r="D117" s="31">
        <v>142.285</v>
      </c>
      <c r="E117" s="47">
        <v>620.9</v>
      </c>
      <c r="F117" s="43">
        <v>21.61</v>
      </c>
      <c r="G117" s="40">
        <v>5.7899999999999998E-4</v>
      </c>
      <c r="H117" s="61">
        <f t="shared" si="6"/>
        <v>245.74265975820381</v>
      </c>
      <c r="I117" s="29">
        <f t="shared" si="7"/>
        <v>0.24238271766177993</v>
      </c>
      <c r="J117" s="51">
        <v>0.36499999999999999</v>
      </c>
      <c r="K117" s="75">
        <v>-6.3540999999999999</v>
      </c>
      <c r="L117" s="81">
        <v>1130</v>
      </c>
      <c r="M117" s="13">
        <v>1.1900000000000001E-2</v>
      </c>
      <c r="N117" s="12">
        <v>-1.0927000000000001E-5</v>
      </c>
      <c r="O117" s="93">
        <v>0.23139999999999999</v>
      </c>
      <c r="P117" s="94">
        <v>0.24099999999999999</v>
      </c>
      <c r="Q117" s="95">
        <v>0.28570000000000001</v>
      </c>
      <c r="R117" s="111">
        <v>57.36</v>
      </c>
      <c r="S117" s="118">
        <v>-4165.2</v>
      </c>
      <c r="T117" s="125">
        <v>-18.105</v>
      </c>
      <c r="U117" s="5">
        <v>6.3641000000000001E-3</v>
      </c>
      <c r="V117" s="6">
        <v>5.6006999999999996E-7</v>
      </c>
      <c r="W117" s="138">
        <v>305.85000000000002</v>
      </c>
      <c r="X117" s="13">
        <v>-0.34427000000000002</v>
      </c>
      <c r="Y117" s="14">
        <v>1.0832000000000001E-3</v>
      </c>
      <c r="Z117" s="30">
        <v>0</v>
      </c>
      <c r="AA117" s="77">
        <v>0.1643</v>
      </c>
      <c r="AB117" s="5">
        <v>-6.7277E-5</v>
      </c>
      <c r="AC117" s="15">
        <v>-2.23E-7</v>
      </c>
      <c r="AD117" s="146">
        <v>58.530999999999999</v>
      </c>
      <c r="AE117" s="147">
        <v>0.38</v>
      </c>
      <c r="AF117" s="150">
        <v>50.527999999999999</v>
      </c>
      <c r="AG117" s="152">
        <v>1.2222</v>
      </c>
    </row>
    <row r="118" spans="1:33" x14ac:dyDescent="0.2">
      <c r="A118" s="27">
        <v>10</v>
      </c>
      <c r="B118" s="69">
        <v>7.2291273599999997</v>
      </c>
      <c r="C118" s="28">
        <f t="shared" si="8"/>
        <v>0.47992296872652973</v>
      </c>
      <c r="D118" s="31">
        <v>142.285</v>
      </c>
      <c r="E118" s="47">
        <v>609.5</v>
      </c>
      <c r="F118" s="43">
        <v>23.2</v>
      </c>
      <c r="G118" s="40">
        <v>5.7899999999999998E-4</v>
      </c>
      <c r="H118" s="61">
        <f t="shared" si="6"/>
        <v>245.74265975820381</v>
      </c>
      <c r="I118" s="29">
        <f t="shared" si="7"/>
        <v>0.2650835746972352</v>
      </c>
      <c r="J118" s="51">
        <v>0.38200000000000001</v>
      </c>
      <c r="K118" s="76">
        <v>-6.0959000000000003</v>
      </c>
      <c r="L118" s="82">
        <v>1079.5999999999999</v>
      </c>
      <c r="M118" s="85">
        <v>1.15E-2</v>
      </c>
      <c r="N118" s="4">
        <v>-1.0925E-5</v>
      </c>
      <c r="O118" s="96">
        <v>0.23380000000000001</v>
      </c>
      <c r="P118" s="97">
        <v>0.248</v>
      </c>
      <c r="Q118" s="98">
        <v>0.28570000000000001</v>
      </c>
      <c r="R118" s="112">
        <v>43.021700000000003</v>
      </c>
      <c r="S118" s="118">
        <v>-3774.1</v>
      </c>
      <c r="T118" s="125">
        <v>-12.1313</v>
      </c>
      <c r="U118" s="5">
        <v>2.3026999999999999E-9</v>
      </c>
      <c r="V118" s="6">
        <v>3.2271E-6</v>
      </c>
      <c r="W118" s="139">
        <v>298.52300000000002</v>
      </c>
      <c r="X118" s="7">
        <v>-0.34072000000000002</v>
      </c>
      <c r="Y118" s="8">
        <v>1.0758E-3</v>
      </c>
      <c r="Z118" s="30">
        <v>0</v>
      </c>
      <c r="AA118" s="141">
        <v>0.16500000000000001</v>
      </c>
      <c r="AB118" s="9">
        <v>-6.7014000000000006E-5</v>
      </c>
      <c r="AC118" s="10">
        <v>-2.3502E-7</v>
      </c>
      <c r="AD118" s="146">
        <v>58.182000000000002</v>
      </c>
      <c r="AE118" s="147">
        <v>0.38</v>
      </c>
      <c r="AF118" s="150">
        <v>50.298000000000002</v>
      </c>
      <c r="AG118" s="152">
        <v>1.2222</v>
      </c>
    </row>
    <row r="119" spans="1:33" x14ac:dyDescent="0.2">
      <c r="A119" s="27">
        <v>10</v>
      </c>
      <c r="B119" s="69">
        <v>6.74386245</v>
      </c>
      <c r="C119" s="28">
        <f t="shared" si="8"/>
        <v>0.44109944873603563</v>
      </c>
      <c r="D119" s="31">
        <v>142.285</v>
      </c>
      <c r="E119" s="60">
        <v>622.1</v>
      </c>
      <c r="F119" s="43">
        <v>23.71</v>
      </c>
      <c r="G119" s="40">
        <v>5.2599999999999999E-4</v>
      </c>
      <c r="H119" s="61">
        <f t="shared" si="6"/>
        <v>270.50380228136879</v>
      </c>
      <c r="I119" s="29">
        <f t="shared" si="7"/>
        <v>0.24112768499627057</v>
      </c>
      <c r="J119" s="51">
        <v>0.36499999999999999</v>
      </c>
      <c r="K119" s="76">
        <v>-6.3627000000000002</v>
      </c>
      <c r="L119" s="82">
        <v>1133</v>
      </c>
      <c r="M119" s="85">
        <v>1.1900000000000001E-2</v>
      </c>
      <c r="N119" s="4">
        <v>-1.0902E-5</v>
      </c>
      <c r="O119" s="96">
        <v>0.23100000000000001</v>
      </c>
      <c r="P119" s="97">
        <v>0.24099999999999999</v>
      </c>
      <c r="Q119" s="98">
        <v>0.28570000000000001</v>
      </c>
      <c r="R119" s="112">
        <v>41.530900000000003</v>
      </c>
      <c r="S119" s="118">
        <v>-3762.1</v>
      </c>
      <c r="T119" s="125">
        <v>-11.5778</v>
      </c>
      <c r="U119" s="5">
        <v>2.6746E-8</v>
      </c>
      <c r="V119" s="6">
        <v>2.8777999999999998E-6</v>
      </c>
      <c r="W119" s="139">
        <v>306.86599999999999</v>
      </c>
      <c r="X119" s="7">
        <v>-0.34384999999999999</v>
      </c>
      <c r="Y119" s="8">
        <v>1.0820999999999999E-3</v>
      </c>
      <c r="Z119" s="30">
        <v>0</v>
      </c>
      <c r="AA119" s="141">
        <v>0.1643</v>
      </c>
      <c r="AB119" s="9">
        <v>-6.7237999999999996E-5</v>
      </c>
      <c r="AC119" s="10">
        <v>-2.2205000000000001E-7</v>
      </c>
      <c r="AD119" s="146">
        <v>58.725999999999999</v>
      </c>
      <c r="AE119" s="147">
        <v>0.38</v>
      </c>
      <c r="AF119" s="150">
        <v>50.573999999999998</v>
      </c>
      <c r="AG119" s="152">
        <v>1.2222</v>
      </c>
    </row>
    <row r="120" spans="1:33" x14ac:dyDescent="0.2">
      <c r="A120" s="27">
        <v>10</v>
      </c>
      <c r="B120" s="69">
        <v>7.4254587499999998</v>
      </c>
      <c r="C120" s="28">
        <f t="shared" si="8"/>
        <v>0.49563042147522834</v>
      </c>
      <c r="D120" s="31">
        <v>142.285</v>
      </c>
      <c r="E120" s="60">
        <v>617.5</v>
      </c>
      <c r="F120" s="43">
        <v>23.2</v>
      </c>
      <c r="G120" s="40">
        <v>5.3799999999999996E-4</v>
      </c>
      <c r="H120" s="61">
        <f t="shared" si="6"/>
        <v>264.47026022304834</v>
      </c>
      <c r="I120" s="29">
        <f t="shared" si="7"/>
        <v>0.24312145067244265</v>
      </c>
      <c r="J120" s="51">
        <v>0.371</v>
      </c>
      <c r="K120" s="76">
        <v>-6.0281000000000002</v>
      </c>
      <c r="L120" s="82">
        <v>1083.4000000000001</v>
      </c>
      <c r="M120" s="85">
        <v>1.12E-2</v>
      </c>
      <c r="N120" s="4">
        <v>-1.0478E-5</v>
      </c>
      <c r="O120" s="96">
        <v>0.23080000000000001</v>
      </c>
      <c r="P120" s="97">
        <v>0.24299999999999999</v>
      </c>
      <c r="Q120" s="98">
        <v>0.28570000000000001</v>
      </c>
      <c r="R120" s="112">
        <v>42.555399999999999</v>
      </c>
      <c r="S120" s="118">
        <v>-3808.2</v>
      </c>
      <c r="T120" s="125">
        <v>-11.925800000000001</v>
      </c>
      <c r="U120" s="5">
        <v>4.3807E-9</v>
      </c>
      <c r="V120" s="6">
        <v>2.9716999999999999E-6</v>
      </c>
      <c r="W120" s="139">
        <v>304.68200000000002</v>
      </c>
      <c r="X120" s="7">
        <v>-0.34484999999999999</v>
      </c>
      <c r="Y120" s="8">
        <v>1.0851999999999999E-3</v>
      </c>
      <c r="Z120" s="30">
        <v>0</v>
      </c>
      <c r="AA120" s="141">
        <v>0.1648</v>
      </c>
      <c r="AB120" s="9">
        <v>-6.7021999999999996E-5</v>
      </c>
      <c r="AC120" s="10">
        <v>-2.2732E-7</v>
      </c>
      <c r="AD120" s="146">
        <v>58.908999999999999</v>
      </c>
      <c r="AE120" s="147">
        <v>0.38</v>
      </c>
      <c r="AF120" s="150">
        <v>50.015999999999998</v>
      </c>
      <c r="AG120" s="152">
        <v>1.2222</v>
      </c>
    </row>
    <row r="121" spans="1:33" x14ac:dyDescent="0.2">
      <c r="A121" s="27">
        <v>10</v>
      </c>
      <c r="B121" s="69">
        <v>7.1448687912500004</v>
      </c>
      <c r="C121" s="28">
        <f t="shared" si="8"/>
        <v>0.47318187914674531</v>
      </c>
      <c r="D121" s="31">
        <v>142.285</v>
      </c>
      <c r="E121" s="60">
        <v>590.29999999999995</v>
      </c>
      <c r="F121" s="43">
        <v>21.48</v>
      </c>
      <c r="G121" s="40">
        <v>5.5999999999999995E-4</v>
      </c>
      <c r="H121" s="61">
        <f t="shared" si="6"/>
        <v>254.08035714285717</v>
      </c>
      <c r="I121" s="29">
        <f t="shared" si="7"/>
        <v>0.24509784943997395</v>
      </c>
      <c r="J121" s="51">
        <v>0.41099999999999998</v>
      </c>
      <c r="K121" s="76">
        <v>-4.4619</v>
      </c>
      <c r="L121" s="82">
        <v>840.11</v>
      </c>
      <c r="M121" s="85">
        <v>7.9000000000000008E-3</v>
      </c>
      <c r="N121" s="4">
        <v>-8.7067999999999994E-6</v>
      </c>
      <c r="O121" s="96">
        <v>0.22750000000000001</v>
      </c>
      <c r="P121" s="97">
        <v>0.245</v>
      </c>
      <c r="Q121" s="98">
        <v>0.28570000000000001</v>
      </c>
      <c r="R121" s="112">
        <v>47.059699999999999</v>
      </c>
      <c r="S121" s="118">
        <v>-3973</v>
      </c>
      <c r="T121" s="125">
        <v>-13.472899999999999</v>
      </c>
      <c r="U121" s="5">
        <v>1.4006999999999999E-9</v>
      </c>
      <c r="V121" s="6">
        <v>3.4767999999999999E-6</v>
      </c>
      <c r="W121" s="139">
        <v>289.81299999999999</v>
      </c>
      <c r="X121" s="7">
        <v>-0.36484</v>
      </c>
      <c r="Y121" s="8">
        <v>1.1385E-3</v>
      </c>
      <c r="Z121" s="30">
        <v>0</v>
      </c>
      <c r="AA121" s="141">
        <v>0.16669999999999999</v>
      </c>
      <c r="AB121" s="9">
        <v>-6.5884999999999997E-5</v>
      </c>
      <c r="AC121" s="10">
        <v>-2.5914999999999999E-7</v>
      </c>
      <c r="AD121" s="146">
        <v>59.284999999999997</v>
      </c>
      <c r="AE121" s="147">
        <v>0.38</v>
      </c>
      <c r="AF121" s="150">
        <v>48.430999999999997</v>
      </c>
      <c r="AG121" s="152">
        <v>1.2222</v>
      </c>
    </row>
    <row r="122" spans="1:33" x14ac:dyDescent="0.2">
      <c r="A122" s="27">
        <v>10</v>
      </c>
      <c r="B122" s="69">
        <v>7.9113762000000003</v>
      </c>
      <c r="C122" s="28">
        <f t="shared" si="8"/>
        <v>0.53450614779511607</v>
      </c>
      <c r="D122" s="31">
        <v>142.285</v>
      </c>
      <c r="E122" s="60">
        <v>600.29999999999995</v>
      </c>
      <c r="F122" s="43">
        <v>22.19</v>
      </c>
      <c r="G122" s="40">
        <v>5.4100000000000003E-4</v>
      </c>
      <c r="H122" s="61">
        <f t="shared" si="6"/>
        <v>263.00369685767095</v>
      </c>
      <c r="I122" s="29">
        <f t="shared" si="7"/>
        <v>0.24053385062740867</v>
      </c>
      <c r="J122" s="51">
        <v>0.38300000000000001</v>
      </c>
      <c r="K122" s="76">
        <v>-5.0613999999999999</v>
      </c>
      <c r="L122" s="82">
        <v>931.53</v>
      </c>
      <c r="M122" s="85">
        <v>9.1999999999999998E-3</v>
      </c>
      <c r="N122" s="4">
        <v>-9.3540000000000006E-6</v>
      </c>
      <c r="O122" s="96">
        <v>0.22689999999999999</v>
      </c>
      <c r="P122" s="97">
        <v>0.24099999999999999</v>
      </c>
      <c r="Q122" s="98">
        <v>0.28570000000000001</v>
      </c>
      <c r="R122" s="113" t="str" cm="1">
        <f t="array" ref="R122">LEFT(INDEX($R$60:$R$133, MATCH(MIN(IF(ABS($B$60:$B$133-B122)&lt;&gt;0, ABS($B$60:$B$133-B122))), IF(ABS($B$60:$B$133-B122)&lt;&gt;0, ABS($B$60:$B$133-B122)), 0)),7)</f>
        <v>44.1493</v>
      </c>
      <c r="S122" s="121" cm="1">
        <f t="array" ref="S122">INDEX($S$60:$S$133, MATCH(MIN(IF(ABS($B$60:$B$133-B122)&lt;&gt;0, ABS($B$60:$B$133-B122))), IF(ABS($B$60:$B$133-B122)&lt;&gt;0, ABS($B$60:$B$133-B122)), 0))</f>
        <v>-3843.6</v>
      </c>
      <c r="T122" s="128" cm="1">
        <f t="array" ref="T122">INDEX($T$60:$T$133, MATCH(MIN(IF(ABS($B$60:$B$133-B122)&lt;&gt;0, ABS($B$60:$B$133-B122))), IF(ABS($B$60:$B$133-B122)&lt;&gt;0, ABS($B$60:$B$133-B122)), 0))</f>
        <v>-12.482100000000001</v>
      </c>
      <c r="U122" s="64" cm="1">
        <f t="array" ref="U122">INDEX($U$60:$U$133, MATCH(MIN(IF(ABS($B$60:$B$133-B122)&lt;&gt;0, ABS($B$60:$B$133-B122))), IF(ABS($B$60:$B$133-B122)&lt;&gt;0, ABS($B$60:$B$133-B122)), 0))</f>
        <v>2.4860999999999999E-9</v>
      </c>
      <c r="V122" s="38" cm="1">
        <f t="array" ref="V122">INDEX($V$60:$V$133, MATCH(MIN(IF(ABS($B$60:$B$133-B122)&lt;&gt;0, ABS($B$60:$B$133-B122))), IF(ABS($B$60:$B$133-B122)&lt;&gt;0, ABS($B$60:$B$133-B122)), 0))</f>
        <v>3.1653E-6</v>
      </c>
      <c r="W122" s="139">
        <v>293.93599999999998</v>
      </c>
      <c r="X122" s="7">
        <v>-0.36068</v>
      </c>
      <c r="Y122" s="8">
        <v>1.1261999999999999E-3</v>
      </c>
      <c r="Z122" s="30">
        <v>0</v>
      </c>
      <c r="AA122" s="141">
        <v>0.16550000000000001</v>
      </c>
      <c r="AB122" s="9">
        <v>-6.6796000000000002E-5</v>
      </c>
      <c r="AC122" s="10">
        <v>-2.4504999999999999E-7</v>
      </c>
      <c r="AD122" s="146">
        <v>57.938000000000002</v>
      </c>
      <c r="AE122" s="147">
        <v>0.38</v>
      </c>
      <c r="AF122" s="150">
        <v>48.6</v>
      </c>
      <c r="AG122" s="152">
        <v>1.2222</v>
      </c>
    </row>
    <row r="123" spans="1:33" x14ac:dyDescent="0.2">
      <c r="A123" s="27">
        <v>10</v>
      </c>
      <c r="B123" s="69">
        <v>6.8380587075000001</v>
      </c>
      <c r="C123" s="28">
        <f t="shared" si="8"/>
        <v>0.44863560107410805</v>
      </c>
      <c r="D123" s="31">
        <v>142.285</v>
      </c>
      <c r="E123" s="60">
        <v>604.1</v>
      </c>
      <c r="F123" s="43">
        <v>21.89</v>
      </c>
      <c r="G123" s="40">
        <v>5.5999999999999995E-4</v>
      </c>
      <c r="H123" s="61">
        <f t="shared" si="6"/>
        <v>254.08035714285717</v>
      </c>
      <c r="I123" s="29">
        <f t="shared" si="7"/>
        <v>0.24407029871294444</v>
      </c>
      <c r="J123" s="51">
        <v>0.40300000000000002</v>
      </c>
      <c r="K123" s="76">
        <v>-5.1615000000000002</v>
      </c>
      <c r="L123" s="82">
        <v>953.46</v>
      </c>
      <c r="M123" s="85">
        <v>9.4000000000000004E-3</v>
      </c>
      <c r="N123" s="4">
        <v>-9.4797000000000001E-6</v>
      </c>
      <c r="O123" s="96">
        <v>0.2288</v>
      </c>
      <c r="P123" s="97">
        <v>0.24399999999999999</v>
      </c>
      <c r="Q123" s="98">
        <v>0.28570000000000001</v>
      </c>
      <c r="R123" s="112">
        <v>46.06</v>
      </c>
      <c r="S123" s="118">
        <v>-3971.6</v>
      </c>
      <c r="T123" s="125">
        <v>-13.1204</v>
      </c>
      <c r="U123" s="5">
        <v>8.0748999999999997E-10</v>
      </c>
      <c r="V123" s="6">
        <v>3.3401999999999998E-6</v>
      </c>
      <c r="W123" s="139">
        <v>300.03800000000001</v>
      </c>
      <c r="X123" s="7">
        <v>-0.35822999999999999</v>
      </c>
      <c r="Y123" s="8">
        <v>1.1211999999999999E-3</v>
      </c>
      <c r="Z123" s="30">
        <v>0</v>
      </c>
      <c r="AA123" s="141">
        <v>0.16650000000000001</v>
      </c>
      <c r="AB123" s="9">
        <v>-6.5967E-5</v>
      </c>
      <c r="AC123" s="10">
        <v>-2.4484000000000001E-7</v>
      </c>
      <c r="AD123" s="146">
        <v>59.768999999999998</v>
      </c>
      <c r="AE123" s="147">
        <v>0.38</v>
      </c>
      <c r="AF123" s="150">
        <v>49.13</v>
      </c>
      <c r="AG123" s="152">
        <v>1.2222</v>
      </c>
    </row>
    <row r="124" spans="1:33" x14ac:dyDescent="0.2">
      <c r="A124" s="27">
        <v>10</v>
      </c>
      <c r="B124" s="69">
        <v>5.8463386625</v>
      </c>
      <c r="C124" s="28">
        <f t="shared" ref="C124:C133" si="9">(B124-MIN($B$60:$B$133))/(MAX($B$60:$B$133)-MIN($B$60:$B$133))</f>
        <v>0.3692932414709148</v>
      </c>
      <c r="D124" s="31">
        <v>142.285</v>
      </c>
      <c r="E124" s="60">
        <v>613.70000000000005</v>
      </c>
      <c r="F124" s="43">
        <v>22.9</v>
      </c>
      <c r="G124" s="40">
        <v>5.3799999999999996E-4</v>
      </c>
      <c r="H124" s="61">
        <f t="shared" si="6"/>
        <v>264.47026022304834</v>
      </c>
      <c r="I124" s="29">
        <f t="shared" si="7"/>
        <v>0.24146356846237513</v>
      </c>
      <c r="J124" s="51">
        <v>0.39100000000000001</v>
      </c>
      <c r="K124" s="76">
        <v>-6.0269000000000004</v>
      </c>
      <c r="L124" s="82">
        <v>1079.3</v>
      </c>
      <c r="M124" s="85">
        <v>1.1299999999999999E-2</v>
      </c>
      <c r="N124" s="4">
        <v>-1.0679999999999999E-5</v>
      </c>
      <c r="O124" s="96">
        <v>0.2296</v>
      </c>
      <c r="P124" s="97">
        <v>0.24099999999999999</v>
      </c>
      <c r="Q124" s="98">
        <v>0.28570000000000001</v>
      </c>
      <c r="R124" s="112">
        <v>43.83</v>
      </c>
      <c r="S124" s="118">
        <v>-3870.9</v>
      </c>
      <c r="T124" s="125">
        <v>-12.366400000000001</v>
      </c>
      <c r="U124" s="5">
        <v>2.3738999999999998E-9</v>
      </c>
      <c r="V124" s="6">
        <v>3.1586000000000001E-6</v>
      </c>
      <c r="W124" s="139">
        <v>304.92200000000003</v>
      </c>
      <c r="X124" s="7">
        <v>-0.35459000000000002</v>
      </c>
      <c r="Y124" s="8">
        <v>1.1104000000000001E-3</v>
      </c>
      <c r="Z124" s="30">
        <v>0</v>
      </c>
      <c r="AA124" s="141">
        <v>0.1656</v>
      </c>
      <c r="AB124" s="9">
        <v>-6.6507999999999994E-5</v>
      </c>
      <c r="AC124" s="10">
        <v>-2.3318E-7</v>
      </c>
      <c r="AD124" s="146">
        <v>59.4</v>
      </c>
      <c r="AE124" s="147">
        <v>0.38</v>
      </c>
      <c r="AF124" s="150">
        <v>50.326000000000001</v>
      </c>
      <c r="AG124" s="152">
        <v>1.2222</v>
      </c>
    </row>
    <row r="125" spans="1:33" x14ac:dyDescent="0.2">
      <c r="A125" s="27">
        <v>10</v>
      </c>
      <c r="B125" s="69">
        <v>9.0054340624999991</v>
      </c>
      <c r="C125" s="28">
        <f t="shared" si="9"/>
        <v>0.62203602358095422</v>
      </c>
      <c r="D125" s="31">
        <v>142.285</v>
      </c>
      <c r="E125" s="60">
        <v>593.4</v>
      </c>
      <c r="F125" s="43">
        <v>21.28</v>
      </c>
      <c r="G125" s="40">
        <v>5.7300000000000005E-4</v>
      </c>
      <c r="H125" s="61">
        <f t="shared" si="6"/>
        <v>248.3158813263525</v>
      </c>
      <c r="I125" s="29">
        <f t="shared" si="7"/>
        <v>0.24715459177729138</v>
      </c>
      <c r="J125" s="51">
        <v>0.39600000000000002</v>
      </c>
      <c r="K125" s="76">
        <v>-4.1162000000000001</v>
      </c>
      <c r="L125" s="82">
        <v>800.4</v>
      </c>
      <c r="M125" s="85">
        <v>7.0000000000000001E-3</v>
      </c>
      <c r="N125" s="4">
        <v>-7.8805000000000002E-6</v>
      </c>
      <c r="O125" s="96">
        <v>0.22900000000000001</v>
      </c>
      <c r="P125" s="97">
        <v>0.247</v>
      </c>
      <c r="Q125" s="98">
        <v>0.28570000000000001</v>
      </c>
      <c r="R125" s="112">
        <v>42.914900000000003</v>
      </c>
      <c r="S125" s="118">
        <v>-3785</v>
      </c>
      <c r="T125" s="125">
        <v>-12.0433</v>
      </c>
      <c r="U125" s="5">
        <v>3.8562E-9</v>
      </c>
      <c r="V125" s="6">
        <v>3.0975E-6</v>
      </c>
      <c r="W125" s="139">
        <v>291.02100000000002</v>
      </c>
      <c r="X125" s="7">
        <v>-0.35797000000000001</v>
      </c>
      <c r="Y125" s="8">
        <v>1.1211000000000001E-3</v>
      </c>
      <c r="Z125" s="30">
        <v>0</v>
      </c>
      <c r="AA125" s="141">
        <v>0.16639999999999999</v>
      </c>
      <c r="AB125" s="9">
        <v>-6.6099999999999994E-5</v>
      </c>
      <c r="AC125" s="10">
        <v>-2.5503999999999999E-7</v>
      </c>
      <c r="AD125" s="146">
        <v>58.901000000000003</v>
      </c>
      <c r="AE125" s="147">
        <v>0.38</v>
      </c>
      <c r="AF125" s="150">
        <v>47.624000000000002</v>
      </c>
      <c r="AG125" s="152">
        <v>1.2222</v>
      </c>
    </row>
    <row r="126" spans="1:33" x14ac:dyDescent="0.2">
      <c r="A126" s="27">
        <v>10</v>
      </c>
      <c r="B126" s="69">
        <v>8.3205915375000004</v>
      </c>
      <c r="C126" s="28">
        <f t="shared" si="9"/>
        <v>0.56724533727380311</v>
      </c>
      <c r="D126" s="31">
        <v>142.285</v>
      </c>
      <c r="E126" s="60">
        <v>598</v>
      </c>
      <c r="F126" s="43">
        <v>21.68</v>
      </c>
      <c r="G126" s="40">
        <v>5.5900000000000004E-4</v>
      </c>
      <c r="H126" s="61">
        <f t="shared" si="6"/>
        <v>254.5348837209302</v>
      </c>
      <c r="I126" s="29">
        <f t="shared" si="7"/>
        <v>0.24375856334522183</v>
      </c>
      <c r="J126" s="51">
        <v>0.38900000000000001</v>
      </c>
      <c r="K126" s="76">
        <v>-4.5910000000000002</v>
      </c>
      <c r="L126" s="82">
        <v>868.24</v>
      </c>
      <c r="M126" s="85">
        <v>8.0999999999999996E-3</v>
      </c>
      <c r="N126" s="4">
        <v>-8.5823999999999993E-6</v>
      </c>
      <c r="O126" s="96">
        <v>0.22750000000000001</v>
      </c>
      <c r="P126" s="97">
        <v>0.24399999999999999</v>
      </c>
      <c r="Q126" s="98">
        <v>0.28570000000000001</v>
      </c>
      <c r="R126" s="113" t="str" cm="1">
        <f t="array" ref="R126">LEFT(INDEX($R$60:$R$133, MATCH(MIN(IF(ABS($B$60:$B$133-B126)&lt;&gt;0, ABS($B$60:$B$133-B126))), IF(ABS($B$60:$B$133-B126)&lt;&gt;0, ABS($B$60:$B$133-B126)), 0)),7)</f>
        <v>44.5087</v>
      </c>
      <c r="S126" s="119" cm="1">
        <f t="array" ref="S126">INDEX($S$60:$S$133, MATCH(MIN(IF(ABS($B$60:$B$133-B126)&lt;&gt;0, ABS($B$60:$B$133-B126))), IF(ABS($B$60:$B$133-B126)&lt;&gt;0, ABS($B$60:$B$133-B126)), 0))</f>
        <v>-3822.2</v>
      </c>
      <c r="T126" s="126" cm="1">
        <f t="array" ref="T126">INDEX($T$60:$T$133, MATCH(MIN(IF(ABS($B$60:$B$133-B126)&lt;&gt;0, ABS($B$60:$B$133-B126))), IF(ABS($B$60:$B$133-B126)&lt;&gt;0, ABS($B$60:$B$133-B126)), 0))</f>
        <v>-12.627700000000001</v>
      </c>
      <c r="U126" s="37" cm="1">
        <f t="array" ref="U126">INDEX($U$60:$U$133, MATCH(MIN(IF(ABS($B$60:$B$133-B126)&lt;&gt;0, ABS($B$60:$B$133-B126))), IF(ABS($B$60:$B$133-B126)&lt;&gt;0, ABS($B$60:$B$133-B126)), 0))</f>
        <v>3.8220000000000002E-9</v>
      </c>
      <c r="V126" s="38" cm="1">
        <f t="array" ref="V126">INDEX($V$60:$V$133, MATCH(MIN(IF(ABS($B$60:$B$133-B126)&lt;&gt;0, ABS($B$60:$B$133-B126))), IF(ABS($B$60:$B$133-B126)&lt;&gt;0, ABS($B$60:$B$133-B126)), 0))</f>
        <v>3.2899999999999998E-6</v>
      </c>
      <c r="W126" s="139">
        <v>293.49700000000001</v>
      </c>
      <c r="X126" s="7">
        <v>-0.35887000000000002</v>
      </c>
      <c r="Y126" s="8">
        <v>1.1225E-3</v>
      </c>
      <c r="Z126" s="30">
        <v>0</v>
      </c>
      <c r="AA126" s="141">
        <v>0.16600000000000001</v>
      </c>
      <c r="AB126" s="9">
        <v>-6.6422999999999997E-5</v>
      </c>
      <c r="AC126" s="10">
        <v>-2.4896999999999999E-7</v>
      </c>
      <c r="AD126" s="146">
        <v>58.587000000000003</v>
      </c>
      <c r="AE126" s="147">
        <v>0.38</v>
      </c>
      <c r="AF126" s="150">
        <v>48.012999999999998</v>
      </c>
      <c r="AG126" s="152">
        <v>1.2222</v>
      </c>
    </row>
    <row r="127" spans="1:33" x14ac:dyDescent="0.2">
      <c r="A127" s="27">
        <v>10</v>
      </c>
      <c r="B127" s="69">
        <v>7.8328935299999998</v>
      </c>
      <c r="C127" s="28">
        <f t="shared" si="9"/>
        <v>0.52822715781487539</v>
      </c>
      <c r="D127" s="31">
        <v>142.285</v>
      </c>
      <c r="E127" s="60">
        <v>611.70000000000005</v>
      </c>
      <c r="F127" s="43">
        <v>22.7</v>
      </c>
      <c r="G127" s="40">
        <v>5.4600000000000004E-4</v>
      </c>
      <c r="H127" s="61">
        <f t="shared" si="6"/>
        <v>260.59523809523807</v>
      </c>
      <c r="I127" s="29">
        <f t="shared" si="7"/>
        <v>0.24370811985621257</v>
      </c>
      <c r="J127" s="51">
        <v>0.378</v>
      </c>
      <c r="K127" s="76">
        <v>-5.6669999999999998</v>
      </c>
      <c r="L127" s="82">
        <v>1028.2</v>
      </c>
      <c r="M127" s="85">
        <v>1.04E-2</v>
      </c>
      <c r="N127" s="4">
        <v>-1.0049E-5</v>
      </c>
      <c r="O127" s="96">
        <v>0.23019999999999999</v>
      </c>
      <c r="P127" s="97">
        <v>0.24399999999999999</v>
      </c>
      <c r="Q127" s="98">
        <v>0.28570000000000001</v>
      </c>
      <c r="R127" s="113" t="str" cm="1">
        <f t="array" ref="R127">LEFT(INDEX($R$60:$R$133, MATCH(MIN(IF(ABS($B$60:$B$133-B127)&lt;&gt;0, ABS($B$60:$B$133-B127))), IF(ABS($B$60:$B$133-B127)&lt;&gt;0, ABS($B$60:$B$133-B127)), 0)),7)</f>
        <v>44.1493</v>
      </c>
      <c r="S127" s="119" cm="1">
        <f t="array" ref="S127">INDEX($S$60:$S$133, MATCH(MIN(IF(ABS($B$60:$B$133-B127)&lt;&gt;0, ABS($B$60:$B$133-B127))), IF(ABS($B$60:$B$133-B127)&lt;&gt;0, ABS($B$60:$B$133-B127)), 0))</f>
        <v>-3843.6</v>
      </c>
      <c r="T127" s="126" cm="1">
        <f t="array" ref="T127">INDEX($T$60:$T$133, MATCH(MIN(IF(ABS($B$60:$B$133-B127)&lt;&gt;0, ABS($B$60:$B$133-B127))), IF(ABS($B$60:$B$133-B127)&lt;&gt;0, ABS($B$60:$B$133-B127)), 0))</f>
        <v>-12.482100000000001</v>
      </c>
      <c r="U127" s="37" cm="1">
        <f t="array" ref="U127">INDEX($U$60:$U$133, MATCH(MIN(IF(ABS($B$60:$B$133-B127)&lt;&gt;0, ABS($B$60:$B$133-B127))), IF(ABS($B$60:$B$133-B127)&lt;&gt;0, ABS($B$60:$B$133-B127)), 0))</f>
        <v>2.4860999999999999E-9</v>
      </c>
      <c r="V127" s="38" cm="1">
        <f t="array" ref="V127">INDEX($V$60:$V$133, MATCH(MIN(IF(ABS($B$60:$B$133-B127)&lt;&gt;0, ABS($B$60:$B$133-B127))), IF(ABS($B$60:$B$133-B127)&lt;&gt;0, ABS($B$60:$B$133-B127)), 0))</f>
        <v>3.1653E-6</v>
      </c>
      <c r="W127" s="139">
        <v>301.50599999999997</v>
      </c>
      <c r="X127" s="7">
        <v>-0.34804000000000002</v>
      </c>
      <c r="Y127" s="8">
        <v>1.0938E-3</v>
      </c>
      <c r="Z127" s="30">
        <v>0</v>
      </c>
      <c r="AA127" s="141">
        <v>0.16520000000000001</v>
      </c>
      <c r="AB127" s="9">
        <v>-6.6832E-5</v>
      </c>
      <c r="AC127" s="10">
        <v>-2.3369E-7</v>
      </c>
      <c r="AD127" s="146">
        <v>58.957000000000001</v>
      </c>
      <c r="AE127" s="147">
        <v>0.38</v>
      </c>
      <c r="AF127" s="150">
        <v>49.408000000000001</v>
      </c>
      <c r="AG127" s="152">
        <v>1.2222</v>
      </c>
    </row>
    <row r="128" spans="1:33" x14ac:dyDescent="0.2">
      <c r="A128" s="27">
        <v>10</v>
      </c>
      <c r="B128" s="69">
        <v>7.90985286</v>
      </c>
      <c r="C128" s="28">
        <f t="shared" si="9"/>
        <v>0.53438427328961691</v>
      </c>
      <c r="D128" s="31">
        <v>142.285</v>
      </c>
      <c r="E128" s="60">
        <v>602.9</v>
      </c>
      <c r="F128" s="43">
        <v>22.19</v>
      </c>
      <c r="G128" s="40">
        <v>5.5000000000000003E-4</v>
      </c>
      <c r="H128" s="61">
        <f t="shared" si="6"/>
        <v>258.7</v>
      </c>
      <c r="I128" s="29">
        <f t="shared" si="7"/>
        <v>0.24348078186607724</v>
      </c>
      <c r="J128" s="51">
        <v>0.38300000000000001</v>
      </c>
      <c r="K128" s="76">
        <v>-5.1268000000000002</v>
      </c>
      <c r="L128" s="82">
        <v>944.46</v>
      </c>
      <c r="M128" s="85">
        <v>9.2999999999999992E-3</v>
      </c>
      <c r="N128" s="4">
        <v>-9.3829999999999998E-6</v>
      </c>
      <c r="O128" s="96">
        <v>0.2298</v>
      </c>
      <c r="P128" s="97">
        <v>0.24299999999999999</v>
      </c>
      <c r="Q128" s="98">
        <v>0.28570000000000001</v>
      </c>
      <c r="R128" s="112">
        <v>44.149299999999997</v>
      </c>
      <c r="S128" s="118">
        <v>-3843.6</v>
      </c>
      <c r="T128" s="125">
        <v>-12.482100000000001</v>
      </c>
      <c r="U128" s="5">
        <v>2.4860999999999999E-9</v>
      </c>
      <c r="V128" s="6">
        <v>3.1653E-6</v>
      </c>
      <c r="W128" s="139">
        <v>295.89299999999997</v>
      </c>
      <c r="X128" s="7">
        <v>-0.35598999999999997</v>
      </c>
      <c r="Y128" s="8">
        <v>1.1144E-3</v>
      </c>
      <c r="Z128" s="30">
        <v>0</v>
      </c>
      <c r="AA128" s="141">
        <v>0.16550000000000001</v>
      </c>
      <c r="AB128" s="9">
        <v>-6.6723999999999993E-5</v>
      </c>
      <c r="AC128" s="10">
        <v>-2.4277E-7</v>
      </c>
      <c r="AD128" s="146">
        <v>58.6</v>
      </c>
      <c r="AE128" s="147">
        <v>0.38</v>
      </c>
      <c r="AF128" s="150">
        <v>48.648000000000003</v>
      </c>
      <c r="AG128" s="152">
        <v>1.2222</v>
      </c>
    </row>
    <row r="129" spans="1:33" x14ac:dyDescent="0.2">
      <c r="A129" s="27">
        <v>10</v>
      </c>
      <c r="B129" s="69">
        <v>8.3199022874999997</v>
      </c>
      <c r="C129" s="28">
        <f t="shared" si="9"/>
        <v>0.5671901939683589</v>
      </c>
      <c r="D129" s="31">
        <v>142.285</v>
      </c>
      <c r="E129" s="60">
        <v>594.5</v>
      </c>
      <c r="F129" s="43">
        <v>21.68</v>
      </c>
      <c r="G129" s="40">
        <v>5.5199999999999997E-4</v>
      </c>
      <c r="H129" s="61">
        <f t="shared" si="6"/>
        <v>257.76268115942031</v>
      </c>
      <c r="I129" s="29">
        <f t="shared" si="7"/>
        <v>0.24212323979352871</v>
      </c>
      <c r="J129" s="51">
        <v>0.38900000000000001</v>
      </c>
      <c r="K129" s="76">
        <v>-4.4819000000000004</v>
      </c>
      <c r="L129" s="82">
        <v>847.98</v>
      </c>
      <c r="M129" s="85">
        <v>7.9000000000000008E-3</v>
      </c>
      <c r="N129" s="4">
        <v>-8.5021999999999997E-6</v>
      </c>
      <c r="O129" s="96">
        <v>0.22620000000000001</v>
      </c>
      <c r="P129" s="97">
        <v>0.24199999999999999</v>
      </c>
      <c r="Q129" s="98">
        <v>0.28570000000000001</v>
      </c>
      <c r="R129" s="112">
        <v>44.508699999999997</v>
      </c>
      <c r="S129" s="118">
        <v>-3822.2</v>
      </c>
      <c r="T129" s="125">
        <v>-12.627700000000001</v>
      </c>
      <c r="U129" s="5">
        <v>3.8220000000000002E-9</v>
      </c>
      <c r="V129" s="6">
        <v>3.2899999999999998E-6</v>
      </c>
      <c r="W129" s="139">
        <v>290.745</v>
      </c>
      <c r="X129" s="7">
        <v>-0.36419000000000001</v>
      </c>
      <c r="Y129" s="8">
        <v>1.1355E-3</v>
      </c>
      <c r="Z129" s="30">
        <v>0</v>
      </c>
      <c r="AA129" s="141">
        <v>0.16589999999999999</v>
      </c>
      <c r="AB129" s="9">
        <v>-6.6530000000000002E-5</v>
      </c>
      <c r="AC129" s="10">
        <v>-2.5206E-7</v>
      </c>
      <c r="AD129" s="146">
        <v>58.183</v>
      </c>
      <c r="AE129" s="147">
        <v>0.38</v>
      </c>
      <c r="AF129" s="150">
        <v>48.012999999999998</v>
      </c>
      <c r="AG129" s="152">
        <v>1.2222</v>
      </c>
    </row>
    <row r="130" spans="1:33" x14ac:dyDescent="0.2">
      <c r="A130" s="27">
        <v>10</v>
      </c>
      <c r="B130" s="69">
        <v>5.2257262212500004</v>
      </c>
      <c r="C130" s="28">
        <f t="shared" si="9"/>
        <v>0.31964126989271291</v>
      </c>
      <c r="D130" s="31">
        <v>142.285</v>
      </c>
      <c r="E130" s="47">
        <v>639.9</v>
      </c>
      <c r="F130" s="44">
        <v>25.33</v>
      </c>
      <c r="G130" s="11">
        <v>5.0100000000000003E-4</v>
      </c>
      <c r="H130" s="61">
        <f t="shared" si="6"/>
        <v>284.00199600798402</v>
      </c>
      <c r="I130" s="29">
        <f t="shared" si="7"/>
        <v>0.2385342715211809</v>
      </c>
      <c r="J130" s="52">
        <v>0.34599999999999997</v>
      </c>
      <c r="K130" s="75">
        <v>-7.1285999999999996</v>
      </c>
      <c r="L130" s="81">
        <v>1257.5</v>
      </c>
      <c r="M130" s="13">
        <v>1.34E-2</v>
      </c>
      <c r="N130" s="12">
        <v>-1.1598E-5</v>
      </c>
      <c r="O130" s="93">
        <v>0.2344</v>
      </c>
      <c r="P130" s="94">
        <v>0.23899999999999999</v>
      </c>
      <c r="Q130" s="95">
        <v>0.28570000000000001</v>
      </c>
      <c r="R130" s="111">
        <v>72.716999999999999</v>
      </c>
      <c r="S130" s="118">
        <v>-4574.8999999999996</v>
      </c>
      <c r="T130" s="125">
        <v>-24.526</v>
      </c>
      <c r="U130" s="5">
        <v>1.3099E-2</v>
      </c>
      <c r="V130" s="6">
        <v>-2.0729999999999999E-6</v>
      </c>
      <c r="W130" s="138">
        <v>302.41800000000001</v>
      </c>
      <c r="X130" s="13">
        <v>-0.26251999999999998</v>
      </c>
      <c r="Y130" s="14">
        <v>9.6849999999999996E-4</v>
      </c>
      <c r="Z130" s="30">
        <v>0</v>
      </c>
      <c r="AA130" s="77">
        <v>0.1651</v>
      </c>
      <c r="AB130" s="5">
        <v>-7.5763E-5</v>
      </c>
      <c r="AC130" s="15">
        <v>-1.9644E-7</v>
      </c>
      <c r="AD130" s="146">
        <v>58.718000000000004</v>
      </c>
      <c r="AE130" s="147">
        <v>0.38</v>
      </c>
      <c r="AF130" s="150">
        <v>52.436</v>
      </c>
      <c r="AG130" s="152">
        <v>1.2222</v>
      </c>
    </row>
    <row r="131" spans="1:33" x14ac:dyDescent="0.2">
      <c r="A131" s="27">
        <v>10</v>
      </c>
      <c r="B131" s="69">
        <v>3.1066742774999998</v>
      </c>
      <c r="C131" s="28">
        <f t="shared" si="9"/>
        <v>0.15010695203100419</v>
      </c>
      <c r="D131" s="31">
        <v>142.285</v>
      </c>
      <c r="E131" s="47">
        <v>627.79999999999995</v>
      </c>
      <c r="F131" s="44">
        <v>24.12</v>
      </c>
      <c r="G131" s="11">
        <v>5.1000000000000004E-4</v>
      </c>
      <c r="H131" s="61">
        <f t="shared" ref="H131:H194" si="10">1/LEFT(G131,8)*D131/1000</f>
        <v>278.99019607843138</v>
      </c>
      <c r="I131" s="29">
        <f t="shared" ref="I131:I194" si="11">LEFT(F131,5)*100000/(H131*8.314/(D131/1000)*E131)</f>
        <v>0.23567642844109385</v>
      </c>
      <c r="J131" s="52">
        <v>0.377</v>
      </c>
      <c r="K131" s="75">
        <v>-6.2685000000000004</v>
      </c>
      <c r="L131" s="81">
        <v>1045.3</v>
      </c>
      <c r="M131" s="13">
        <v>1.24E-2</v>
      </c>
      <c r="N131" s="12">
        <v>-1.1584E-5</v>
      </c>
      <c r="O131" s="93">
        <v>0.2278</v>
      </c>
      <c r="P131" s="94">
        <v>0.23599999999999999</v>
      </c>
      <c r="Q131" s="95">
        <v>0.28570000000000001</v>
      </c>
      <c r="R131" s="111">
        <v>72.481999999999999</v>
      </c>
      <c r="S131" s="118">
        <v>-4600.8</v>
      </c>
      <c r="T131" s="125">
        <v>-24.312000000000001</v>
      </c>
      <c r="U131" s="5">
        <v>1.2371999999999999E-2</v>
      </c>
      <c r="V131" s="6">
        <v>-1.6299000000000001E-6</v>
      </c>
      <c r="W131" s="138">
        <v>313.202</v>
      </c>
      <c r="X131" s="13">
        <v>-0.35199999999999998</v>
      </c>
      <c r="Y131" s="14">
        <v>1.1021E-3</v>
      </c>
      <c r="Z131" s="30">
        <v>0</v>
      </c>
      <c r="AA131" s="77">
        <v>0.1646</v>
      </c>
      <c r="AB131" s="5">
        <v>-6.6897999999999995E-5</v>
      </c>
      <c r="AC131" s="15">
        <v>-2.1829999999999999E-7</v>
      </c>
      <c r="AD131" s="146">
        <v>59.435000000000002</v>
      </c>
      <c r="AE131" s="147">
        <v>0.38</v>
      </c>
      <c r="AF131" s="150">
        <v>51.841999999999999</v>
      </c>
      <c r="AG131" s="152">
        <v>1.2222</v>
      </c>
    </row>
    <row r="132" spans="1:33" x14ac:dyDescent="0.2">
      <c r="A132" s="27">
        <v>10</v>
      </c>
      <c r="B132" s="69">
        <v>2.1640095425000001</v>
      </c>
      <c r="C132" s="28">
        <f t="shared" si="9"/>
        <v>7.468925248292374E-2</v>
      </c>
      <c r="D132" s="31">
        <v>142.285</v>
      </c>
      <c r="E132" s="47">
        <v>618.79999999999995</v>
      </c>
      <c r="F132" s="44">
        <v>23.3</v>
      </c>
      <c r="G132" s="11">
        <v>5.1900000000000004E-4</v>
      </c>
      <c r="H132" s="61">
        <f t="shared" si="10"/>
        <v>274.15221579961462</v>
      </c>
      <c r="I132" s="29">
        <f t="shared" si="11"/>
        <v>0.23505146030581514</v>
      </c>
      <c r="J132" s="52">
        <v>0.40300000000000002</v>
      </c>
      <c r="K132" s="75">
        <v>-6.0781999999999998</v>
      </c>
      <c r="L132" s="81">
        <v>1009.1</v>
      </c>
      <c r="M132" s="13">
        <v>1.2200000000000001E-2</v>
      </c>
      <c r="N132" s="12">
        <v>-1.1674E-5</v>
      </c>
      <c r="O132" s="93">
        <v>0.22500000000000001</v>
      </c>
      <c r="P132" s="94">
        <v>0.23499999999999999</v>
      </c>
      <c r="Q132" s="95">
        <v>0.28570000000000001</v>
      </c>
      <c r="R132" s="111">
        <v>89.698999999999998</v>
      </c>
      <c r="S132" s="118">
        <v>-5084.6000000000004</v>
      </c>
      <c r="T132" s="125">
        <v>-31.27</v>
      </c>
      <c r="U132" s="5">
        <v>1.8467999999999998E-2</v>
      </c>
      <c r="V132" s="6">
        <v>-3.5895000000000001E-6</v>
      </c>
      <c r="W132" s="138">
        <v>310.90300000000002</v>
      </c>
      <c r="X132" s="13">
        <v>-0.36513000000000001</v>
      </c>
      <c r="Y132" s="14">
        <v>1.1362E-3</v>
      </c>
      <c r="Z132" s="30">
        <v>0</v>
      </c>
      <c r="AA132" s="77">
        <v>0.16589999999999999</v>
      </c>
      <c r="AB132" s="5">
        <v>-6.6210999999999993E-5</v>
      </c>
      <c r="AC132" s="15">
        <v>-2.2963E-7</v>
      </c>
      <c r="AD132" s="146">
        <v>59.982999999999997</v>
      </c>
      <c r="AE132" s="147">
        <v>0.38</v>
      </c>
      <c r="AF132" s="150">
        <v>51.503999999999998</v>
      </c>
      <c r="AG132" s="152">
        <v>1.2222</v>
      </c>
    </row>
    <row r="133" spans="1:33" x14ac:dyDescent="0.2">
      <c r="A133" s="27">
        <v>10</v>
      </c>
      <c r="B133" s="69">
        <v>8.1518337037500004</v>
      </c>
      <c r="C133" s="28">
        <f t="shared" si="9"/>
        <v>0.55374390125992445</v>
      </c>
      <c r="D133" s="31">
        <v>142.285</v>
      </c>
      <c r="E133" s="47">
        <v>614.4</v>
      </c>
      <c r="F133" s="44">
        <v>23.41</v>
      </c>
      <c r="G133" s="11">
        <v>5.2099999999999998E-4</v>
      </c>
      <c r="H133" s="61">
        <f t="shared" si="10"/>
        <v>273.09980806142033</v>
      </c>
      <c r="I133" s="29">
        <f t="shared" si="11"/>
        <v>0.23876898310329969</v>
      </c>
      <c r="J133" s="52">
        <v>0.36499999999999999</v>
      </c>
      <c r="K133" s="75">
        <v>-6.0923999999999996</v>
      </c>
      <c r="L133" s="81">
        <v>1085.4000000000001</v>
      </c>
      <c r="M133" s="13">
        <v>1.14E-2</v>
      </c>
      <c r="N133" s="12">
        <v>-1.0682E-5</v>
      </c>
      <c r="O133" s="93">
        <v>0.23089999999999999</v>
      </c>
      <c r="P133" s="94">
        <v>0.23899999999999999</v>
      </c>
      <c r="Q133" s="95">
        <v>0.28570000000000001</v>
      </c>
      <c r="R133" s="111">
        <v>86.980999999999995</v>
      </c>
      <c r="S133" s="118">
        <v>-4869.2</v>
      </c>
      <c r="T133" s="125">
        <v>-30.382999999999999</v>
      </c>
      <c r="U133" s="5">
        <v>1.8436999999999999E-2</v>
      </c>
      <c r="V133" s="6">
        <v>-3.7506999999999999E-6</v>
      </c>
      <c r="W133" s="138">
        <v>286.505</v>
      </c>
      <c r="X133" s="13">
        <v>-0.27594999999999997</v>
      </c>
      <c r="Y133" s="14">
        <v>1.0077E-3</v>
      </c>
      <c r="Z133" s="30">
        <v>0</v>
      </c>
      <c r="AA133" s="77">
        <v>0.1666</v>
      </c>
      <c r="AB133" s="5">
        <v>-7.6778000000000002E-5</v>
      </c>
      <c r="AC133" s="15">
        <v>-2.1895000000000001E-7</v>
      </c>
      <c r="AD133" s="146">
        <v>57.466000000000001</v>
      </c>
      <c r="AE133" s="147">
        <v>0.38</v>
      </c>
      <c r="AF133" s="150">
        <v>49.923000000000002</v>
      </c>
      <c r="AG133" s="152">
        <v>1.2222</v>
      </c>
    </row>
    <row r="134" spans="1:33" x14ac:dyDescent="0.2">
      <c r="A134" s="27">
        <v>11</v>
      </c>
      <c r="B134" s="69">
        <v>2.1497820249999999</v>
      </c>
      <c r="C134" s="28">
        <f t="shared" ref="C134:C165" si="12">(B134-MIN($B$134:$B$291))/(MAX($B$134:$B$291)-MIN($B$134:$B$291))</f>
        <v>6.0983337058676819E-2</v>
      </c>
      <c r="D134" s="31">
        <v>156.31200000000001</v>
      </c>
      <c r="E134" s="47">
        <v>622.87</v>
      </c>
      <c r="F134" s="44">
        <v>19.61</v>
      </c>
      <c r="G134" s="11">
        <v>6.3949999999999999E-4</v>
      </c>
      <c r="H134" s="61">
        <f t="shared" si="10"/>
        <v>244.61971830985917</v>
      </c>
      <c r="I134" s="29">
        <f t="shared" si="11"/>
        <v>0.24197528926476547</v>
      </c>
      <c r="J134" s="52">
        <v>0.47799999999999998</v>
      </c>
      <c r="K134" s="75">
        <v>-5.0206</v>
      </c>
      <c r="L134" s="81">
        <v>894.52</v>
      </c>
      <c r="M134" s="13">
        <v>9.5999999999999992E-3</v>
      </c>
      <c r="N134" s="12">
        <v>-9.8429000000000002E-6</v>
      </c>
      <c r="O134" s="93">
        <v>0.24440000000000001</v>
      </c>
      <c r="P134" s="94">
        <v>0.2545</v>
      </c>
      <c r="Q134" s="95">
        <v>0.28570000000000001</v>
      </c>
      <c r="R134" s="111">
        <v>25</v>
      </c>
      <c r="S134" s="118">
        <v>-3403.7</v>
      </c>
      <c r="T134" s="125">
        <v>-5.4996</v>
      </c>
      <c r="U134" s="14">
        <v>0</v>
      </c>
      <c r="V134" s="30">
        <v>0</v>
      </c>
      <c r="W134" s="138">
        <v>205.096</v>
      </c>
      <c r="X134" s="13">
        <v>0.89522999999999997</v>
      </c>
      <c r="Y134" s="14">
        <v>-2.4648000000000001E-3</v>
      </c>
      <c r="Z134" s="30">
        <v>3.3133999999999999E-6</v>
      </c>
      <c r="AA134" s="77">
        <v>0.16639999999999999</v>
      </c>
      <c r="AB134" s="5">
        <v>-7.1649999999999993E-5</v>
      </c>
      <c r="AC134" s="15">
        <v>-2.1962E-7</v>
      </c>
      <c r="AD134" s="146">
        <v>65.009</v>
      </c>
      <c r="AE134" s="147">
        <v>0.38</v>
      </c>
      <c r="AF134" s="150">
        <v>52.524000000000001</v>
      </c>
      <c r="AG134" s="152">
        <v>1.2222</v>
      </c>
    </row>
    <row r="135" spans="1:33" x14ac:dyDescent="0.2">
      <c r="A135" s="27">
        <v>11</v>
      </c>
      <c r="B135" s="69">
        <v>3.0853112949999999</v>
      </c>
      <c r="C135" s="28">
        <f t="shared" si="12"/>
        <v>0.12261640883582223</v>
      </c>
      <c r="D135" s="31">
        <v>156.31200000000001</v>
      </c>
      <c r="E135" s="47">
        <v>636.16</v>
      </c>
      <c r="F135" s="44">
        <v>19.670000000000002</v>
      </c>
      <c r="G135" s="11">
        <v>6.4050000000000001E-4</v>
      </c>
      <c r="H135" s="61">
        <f t="shared" si="10"/>
        <v>244.23749999999998</v>
      </c>
      <c r="I135" s="29">
        <f t="shared" si="11"/>
        <v>0.23801698814489053</v>
      </c>
      <c r="J135" s="52">
        <v>0.44800000000000001</v>
      </c>
      <c r="K135" s="75">
        <v>-4.7797000000000001</v>
      </c>
      <c r="L135" s="81">
        <v>883.16</v>
      </c>
      <c r="M135" s="13">
        <v>8.8000000000000005E-3</v>
      </c>
      <c r="N135" s="12">
        <v>-8.867E-6</v>
      </c>
      <c r="O135" s="93">
        <v>0.24410000000000001</v>
      </c>
      <c r="P135" s="94">
        <v>0.25380000000000003</v>
      </c>
      <c r="Q135" s="95">
        <v>0.28570000000000001</v>
      </c>
      <c r="R135" s="111">
        <v>24.38</v>
      </c>
      <c r="S135" s="118">
        <v>-3383.1</v>
      </c>
      <c r="T135" s="125">
        <v>-5.3121999999999998</v>
      </c>
      <c r="U135" s="14">
        <v>0</v>
      </c>
      <c r="V135" s="30">
        <v>0</v>
      </c>
      <c r="W135" s="138">
        <v>195.64699999999999</v>
      </c>
      <c r="X135" s="13">
        <v>0.93035999999999996</v>
      </c>
      <c r="Y135" s="14">
        <v>-2.4683000000000001E-3</v>
      </c>
      <c r="Z135" s="30">
        <v>3.1735000000000002E-6</v>
      </c>
      <c r="AA135" s="77">
        <v>0.1628</v>
      </c>
      <c r="AB135" s="5">
        <v>-6.0878000000000002E-5</v>
      </c>
      <c r="AC135" s="15">
        <v>-2.1749E-7</v>
      </c>
      <c r="AD135" s="146">
        <v>64.998000000000005</v>
      </c>
      <c r="AE135" s="147">
        <v>0.38</v>
      </c>
      <c r="AF135" s="150">
        <v>52.436999999999998</v>
      </c>
      <c r="AG135" s="152">
        <v>1.2222</v>
      </c>
    </row>
    <row r="136" spans="1:33" x14ac:dyDescent="0.2">
      <c r="A136" s="27">
        <v>11</v>
      </c>
      <c r="B136" s="69">
        <v>3.0860727675000001</v>
      </c>
      <c r="C136" s="28">
        <f t="shared" si="12"/>
        <v>0.12266657497252562</v>
      </c>
      <c r="D136" s="31">
        <v>156.31200000000001</v>
      </c>
      <c r="E136" s="47">
        <v>627.03</v>
      </c>
      <c r="F136" s="44">
        <v>19.670000000000002</v>
      </c>
      <c r="G136" s="11">
        <v>6.4050000000000001E-4</v>
      </c>
      <c r="H136" s="61">
        <f t="shared" si="10"/>
        <v>244.23749999999998</v>
      </c>
      <c r="I136" s="29">
        <f t="shared" si="11"/>
        <v>0.24148268372845569</v>
      </c>
      <c r="J136" s="52">
        <v>0.44800000000000001</v>
      </c>
      <c r="K136" s="75">
        <v>-4.7175000000000002</v>
      </c>
      <c r="L136" s="81">
        <v>859.37</v>
      </c>
      <c r="M136" s="13">
        <v>8.8000000000000005E-3</v>
      </c>
      <c r="N136" s="12">
        <v>-9.0590999999999994E-6</v>
      </c>
      <c r="O136" s="93">
        <v>0.24410000000000001</v>
      </c>
      <c r="P136" s="94">
        <v>0.25369999999999998</v>
      </c>
      <c r="Q136" s="95">
        <v>0.28570000000000001</v>
      </c>
      <c r="R136" s="111">
        <v>24.663</v>
      </c>
      <c r="S136" s="118">
        <v>-3357.6</v>
      </c>
      <c r="T136" s="125">
        <v>-5.4123000000000001</v>
      </c>
      <c r="U136" s="14">
        <v>0</v>
      </c>
      <c r="V136" s="30">
        <v>0</v>
      </c>
      <c r="W136" s="138">
        <v>190.96</v>
      </c>
      <c r="X136" s="13">
        <v>0.96635000000000004</v>
      </c>
      <c r="Y136" s="14">
        <v>-2.5961999999999999E-3</v>
      </c>
      <c r="Z136" s="30">
        <v>3.3515E-6</v>
      </c>
      <c r="AA136" s="77">
        <v>0.16259999999999999</v>
      </c>
      <c r="AB136" s="5">
        <v>-6.1185000000000005E-5</v>
      </c>
      <c r="AC136" s="15">
        <v>-2.2415000000000001E-7</v>
      </c>
      <c r="AD136" s="146">
        <v>64.022000000000006</v>
      </c>
      <c r="AE136" s="147">
        <v>0.38</v>
      </c>
      <c r="AF136" s="150">
        <v>52.171999999999997</v>
      </c>
      <c r="AG136" s="152">
        <v>1.2222</v>
      </c>
    </row>
    <row r="137" spans="1:33" x14ac:dyDescent="0.2">
      <c r="A137" s="27">
        <v>11</v>
      </c>
      <c r="B137" s="69">
        <v>2.4513768162499998</v>
      </c>
      <c r="C137" s="28">
        <f t="shared" si="12"/>
        <v>8.0852531976249448E-2</v>
      </c>
      <c r="D137" s="31">
        <v>156.31200000000001</v>
      </c>
      <c r="E137" s="47">
        <v>621.49</v>
      </c>
      <c r="F137" s="44">
        <v>19.61</v>
      </c>
      <c r="G137" s="11">
        <v>6.3949999999999999E-4</v>
      </c>
      <c r="H137" s="61">
        <f t="shared" si="10"/>
        <v>244.61971830985917</v>
      </c>
      <c r="I137" s="29">
        <f t="shared" si="11"/>
        <v>0.24251258817413709</v>
      </c>
      <c r="J137" s="52">
        <v>0.47799999999999998</v>
      </c>
      <c r="K137" s="75">
        <v>-5.0110000000000001</v>
      </c>
      <c r="L137" s="81">
        <v>890.81</v>
      </c>
      <c r="M137" s="13">
        <v>9.5999999999999992E-3</v>
      </c>
      <c r="N137" s="12">
        <v>-9.8761000000000002E-6</v>
      </c>
      <c r="O137" s="93">
        <v>0.24440000000000001</v>
      </c>
      <c r="P137" s="94">
        <v>0.25690000000000002</v>
      </c>
      <c r="Q137" s="95">
        <v>0.28570000000000001</v>
      </c>
      <c r="R137" s="111">
        <v>25.045000000000002</v>
      </c>
      <c r="S137" s="118">
        <v>-3399.8</v>
      </c>
      <c r="T137" s="125">
        <v>-5.5153999999999996</v>
      </c>
      <c r="U137" s="14">
        <v>0</v>
      </c>
      <c r="V137" s="30">
        <v>0</v>
      </c>
      <c r="W137" s="138">
        <v>205.607</v>
      </c>
      <c r="X137" s="13">
        <v>0.89124999999999999</v>
      </c>
      <c r="Y137" s="14">
        <v>-2.4556999999999999E-3</v>
      </c>
      <c r="Z137" s="30">
        <v>3.3044999999999999E-6</v>
      </c>
      <c r="AA137" s="77">
        <v>0.1663</v>
      </c>
      <c r="AB137" s="5">
        <v>-7.1748999999999994E-5</v>
      </c>
      <c r="AC137" s="15">
        <v>-2.206E-7</v>
      </c>
      <c r="AD137" s="146">
        <v>64.858999999999995</v>
      </c>
      <c r="AE137" s="147">
        <v>0.38</v>
      </c>
      <c r="AF137" s="150">
        <v>52.482999999999997</v>
      </c>
      <c r="AG137" s="152">
        <v>1.2222</v>
      </c>
    </row>
    <row r="138" spans="1:33" x14ac:dyDescent="0.2">
      <c r="A138" s="27">
        <v>11</v>
      </c>
      <c r="B138" s="69">
        <v>7.3052590500000001</v>
      </c>
      <c r="C138" s="28">
        <f t="shared" si="12"/>
        <v>0.400628386889399</v>
      </c>
      <c r="D138" s="31">
        <v>156.31200000000001</v>
      </c>
      <c r="E138" s="47">
        <v>647.25</v>
      </c>
      <c r="F138" s="44">
        <v>18.34</v>
      </c>
      <c r="G138" s="11">
        <v>6.845E-4</v>
      </c>
      <c r="H138" s="61">
        <f t="shared" si="10"/>
        <v>228.52631578947367</v>
      </c>
      <c r="I138" s="29">
        <f t="shared" si="11"/>
        <v>0.23311668238331473</v>
      </c>
      <c r="J138" s="52">
        <v>0.432</v>
      </c>
      <c r="K138" s="75">
        <v>-5.0728</v>
      </c>
      <c r="L138" s="81">
        <v>1017.7</v>
      </c>
      <c r="M138" s="13">
        <v>8.3999999999999995E-3</v>
      </c>
      <c r="N138" s="12">
        <v>-7.9371000000000006E-6</v>
      </c>
      <c r="O138" s="93">
        <v>0.2487</v>
      </c>
      <c r="P138" s="94">
        <v>0.25030000000000002</v>
      </c>
      <c r="Q138" s="95">
        <v>0.28570000000000001</v>
      </c>
      <c r="R138" s="111">
        <v>23.701000000000001</v>
      </c>
      <c r="S138" s="118">
        <v>-3304.2</v>
      </c>
      <c r="T138" s="125">
        <v>-5.1300999999999997</v>
      </c>
      <c r="U138" s="14">
        <v>0</v>
      </c>
      <c r="V138" s="30">
        <v>0</v>
      </c>
      <c r="W138" s="138">
        <v>210.49600000000001</v>
      </c>
      <c r="X138" s="13">
        <v>0.75405999999999995</v>
      </c>
      <c r="Y138" s="14">
        <v>-1.9784999999999998E-3</v>
      </c>
      <c r="Z138" s="30">
        <v>2.6753E-6</v>
      </c>
      <c r="AA138" s="77">
        <v>0.16320000000000001</v>
      </c>
      <c r="AB138" s="5">
        <v>-7.0915999999999997E-5</v>
      </c>
      <c r="AC138" s="15">
        <v>-1.9488000000000001E-7</v>
      </c>
      <c r="AD138" s="146">
        <v>63.37</v>
      </c>
      <c r="AE138" s="147">
        <v>0.38</v>
      </c>
      <c r="AF138" s="150">
        <v>52.046999999999997</v>
      </c>
      <c r="AG138" s="152">
        <v>1.2222</v>
      </c>
    </row>
    <row r="139" spans="1:33" x14ac:dyDescent="0.2">
      <c r="A139" s="27">
        <v>11</v>
      </c>
      <c r="B139" s="69">
        <v>8.6681766150000001</v>
      </c>
      <c r="C139" s="28">
        <f t="shared" si="12"/>
        <v>0.49041798386264734</v>
      </c>
      <c r="D139" s="31">
        <v>156.31200000000001</v>
      </c>
      <c r="E139" s="47">
        <v>651.51</v>
      </c>
      <c r="F139" s="44">
        <v>19.95</v>
      </c>
      <c r="G139" s="11">
        <v>6.2850000000000004E-4</v>
      </c>
      <c r="H139" s="61">
        <f t="shared" si="10"/>
        <v>248.90445859872614</v>
      </c>
      <c r="I139" s="29">
        <f t="shared" si="11"/>
        <v>0.23129776567200211</v>
      </c>
      <c r="J139" s="52">
        <v>0.39100000000000001</v>
      </c>
      <c r="K139" s="75">
        <v>-4.8253000000000004</v>
      </c>
      <c r="L139" s="81">
        <v>988.21</v>
      </c>
      <c r="M139" s="13">
        <v>7.7000000000000002E-3</v>
      </c>
      <c r="N139" s="12">
        <v>-7.3178999999999998E-6</v>
      </c>
      <c r="O139" s="93">
        <v>0.24829999999999999</v>
      </c>
      <c r="P139" s="94">
        <v>0.25009999999999999</v>
      </c>
      <c r="Q139" s="95">
        <v>0.28570000000000001</v>
      </c>
      <c r="R139" s="111">
        <v>23.388000000000002</v>
      </c>
      <c r="S139" s="118">
        <v>-3257.4</v>
      </c>
      <c r="T139" s="125">
        <v>-5.0506000000000002</v>
      </c>
      <c r="U139" s="14">
        <v>0</v>
      </c>
      <c r="V139" s="30">
        <v>0</v>
      </c>
      <c r="W139" s="138">
        <v>198.922</v>
      </c>
      <c r="X139" s="13">
        <v>0.80647000000000002</v>
      </c>
      <c r="Y139" s="14">
        <v>-2.0699E-3</v>
      </c>
      <c r="Z139" s="30">
        <v>2.6894E-6</v>
      </c>
      <c r="AA139" s="77">
        <v>0.15970000000000001</v>
      </c>
      <c r="AB139" s="5">
        <v>-6.1797999999999993E-5</v>
      </c>
      <c r="AC139" s="15">
        <v>-1.9835E-7</v>
      </c>
      <c r="AD139" s="146">
        <v>62.371000000000002</v>
      </c>
      <c r="AE139" s="147">
        <v>0.38</v>
      </c>
      <c r="AF139" s="150">
        <v>51.719000000000001</v>
      </c>
      <c r="AG139" s="152">
        <v>1.2222</v>
      </c>
    </row>
    <row r="140" spans="1:33" x14ac:dyDescent="0.2">
      <c r="A140" s="27">
        <v>11</v>
      </c>
      <c r="B140" s="69">
        <v>6.0158605649999997</v>
      </c>
      <c r="C140" s="28">
        <f t="shared" si="12"/>
        <v>0.31568225861342569</v>
      </c>
      <c r="D140" s="31">
        <v>156.31200000000001</v>
      </c>
      <c r="E140" s="47">
        <v>624.99</v>
      </c>
      <c r="F140" s="44">
        <v>19.809999999999999</v>
      </c>
      <c r="G140" s="11">
        <v>6.3449999999999997E-4</v>
      </c>
      <c r="H140" s="61">
        <f t="shared" si="10"/>
        <v>246.54889589905366</v>
      </c>
      <c r="I140" s="29">
        <f t="shared" si="11"/>
        <v>0.2417077884215596</v>
      </c>
      <c r="J140" s="52">
        <v>0.41899999999999998</v>
      </c>
      <c r="K140" s="75">
        <v>-4.9779</v>
      </c>
      <c r="L140" s="81">
        <v>972.29</v>
      </c>
      <c r="M140" s="13">
        <v>8.6E-3</v>
      </c>
      <c r="N140" s="12">
        <v>-8.4875999999999998E-6</v>
      </c>
      <c r="O140" s="93">
        <v>0.24640000000000001</v>
      </c>
      <c r="P140" s="94">
        <v>0.25490000000000002</v>
      </c>
      <c r="Q140" s="95">
        <v>0.28570000000000001</v>
      </c>
      <c r="R140" s="111">
        <v>24.55</v>
      </c>
      <c r="S140" s="118">
        <v>-3298.3</v>
      </c>
      <c r="T140" s="125">
        <v>-5.4012000000000002</v>
      </c>
      <c r="U140" s="14">
        <v>0</v>
      </c>
      <c r="V140" s="30">
        <v>0</v>
      </c>
      <c r="W140" s="138">
        <v>197.56</v>
      </c>
      <c r="X140" s="13">
        <v>0.88400999999999996</v>
      </c>
      <c r="Y140" s="14">
        <v>-2.3863000000000001E-3</v>
      </c>
      <c r="Z140" s="30">
        <v>3.1700000000000001E-6</v>
      </c>
      <c r="AA140" s="77">
        <v>0.1628</v>
      </c>
      <c r="AB140" s="5">
        <v>-6.7141E-5</v>
      </c>
      <c r="AC140" s="15">
        <v>-2.1720000000000001E-7</v>
      </c>
      <c r="AD140" s="146">
        <v>62.436</v>
      </c>
      <c r="AE140" s="147">
        <v>0.38</v>
      </c>
      <c r="AF140" s="150">
        <v>51.758000000000003</v>
      </c>
      <c r="AG140" s="152">
        <v>1.2222</v>
      </c>
    </row>
    <row r="141" spans="1:33" x14ac:dyDescent="0.2">
      <c r="A141" s="27">
        <v>11</v>
      </c>
      <c r="B141" s="69">
        <v>5.1264250699999998</v>
      </c>
      <c r="C141" s="28">
        <f t="shared" si="12"/>
        <v>0.25708586461233174</v>
      </c>
      <c r="D141" s="31">
        <v>156.31200000000001</v>
      </c>
      <c r="E141" s="47">
        <v>625.29</v>
      </c>
      <c r="F141" s="44">
        <v>19.75</v>
      </c>
      <c r="G141" s="11">
        <v>6.3349999999999995E-4</v>
      </c>
      <c r="H141" s="61">
        <f t="shared" si="10"/>
        <v>246.93838862559244</v>
      </c>
      <c r="I141" s="29">
        <f t="shared" si="11"/>
        <v>0.24048019010494981</v>
      </c>
      <c r="J141" s="52">
        <v>0.44900000000000001</v>
      </c>
      <c r="K141" s="75">
        <v>-5.3181000000000003</v>
      </c>
      <c r="L141" s="81">
        <v>1020.2</v>
      </c>
      <c r="M141" s="13">
        <v>9.4000000000000004E-3</v>
      </c>
      <c r="N141" s="12">
        <v>-9.1826999999999993E-6</v>
      </c>
      <c r="O141" s="93">
        <v>0.2467</v>
      </c>
      <c r="P141" s="94">
        <v>0.25850000000000001</v>
      </c>
      <c r="Q141" s="95">
        <v>0.28570000000000001</v>
      </c>
      <c r="R141" s="111">
        <v>24.742000000000001</v>
      </c>
      <c r="S141" s="118">
        <v>-3356.5</v>
      </c>
      <c r="T141" s="125">
        <v>-5.4374000000000002</v>
      </c>
      <c r="U141" s="14">
        <v>0</v>
      </c>
      <c r="V141" s="30">
        <v>0</v>
      </c>
      <c r="W141" s="138">
        <v>213.82</v>
      </c>
      <c r="X141" s="13">
        <v>0.79578000000000004</v>
      </c>
      <c r="Y141" s="14">
        <v>-2.1849E-3</v>
      </c>
      <c r="Z141" s="30">
        <v>3.0203000000000001E-6</v>
      </c>
      <c r="AA141" s="77">
        <v>0.16639999999999999</v>
      </c>
      <c r="AB141" s="5">
        <v>-7.6706999999999996E-5</v>
      </c>
      <c r="AC141" s="15">
        <v>-2.1007E-7</v>
      </c>
      <c r="AD141" s="146">
        <v>63.886000000000003</v>
      </c>
      <c r="AE141" s="147">
        <v>0.38</v>
      </c>
      <c r="AF141" s="150">
        <v>52.23</v>
      </c>
      <c r="AG141" s="152">
        <v>1.2222</v>
      </c>
    </row>
    <row r="142" spans="1:33" x14ac:dyDescent="0.2">
      <c r="A142" s="27">
        <v>11</v>
      </c>
      <c r="B142" s="69">
        <v>5.6064811624999997</v>
      </c>
      <c r="C142" s="28">
        <f t="shared" si="12"/>
        <v>0.28871216702199176</v>
      </c>
      <c r="D142" s="31">
        <v>156.31200000000001</v>
      </c>
      <c r="E142" s="47">
        <v>637.52</v>
      </c>
      <c r="F142" s="44">
        <v>19.809999999999999</v>
      </c>
      <c r="G142" s="11">
        <v>6.3449999999999997E-4</v>
      </c>
      <c r="H142" s="61">
        <f t="shared" si="10"/>
        <v>246.54889589905366</v>
      </c>
      <c r="I142" s="29">
        <f t="shared" si="11"/>
        <v>0.23695719457521416</v>
      </c>
      <c r="J142" s="52">
        <v>0.41899999999999998</v>
      </c>
      <c r="K142" s="75">
        <v>-5.1755000000000004</v>
      </c>
      <c r="L142" s="81">
        <v>1018.9</v>
      </c>
      <c r="M142" s="13">
        <v>8.8000000000000005E-3</v>
      </c>
      <c r="N142" s="12">
        <v>-8.4664000000000008E-6</v>
      </c>
      <c r="O142" s="93">
        <v>0.24640000000000001</v>
      </c>
      <c r="P142" s="94">
        <v>0.25359999999999999</v>
      </c>
      <c r="Q142" s="95">
        <v>0.28570000000000001</v>
      </c>
      <c r="R142" s="111">
        <v>24.161999999999999</v>
      </c>
      <c r="S142" s="118">
        <v>-3332.3</v>
      </c>
      <c r="T142" s="125">
        <v>-5.2641999999999998</v>
      </c>
      <c r="U142" s="14">
        <v>0</v>
      </c>
      <c r="V142" s="30">
        <v>0</v>
      </c>
      <c r="W142" s="138">
        <v>202.67699999999999</v>
      </c>
      <c r="X142" s="13">
        <v>0.84499999999999997</v>
      </c>
      <c r="Y142" s="14">
        <v>-2.2420000000000001E-3</v>
      </c>
      <c r="Z142" s="30">
        <v>2.9612000000000001E-6</v>
      </c>
      <c r="AA142" s="77">
        <v>0.16300000000000001</v>
      </c>
      <c r="AB142" s="5">
        <v>-6.6453999999999998E-5</v>
      </c>
      <c r="AC142" s="15">
        <v>-2.0853E-7</v>
      </c>
      <c r="AD142" s="146">
        <v>63.747999999999998</v>
      </c>
      <c r="AE142" s="147">
        <v>0.38</v>
      </c>
      <c r="AF142" s="150">
        <v>52.118000000000002</v>
      </c>
      <c r="AG142" s="152">
        <v>1.2222</v>
      </c>
    </row>
    <row r="143" spans="1:33" x14ac:dyDescent="0.2">
      <c r="A143" s="27">
        <v>11</v>
      </c>
      <c r="B143" s="69">
        <v>6.0921146799999999</v>
      </c>
      <c r="C143" s="28">
        <f t="shared" si="12"/>
        <v>0.32070591259605075</v>
      </c>
      <c r="D143" s="31">
        <v>156.31200000000001</v>
      </c>
      <c r="E143" s="47">
        <v>630.55999999999995</v>
      </c>
      <c r="F143" s="44">
        <v>19.809999999999999</v>
      </c>
      <c r="G143" s="11">
        <v>6.3449999999999997E-4</v>
      </c>
      <c r="H143" s="61">
        <f t="shared" si="10"/>
        <v>246.54889589905366</v>
      </c>
      <c r="I143" s="29">
        <f t="shared" si="11"/>
        <v>0.23957268251330649</v>
      </c>
      <c r="J143" s="52">
        <v>0.41899999999999998</v>
      </c>
      <c r="K143" s="75">
        <v>-5.0732999999999997</v>
      </c>
      <c r="L143" s="81">
        <v>994.03</v>
      </c>
      <c r="M143" s="13">
        <v>8.6999999999999994E-3</v>
      </c>
      <c r="N143" s="12">
        <v>-8.4896000000000008E-6</v>
      </c>
      <c r="O143" s="93">
        <v>0.24640000000000001</v>
      </c>
      <c r="P143" s="94">
        <v>0.25890000000000002</v>
      </c>
      <c r="Q143" s="95">
        <v>0.28570000000000001</v>
      </c>
      <c r="R143" s="111">
        <v>24.376000000000001</v>
      </c>
      <c r="S143" s="118">
        <v>-3313.4</v>
      </c>
      <c r="T143" s="125">
        <v>-5.3395000000000001</v>
      </c>
      <c r="U143" s="14">
        <v>0</v>
      </c>
      <c r="V143" s="30">
        <v>0</v>
      </c>
      <c r="W143" s="138">
        <v>202.011</v>
      </c>
      <c r="X143" s="13">
        <v>0.85018000000000005</v>
      </c>
      <c r="Y143" s="14">
        <v>-2.2721999999999998E-3</v>
      </c>
      <c r="Z143" s="30">
        <v>3.0128000000000002E-6</v>
      </c>
      <c r="AA143" s="77">
        <v>0.16289999999999999</v>
      </c>
      <c r="AB143" s="5">
        <v>-6.6836999999999997E-5</v>
      </c>
      <c r="AC143" s="15">
        <v>-2.1327999999999999E-7</v>
      </c>
      <c r="AD143" s="146">
        <v>63.018999999999998</v>
      </c>
      <c r="AE143" s="147">
        <v>0.38</v>
      </c>
      <c r="AF143" s="150">
        <v>51.918999999999997</v>
      </c>
      <c r="AG143" s="152">
        <v>1.2222</v>
      </c>
    </row>
    <row r="144" spans="1:33" x14ac:dyDescent="0.2">
      <c r="A144" s="27">
        <v>11</v>
      </c>
      <c r="B144" s="69">
        <v>6.117956425</v>
      </c>
      <c r="C144" s="28">
        <f t="shared" si="12"/>
        <v>0.32240837790152604</v>
      </c>
      <c r="D144" s="31">
        <v>156.31200000000001</v>
      </c>
      <c r="E144" s="47">
        <v>621.14</v>
      </c>
      <c r="F144" s="44">
        <v>19.75</v>
      </c>
      <c r="G144" s="11">
        <v>6.3349999999999995E-4</v>
      </c>
      <c r="H144" s="61">
        <f t="shared" si="10"/>
        <v>246.93838862559244</v>
      </c>
      <c r="I144" s="29">
        <f t="shared" si="11"/>
        <v>0.24208690161754848</v>
      </c>
      <c r="J144" s="52">
        <v>0.44900000000000001</v>
      </c>
      <c r="K144" s="75">
        <v>-5.2465999999999999</v>
      </c>
      <c r="L144" s="81">
        <v>1003.8</v>
      </c>
      <c r="M144" s="13">
        <v>9.2999999999999992E-3</v>
      </c>
      <c r="N144" s="12">
        <v>-9.1893000000000003E-6</v>
      </c>
      <c r="O144" s="93">
        <v>0.2467</v>
      </c>
      <c r="P144" s="94">
        <v>0.26329999999999998</v>
      </c>
      <c r="Q144" s="95">
        <v>0.28570000000000001</v>
      </c>
      <c r="R144" s="111">
        <v>24.875</v>
      </c>
      <c r="S144" s="118">
        <v>-3345</v>
      </c>
      <c r="T144" s="125">
        <v>-5.4844999999999997</v>
      </c>
      <c r="U144" s="14">
        <v>0</v>
      </c>
      <c r="V144" s="30">
        <v>0</v>
      </c>
      <c r="W144" s="138">
        <v>214.10400000000001</v>
      </c>
      <c r="X144" s="13">
        <v>0.79339999999999999</v>
      </c>
      <c r="Y144" s="14">
        <v>-2.1863E-3</v>
      </c>
      <c r="Z144" s="30">
        <v>3.0303999999999998E-6</v>
      </c>
      <c r="AA144" s="77">
        <v>0.16639999999999999</v>
      </c>
      <c r="AB144" s="5">
        <v>-7.7082000000000005E-5</v>
      </c>
      <c r="AC144" s="15">
        <v>-2.1288000000000001E-7</v>
      </c>
      <c r="AD144" s="146">
        <v>63.442</v>
      </c>
      <c r="AE144" s="147">
        <v>0.38</v>
      </c>
      <c r="AF144" s="150">
        <v>52.107999999999997</v>
      </c>
      <c r="AG144" s="152">
        <v>1.2222</v>
      </c>
    </row>
    <row r="145" spans="1:33" x14ac:dyDescent="0.2">
      <c r="A145" s="27">
        <v>11</v>
      </c>
      <c r="B145" s="69">
        <v>5.4308341249999996</v>
      </c>
      <c r="C145" s="28">
        <f t="shared" si="12"/>
        <v>0.27714046443947338</v>
      </c>
      <c r="D145" s="31">
        <v>156.31200000000001</v>
      </c>
      <c r="E145" s="47">
        <v>621.14</v>
      </c>
      <c r="F145" s="44">
        <v>19.75</v>
      </c>
      <c r="G145" s="11">
        <v>6.3349999999999995E-4</v>
      </c>
      <c r="H145" s="61">
        <f t="shared" si="10"/>
        <v>246.93838862559244</v>
      </c>
      <c r="I145" s="29">
        <f t="shared" si="11"/>
        <v>0.24208690161754848</v>
      </c>
      <c r="J145" s="52">
        <v>0.44900000000000001</v>
      </c>
      <c r="K145" s="75">
        <v>-5.2465999999999999</v>
      </c>
      <c r="L145" s="81">
        <v>1003.8</v>
      </c>
      <c r="M145" s="13">
        <v>9.2999999999999992E-3</v>
      </c>
      <c r="N145" s="12">
        <v>-9.1893000000000003E-6</v>
      </c>
      <c r="O145" s="93">
        <v>0.2467</v>
      </c>
      <c r="P145" s="94">
        <v>0.2606</v>
      </c>
      <c r="Q145" s="95">
        <v>0.28570000000000001</v>
      </c>
      <c r="R145" s="111">
        <v>24.875</v>
      </c>
      <c r="S145" s="118">
        <v>-3345</v>
      </c>
      <c r="T145" s="125">
        <v>-5.4844999999999997</v>
      </c>
      <c r="U145" s="14">
        <v>0</v>
      </c>
      <c r="V145" s="30">
        <v>0</v>
      </c>
      <c r="W145" s="138">
        <v>212.99700000000001</v>
      </c>
      <c r="X145" s="13">
        <v>0.80184999999999995</v>
      </c>
      <c r="Y145" s="14">
        <v>-2.2127000000000002E-3</v>
      </c>
      <c r="Z145" s="30">
        <v>3.0657000000000001E-6</v>
      </c>
      <c r="AA145" s="77">
        <v>0.16639999999999999</v>
      </c>
      <c r="AB145" s="5">
        <v>-7.7082000000000005E-5</v>
      </c>
      <c r="AC145" s="15">
        <v>-2.1288000000000001E-7</v>
      </c>
      <c r="AD145" s="146">
        <v>63.442</v>
      </c>
      <c r="AE145" s="147">
        <v>0.38</v>
      </c>
      <c r="AF145" s="150">
        <v>52.107999999999997</v>
      </c>
      <c r="AG145" s="152">
        <v>1.2222</v>
      </c>
    </row>
    <row r="146" spans="1:33" x14ac:dyDescent="0.2">
      <c r="A146" s="27">
        <v>11</v>
      </c>
      <c r="B146" s="69">
        <v>6.2943476599999997</v>
      </c>
      <c r="C146" s="28">
        <f t="shared" si="12"/>
        <v>0.33402910853629747</v>
      </c>
      <c r="D146" s="31">
        <v>156.31200000000001</v>
      </c>
      <c r="E146" s="47">
        <v>630.55999999999995</v>
      </c>
      <c r="F146" s="44">
        <v>19.809999999999999</v>
      </c>
      <c r="G146" s="11">
        <v>6.3449999999999997E-4</v>
      </c>
      <c r="H146" s="61">
        <f t="shared" si="10"/>
        <v>246.54889589905366</v>
      </c>
      <c r="I146" s="29">
        <f t="shared" si="11"/>
        <v>0.23957268251330649</v>
      </c>
      <c r="J146" s="52">
        <v>0.41899999999999998</v>
      </c>
      <c r="K146" s="75">
        <v>-5.0732999999999997</v>
      </c>
      <c r="L146" s="81">
        <v>994.03</v>
      </c>
      <c r="M146" s="13">
        <v>8.6999999999999994E-3</v>
      </c>
      <c r="N146" s="12">
        <v>-8.4896000000000008E-6</v>
      </c>
      <c r="O146" s="93">
        <v>0.24640000000000001</v>
      </c>
      <c r="P146" s="94">
        <v>0.25540000000000002</v>
      </c>
      <c r="Q146" s="95">
        <v>0.28570000000000001</v>
      </c>
      <c r="R146" s="111">
        <v>24.376000000000001</v>
      </c>
      <c r="S146" s="118">
        <v>-3313.4</v>
      </c>
      <c r="T146" s="125">
        <v>-5.3395000000000001</v>
      </c>
      <c r="U146" s="14">
        <v>0</v>
      </c>
      <c r="V146" s="30">
        <v>0</v>
      </c>
      <c r="W146" s="138">
        <v>200.39599999999999</v>
      </c>
      <c r="X146" s="13">
        <v>0.86231999999999998</v>
      </c>
      <c r="Y146" s="14">
        <v>-2.3086999999999999E-3</v>
      </c>
      <c r="Z146" s="30">
        <v>3.0595000000000001E-6</v>
      </c>
      <c r="AA146" s="77">
        <v>0.16289999999999999</v>
      </c>
      <c r="AB146" s="5">
        <v>-6.6836999999999997E-5</v>
      </c>
      <c r="AC146" s="15">
        <v>-2.1327999999999999E-7</v>
      </c>
      <c r="AD146" s="146">
        <v>63.018999999999998</v>
      </c>
      <c r="AE146" s="147">
        <v>0.38</v>
      </c>
      <c r="AF146" s="150">
        <v>51.918999999999997</v>
      </c>
      <c r="AG146" s="152">
        <v>1.2222</v>
      </c>
    </row>
    <row r="147" spans="1:33" x14ac:dyDescent="0.2">
      <c r="A147" s="27">
        <v>11</v>
      </c>
      <c r="B147" s="69">
        <v>7.1003768249999997</v>
      </c>
      <c r="C147" s="28">
        <f t="shared" si="12"/>
        <v>0.38713065754600146</v>
      </c>
      <c r="D147" s="31">
        <v>156.31200000000001</v>
      </c>
      <c r="E147" s="47">
        <v>624.99</v>
      </c>
      <c r="F147" s="44">
        <v>19.809999999999999</v>
      </c>
      <c r="G147" s="11">
        <v>6.3449999999999997E-4</v>
      </c>
      <c r="H147" s="61">
        <f t="shared" si="10"/>
        <v>246.54889589905366</v>
      </c>
      <c r="I147" s="29">
        <f t="shared" si="11"/>
        <v>0.2417077884215596</v>
      </c>
      <c r="J147" s="52">
        <v>0.41899999999999998</v>
      </c>
      <c r="K147" s="75">
        <v>-4.9779</v>
      </c>
      <c r="L147" s="81">
        <v>972.29</v>
      </c>
      <c r="M147" s="13">
        <v>8.6E-3</v>
      </c>
      <c r="N147" s="12">
        <v>-8.4875999999999998E-6</v>
      </c>
      <c r="O147" s="93">
        <v>0.24640000000000001</v>
      </c>
      <c r="P147" s="94">
        <v>0.25790000000000002</v>
      </c>
      <c r="Q147" s="95">
        <v>0.28570000000000001</v>
      </c>
      <c r="R147" s="111">
        <v>24.55</v>
      </c>
      <c r="S147" s="118">
        <v>-3298.3</v>
      </c>
      <c r="T147" s="125">
        <v>-5.4012000000000002</v>
      </c>
      <c r="U147" s="14">
        <v>0</v>
      </c>
      <c r="V147" s="30">
        <v>0</v>
      </c>
      <c r="W147" s="138">
        <v>198.99799999999999</v>
      </c>
      <c r="X147" s="13">
        <v>0.87314000000000003</v>
      </c>
      <c r="Y147" s="14">
        <v>-2.3535000000000001E-3</v>
      </c>
      <c r="Z147" s="30">
        <v>3.1277000000000001E-6</v>
      </c>
      <c r="AA147" s="77">
        <v>0.1628</v>
      </c>
      <c r="AB147" s="5">
        <v>-6.7141E-5</v>
      </c>
      <c r="AC147" s="15">
        <v>-2.1720000000000001E-7</v>
      </c>
      <c r="AD147" s="146">
        <v>62.436</v>
      </c>
      <c r="AE147" s="147">
        <v>0.38</v>
      </c>
      <c r="AF147" s="150">
        <v>51.758000000000003</v>
      </c>
      <c r="AG147" s="152">
        <v>1.2222</v>
      </c>
    </row>
    <row r="148" spans="1:33" x14ac:dyDescent="0.2">
      <c r="A148" s="27">
        <v>11</v>
      </c>
      <c r="B148" s="69">
        <v>7.4286662625000002</v>
      </c>
      <c r="C148" s="28">
        <f t="shared" si="12"/>
        <v>0.4087585072712337</v>
      </c>
      <c r="D148" s="31">
        <v>156.31200000000001</v>
      </c>
      <c r="E148" s="47">
        <v>623.65</v>
      </c>
      <c r="F148" s="44">
        <v>19.89</v>
      </c>
      <c r="G148" s="11">
        <v>6.2750000000000002E-4</v>
      </c>
      <c r="H148" s="61">
        <f t="shared" si="10"/>
        <v>249.30143540669857</v>
      </c>
      <c r="I148" s="29">
        <f t="shared" si="11"/>
        <v>0.24052010075706273</v>
      </c>
      <c r="J148" s="52">
        <v>0.42099999999999999</v>
      </c>
      <c r="K148" s="75">
        <v>-5.0499000000000001</v>
      </c>
      <c r="L148" s="81">
        <v>979.37</v>
      </c>
      <c r="M148" s="13">
        <v>8.8000000000000005E-3</v>
      </c>
      <c r="N148" s="12">
        <v>-8.6628999999999997E-6</v>
      </c>
      <c r="O148" s="93">
        <v>0.24909999999999999</v>
      </c>
      <c r="P148" s="94">
        <v>0.25950000000000001</v>
      </c>
      <c r="Q148" s="95">
        <v>0.28570000000000001</v>
      </c>
      <c r="R148" s="111">
        <v>24.616</v>
      </c>
      <c r="S148" s="118">
        <v>-3298.3</v>
      </c>
      <c r="T148" s="125">
        <v>-5.4217000000000004</v>
      </c>
      <c r="U148" s="14">
        <v>0</v>
      </c>
      <c r="V148" s="30">
        <v>0</v>
      </c>
      <c r="W148" s="138">
        <v>218.36199999999999</v>
      </c>
      <c r="X148" s="13">
        <v>0.72811000000000003</v>
      </c>
      <c r="Y148" s="14">
        <v>-2.0070999999999999E-3</v>
      </c>
      <c r="Z148" s="30">
        <v>2.8598999999999999E-6</v>
      </c>
      <c r="AA148" s="77">
        <v>0.1663</v>
      </c>
      <c r="AB148" s="5">
        <v>-8.1697000000000001E-5</v>
      </c>
      <c r="AC148" s="15">
        <v>-2.0367E-7</v>
      </c>
      <c r="AD148" s="146">
        <v>62.344999999999999</v>
      </c>
      <c r="AE148" s="147">
        <v>0.38</v>
      </c>
      <c r="AF148" s="150">
        <v>51.826999999999998</v>
      </c>
      <c r="AG148" s="152">
        <v>1.2222</v>
      </c>
    </row>
    <row r="149" spans="1:33" x14ac:dyDescent="0.2">
      <c r="A149" s="27">
        <v>11</v>
      </c>
      <c r="B149" s="69">
        <v>9.3949398562499997</v>
      </c>
      <c r="C149" s="28">
        <f t="shared" si="12"/>
        <v>0.53829745963036124</v>
      </c>
      <c r="D149" s="31">
        <v>156.31200000000001</v>
      </c>
      <c r="E149" s="47">
        <v>623.44000000000005</v>
      </c>
      <c r="F149" s="44">
        <v>19.95</v>
      </c>
      <c r="G149" s="11">
        <v>6.2850000000000004E-4</v>
      </c>
      <c r="H149" s="61">
        <f t="shared" si="10"/>
        <v>248.90445859872614</v>
      </c>
      <c r="I149" s="29">
        <f t="shared" si="11"/>
        <v>0.24171180436443937</v>
      </c>
      <c r="J149" s="52">
        <v>0.39100000000000001</v>
      </c>
      <c r="K149" s="75">
        <v>-4.7058</v>
      </c>
      <c r="L149" s="81">
        <v>931.07</v>
      </c>
      <c r="M149" s="13">
        <v>7.9000000000000008E-3</v>
      </c>
      <c r="N149" s="12">
        <v>-7.9542999999999994E-6</v>
      </c>
      <c r="O149" s="93">
        <v>0.2487</v>
      </c>
      <c r="P149" s="94">
        <v>0.26150000000000001</v>
      </c>
      <c r="Q149" s="95">
        <v>0.28570000000000001</v>
      </c>
      <c r="R149" s="111">
        <v>24.423999999999999</v>
      </c>
      <c r="S149" s="118">
        <v>-3240.8</v>
      </c>
      <c r="T149" s="125">
        <v>-5.3853999999999997</v>
      </c>
      <c r="U149" s="14">
        <v>0</v>
      </c>
      <c r="V149" s="30">
        <v>0</v>
      </c>
      <c r="W149" s="138">
        <v>205.726</v>
      </c>
      <c r="X149" s="13">
        <v>0.78978000000000004</v>
      </c>
      <c r="Y149" s="14">
        <v>-2.1332E-3</v>
      </c>
      <c r="Z149" s="30">
        <v>2.9206E-6</v>
      </c>
      <c r="AA149" s="77">
        <v>0.1628</v>
      </c>
      <c r="AB149" s="5">
        <v>-7.2668000000000003E-5</v>
      </c>
      <c r="AC149" s="15">
        <v>-2.1023E-7</v>
      </c>
      <c r="AD149" s="146">
        <v>60.927</v>
      </c>
      <c r="AE149" s="147">
        <v>0.38</v>
      </c>
      <c r="AF149" s="150">
        <v>51.368000000000002</v>
      </c>
      <c r="AG149" s="152">
        <v>1.2222</v>
      </c>
    </row>
    <row r="150" spans="1:33" x14ac:dyDescent="0.2">
      <c r="A150" s="27">
        <v>11</v>
      </c>
      <c r="B150" s="69">
        <v>8.4025376924999993</v>
      </c>
      <c r="C150" s="28">
        <f t="shared" si="12"/>
        <v>0.47291757708515963</v>
      </c>
      <c r="D150" s="31">
        <v>156.31200000000001</v>
      </c>
      <c r="E150" s="47">
        <v>634.64</v>
      </c>
      <c r="F150" s="44">
        <v>19.95</v>
      </c>
      <c r="G150" s="11">
        <v>6.2850000000000004E-4</v>
      </c>
      <c r="H150" s="61">
        <f t="shared" si="10"/>
        <v>248.90445859872614</v>
      </c>
      <c r="I150" s="29">
        <f t="shared" si="11"/>
        <v>0.23744612270415683</v>
      </c>
      <c r="J150" s="52">
        <v>0.39100000000000001</v>
      </c>
      <c r="K150" s="75">
        <v>-4.9042000000000003</v>
      </c>
      <c r="L150" s="81">
        <v>975.33</v>
      </c>
      <c r="M150" s="13">
        <v>8.2000000000000007E-3</v>
      </c>
      <c r="N150" s="12">
        <v>-7.9847E-6</v>
      </c>
      <c r="O150" s="93">
        <v>0.2487</v>
      </c>
      <c r="P150" s="94">
        <v>0.25430000000000003</v>
      </c>
      <c r="Q150" s="95">
        <v>0.28570000000000001</v>
      </c>
      <c r="R150" s="111">
        <v>24.076000000000001</v>
      </c>
      <c r="S150" s="118">
        <v>-3270.5</v>
      </c>
      <c r="T150" s="125">
        <v>-5.2622</v>
      </c>
      <c r="U150" s="14">
        <v>0</v>
      </c>
      <c r="V150" s="30">
        <v>0</v>
      </c>
      <c r="W150" s="138">
        <v>207.24199999999999</v>
      </c>
      <c r="X150" s="13">
        <v>0.77812999999999999</v>
      </c>
      <c r="Y150" s="14">
        <v>-2.075E-3</v>
      </c>
      <c r="Z150" s="30">
        <v>2.8235000000000002E-6</v>
      </c>
      <c r="AA150" s="77">
        <v>0.16300000000000001</v>
      </c>
      <c r="AB150" s="5">
        <v>-7.1840000000000003E-5</v>
      </c>
      <c r="AC150" s="15">
        <v>-2.0277999999999999E-7</v>
      </c>
      <c r="AD150" s="146">
        <v>62.076000000000001</v>
      </c>
      <c r="AE150" s="147">
        <v>0.38</v>
      </c>
      <c r="AF150" s="150">
        <v>51.69</v>
      </c>
      <c r="AG150" s="152">
        <v>1.2222</v>
      </c>
    </row>
    <row r="151" spans="1:33" x14ac:dyDescent="0.2">
      <c r="A151" s="27">
        <v>11</v>
      </c>
      <c r="B151" s="69">
        <v>8.4173111337499993</v>
      </c>
      <c r="C151" s="28">
        <f t="shared" si="12"/>
        <v>0.47389085776611223</v>
      </c>
      <c r="D151" s="31">
        <v>156.31200000000001</v>
      </c>
      <c r="E151" s="47">
        <v>616.70000000000005</v>
      </c>
      <c r="F151" s="44">
        <v>19.89</v>
      </c>
      <c r="G151" s="11">
        <v>6.2750000000000002E-4</v>
      </c>
      <c r="H151" s="61">
        <f t="shared" si="10"/>
        <v>249.30143540669857</v>
      </c>
      <c r="I151" s="29">
        <f t="shared" si="11"/>
        <v>0.24323068078018834</v>
      </c>
      <c r="J151" s="52">
        <v>0.42099999999999999</v>
      </c>
      <c r="K151" s="75">
        <v>-4.9122000000000003</v>
      </c>
      <c r="L151" s="81">
        <v>949.64</v>
      </c>
      <c r="M151" s="13">
        <v>8.5000000000000006E-3</v>
      </c>
      <c r="N151" s="12">
        <v>-8.6349999999999995E-6</v>
      </c>
      <c r="O151" s="93">
        <v>0.24909999999999999</v>
      </c>
      <c r="P151" s="94">
        <v>0.26419999999999999</v>
      </c>
      <c r="Q151" s="95">
        <v>0.28570000000000001</v>
      </c>
      <c r="R151" s="111">
        <v>24.841000000000001</v>
      </c>
      <c r="S151" s="118">
        <v>-3279.5</v>
      </c>
      <c r="T151" s="125">
        <v>-5.5015000000000001</v>
      </c>
      <c r="U151" s="14">
        <v>0</v>
      </c>
      <c r="V151" s="30">
        <v>0</v>
      </c>
      <c r="W151" s="138">
        <v>217.542</v>
      </c>
      <c r="X151" s="13">
        <v>0.73395999999999995</v>
      </c>
      <c r="Y151" s="14">
        <v>-2.0397000000000002E-3</v>
      </c>
      <c r="Z151" s="30">
        <v>2.9183000000000001E-6</v>
      </c>
      <c r="AA151" s="77">
        <v>0.16619999999999999</v>
      </c>
      <c r="AB151" s="5">
        <v>-8.2446000000000003E-5</v>
      </c>
      <c r="AC151" s="15">
        <v>-2.0821999999999999E-7</v>
      </c>
      <c r="AD151" s="146">
        <v>61.616</v>
      </c>
      <c r="AE151" s="147">
        <v>0.38</v>
      </c>
      <c r="AF151" s="150">
        <v>51.624000000000002</v>
      </c>
      <c r="AG151" s="152">
        <v>1.2222</v>
      </c>
    </row>
    <row r="152" spans="1:33" x14ac:dyDescent="0.2">
      <c r="A152" s="27">
        <v>11</v>
      </c>
      <c r="B152" s="69">
        <v>4.4466426749999997</v>
      </c>
      <c r="C152" s="28">
        <f t="shared" si="12"/>
        <v>0.21230150725719008</v>
      </c>
      <c r="D152" s="31">
        <v>156.31200000000001</v>
      </c>
      <c r="E152" s="47">
        <v>628.04999999999995</v>
      </c>
      <c r="F152" s="44">
        <v>19.75</v>
      </c>
      <c r="G152" s="11">
        <v>6.3349999999999995E-4</v>
      </c>
      <c r="H152" s="61">
        <f t="shared" si="10"/>
        <v>246.93838862559244</v>
      </c>
      <c r="I152" s="29">
        <f t="shared" si="11"/>
        <v>0.23942338678564457</v>
      </c>
      <c r="J152" s="52">
        <v>0.44900000000000001</v>
      </c>
      <c r="K152" s="75">
        <v>-5.3615000000000004</v>
      </c>
      <c r="L152" s="81">
        <v>1030.5999999999999</v>
      </c>
      <c r="M152" s="13">
        <v>9.4999999999999998E-3</v>
      </c>
      <c r="N152" s="12">
        <v>-9.1720999999999998E-6</v>
      </c>
      <c r="O152" s="93">
        <v>0.2467</v>
      </c>
      <c r="P152" s="94">
        <v>0.25609999999999999</v>
      </c>
      <c r="Q152" s="95">
        <v>0.28570000000000001</v>
      </c>
      <c r="R152" s="111">
        <v>24.654</v>
      </c>
      <c r="S152" s="118">
        <v>-3364.2</v>
      </c>
      <c r="T152" s="125">
        <v>-5.4063999999999997</v>
      </c>
      <c r="U152" s="14">
        <v>0</v>
      </c>
      <c r="V152" s="30">
        <v>0</v>
      </c>
      <c r="W152" s="138">
        <v>213.94200000000001</v>
      </c>
      <c r="X152" s="13">
        <v>0.79501999999999995</v>
      </c>
      <c r="Y152" s="14">
        <v>-2.1768E-3</v>
      </c>
      <c r="Z152" s="30">
        <v>3.0039000000000002E-6</v>
      </c>
      <c r="AA152" s="77">
        <v>0.16639999999999999</v>
      </c>
      <c r="AB152" s="5">
        <v>-7.6458000000000006E-5</v>
      </c>
      <c r="AC152" s="15">
        <v>-2.0823000000000001E-7</v>
      </c>
      <c r="AD152" s="146">
        <v>64.182000000000002</v>
      </c>
      <c r="AE152" s="147">
        <v>0.38</v>
      </c>
      <c r="AF152" s="150">
        <v>52.311</v>
      </c>
      <c r="AG152" s="152">
        <v>1.2222</v>
      </c>
    </row>
    <row r="153" spans="1:33" x14ac:dyDescent="0.2">
      <c r="A153" s="27">
        <v>11</v>
      </c>
      <c r="B153" s="69">
        <v>5.1323751700000004</v>
      </c>
      <c r="C153" s="28">
        <f t="shared" si="12"/>
        <v>0.25747785976645582</v>
      </c>
      <c r="D153" s="31">
        <v>156.31200000000001</v>
      </c>
      <c r="E153" s="47">
        <v>625.29</v>
      </c>
      <c r="F153" s="44">
        <v>19.75</v>
      </c>
      <c r="G153" s="11">
        <v>6.3349999999999995E-4</v>
      </c>
      <c r="H153" s="61">
        <f t="shared" si="10"/>
        <v>246.93838862559244</v>
      </c>
      <c r="I153" s="29">
        <f t="shared" si="11"/>
        <v>0.24048019010494981</v>
      </c>
      <c r="J153" s="52">
        <v>0.44900000000000001</v>
      </c>
      <c r="K153" s="75">
        <v>-5.3181000000000003</v>
      </c>
      <c r="L153" s="81">
        <v>1020.2</v>
      </c>
      <c r="M153" s="13">
        <v>9.4000000000000004E-3</v>
      </c>
      <c r="N153" s="12">
        <v>-9.1826999999999993E-6</v>
      </c>
      <c r="O153" s="93">
        <v>0.2467</v>
      </c>
      <c r="P153" s="94">
        <v>0.25850000000000001</v>
      </c>
      <c r="Q153" s="95">
        <v>0.28570000000000001</v>
      </c>
      <c r="R153" s="111">
        <v>24.742000000000001</v>
      </c>
      <c r="S153" s="118">
        <v>-3356.5</v>
      </c>
      <c r="T153" s="125">
        <v>-5.4374000000000002</v>
      </c>
      <c r="U153" s="14">
        <v>0</v>
      </c>
      <c r="V153" s="30">
        <v>0</v>
      </c>
      <c r="W153" s="138">
        <v>213.82</v>
      </c>
      <c r="X153" s="13">
        <v>0.79578000000000004</v>
      </c>
      <c r="Y153" s="14">
        <v>-2.1849E-3</v>
      </c>
      <c r="Z153" s="30">
        <v>3.0203000000000001E-6</v>
      </c>
      <c r="AA153" s="77">
        <v>0.16639999999999999</v>
      </c>
      <c r="AB153" s="5">
        <v>-7.6706999999999996E-5</v>
      </c>
      <c r="AC153" s="15">
        <v>-2.1007E-7</v>
      </c>
      <c r="AD153" s="146">
        <v>63.886000000000003</v>
      </c>
      <c r="AE153" s="147">
        <v>0.38</v>
      </c>
      <c r="AF153" s="150">
        <v>52.23</v>
      </c>
      <c r="AG153" s="152">
        <v>1.2222</v>
      </c>
    </row>
    <row r="154" spans="1:33" x14ac:dyDescent="0.2">
      <c r="A154" s="27">
        <v>11</v>
      </c>
      <c r="B154" s="69">
        <v>6.7777731000000001</v>
      </c>
      <c r="C154" s="28">
        <f t="shared" si="12"/>
        <v>0.36587738501236977</v>
      </c>
      <c r="D154" s="31">
        <v>156.31200000000001</v>
      </c>
      <c r="E154" s="47">
        <v>616.64</v>
      </c>
      <c r="F154" s="44">
        <v>19.809999999999999</v>
      </c>
      <c r="G154" s="11">
        <v>6.3449999999999997E-4</v>
      </c>
      <c r="H154" s="61">
        <f t="shared" si="10"/>
        <v>246.54889589905366</v>
      </c>
      <c r="I154" s="29">
        <f t="shared" si="11"/>
        <v>0.24498078406459284</v>
      </c>
      <c r="J154" s="52">
        <v>0.41899999999999998</v>
      </c>
      <c r="K154" s="75">
        <v>-4.8078000000000003</v>
      </c>
      <c r="L154" s="81">
        <v>936.04</v>
      </c>
      <c r="M154" s="13">
        <v>8.3000000000000001E-3</v>
      </c>
      <c r="N154" s="12">
        <v>-8.4422000000000002E-6</v>
      </c>
      <c r="O154" s="93">
        <v>0.24640000000000001</v>
      </c>
      <c r="P154" s="94">
        <v>0.25940000000000002</v>
      </c>
      <c r="Q154" s="95">
        <v>0.28570000000000001</v>
      </c>
      <c r="R154" s="111">
        <v>24.82</v>
      </c>
      <c r="S154" s="118">
        <v>-3275.8</v>
      </c>
      <c r="T154" s="125">
        <v>-5.4965999999999999</v>
      </c>
      <c r="U154" s="14">
        <v>0</v>
      </c>
      <c r="V154" s="30">
        <v>0</v>
      </c>
      <c r="W154" s="138">
        <v>171.87700000000001</v>
      </c>
      <c r="X154" s="13">
        <v>1.0773999999999999</v>
      </c>
      <c r="Y154" s="14">
        <v>-2.8825999999999999E-3</v>
      </c>
      <c r="Z154" s="30">
        <v>3.6088000000000001E-6</v>
      </c>
      <c r="AA154" s="77">
        <v>0.15840000000000001</v>
      </c>
      <c r="AB154" s="5">
        <v>-5.0309999999999998E-5</v>
      </c>
      <c r="AC154" s="15">
        <v>-2.4077E-7</v>
      </c>
      <c r="AD154" s="146">
        <v>61.561999999999998</v>
      </c>
      <c r="AE154" s="147">
        <v>0.38</v>
      </c>
      <c r="AF154" s="150">
        <v>51.515000000000001</v>
      </c>
      <c r="AG154" s="152">
        <v>1.2222</v>
      </c>
    </row>
    <row r="155" spans="1:33" x14ac:dyDescent="0.2">
      <c r="A155" s="27">
        <v>11</v>
      </c>
      <c r="B155" s="69">
        <v>5.4348208250000001</v>
      </c>
      <c r="C155" s="28">
        <f t="shared" si="12"/>
        <v>0.27740310995483392</v>
      </c>
      <c r="D155" s="31">
        <v>156.31200000000001</v>
      </c>
      <c r="E155" s="47">
        <v>619.75</v>
      </c>
      <c r="F155" s="44">
        <v>19.75</v>
      </c>
      <c r="G155" s="11">
        <v>6.3349999999999995E-4</v>
      </c>
      <c r="H155" s="61">
        <f t="shared" si="10"/>
        <v>246.93838862559244</v>
      </c>
      <c r="I155" s="29">
        <f t="shared" si="11"/>
        <v>0.24262986376881657</v>
      </c>
      <c r="J155" s="52">
        <v>0.44900000000000001</v>
      </c>
      <c r="K155" s="75">
        <v>-5.2210999999999999</v>
      </c>
      <c r="L155" s="81">
        <v>998.06</v>
      </c>
      <c r="M155" s="13">
        <v>9.2999999999999992E-3</v>
      </c>
      <c r="N155" s="12">
        <v>-9.1887000000000006E-6</v>
      </c>
      <c r="O155" s="93">
        <v>0.2467</v>
      </c>
      <c r="P155" s="94">
        <v>0.2606</v>
      </c>
      <c r="Q155" s="95">
        <v>0.28570000000000001</v>
      </c>
      <c r="R155" s="111">
        <v>24.92</v>
      </c>
      <c r="S155" s="118">
        <v>-3341.2</v>
      </c>
      <c r="T155" s="125">
        <v>-5.5004</v>
      </c>
      <c r="U155" s="14">
        <v>0</v>
      </c>
      <c r="V155" s="30">
        <v>0</v>
      </c>
      <c r="W155" s="138">
        <v>212.386</v>
      </c>
      <c r="X155" s="13">
        <v>0.80645999999999995</v>
      </c>
      <c r="Y155" s="14">
        <v>-2.2301000000000001E-3</v>
      </c>
      <c r="Z155" s="30">
        <v>3.0918000000000002E-6</v>
      </c>
      <c r="AA155" s="77">
        <v>0.1663</v>
      </c>
      <c r="AB155" s="5">
        <v>-7.7206999999999994E-5</v>
      </c>
      <c r="AC155" s="15">
        <v>-2.1383E-7</v>
      </c>
      <c r="AD155" s="146">
        <v>63.293999999999997</v>
      </c>
      <c r="AE155" s="147">
        <v>0.38</v>
      </c>
      <c r="AF155" s="150">
        <v>52.067999999999998</v>
      </c>
      <c r="AG155" s="152">
        <v>1.2222</v>
      </c>
    </row>
    <row r="156" spans="1:33" x14ac:dyDescent="0.2">
      <c r="A156" s="27">
        <v>11</v>
      </c>
      <c r="B156" s="69">
        <v>6.4199854612499996</v>
      </c>
      <c r="C156" s="28">
        <f t="shared" si="12"/>
        <v>0.34230618106697724</v>
      </c>
      <c r="D156" s="31">
        <v>156.31200000000001</v>
      </c>
      <c r="E156" s="47">
        <v>612.84</v>
      </c>
      <c r="F156" s="44">
        <v>19.75</v>
      </c>
      <c r="G156" s="11">
        <v>6.3349999999999995E-4</v>
      </c>
      <c r="H156" s="61">
        <f t="shared" si="10"/>
        <v>246.93838862559244</v>
      </c>
      <c r="I156" s="29">
        <f t="shared" si="11"/>
        <v>0.2453656061463417</v>
      </c>
      <c r="J156" s="52">
        <v>0.44900000000000001</v>
      </c>
      <c r="K156" s="75">
        <v>-5.0782999999999996</v>
      </c>
      <c r="L156" s="81">
        <v>967.48</v>
      </c>
      <c r="M156" s="13">
        <v>9.1000000000000004E-3</v>
      </c>
      <c r="N156" s="12">
        <v>-9.1624000000000006E-6</v>
      </c>
      <c r="O156" s="93">
        <v>0.2467</v>
      </c>
      <c r="P156" s="94">
        <v>0.26519999999999999</v>
      </c>
      <c r="Q156" s="95">
        <v>0.28570000000000001</v>
      </c>
      <c r="R156" s="111">
        <v>25.149000000000001</v>
      </c>
      <c r="S156" s="118">
        <v>-3322.1</v>
      </c>
      <c r="T156" s="125">
        <v>-5.5812999999999997</v>
      </c>
      <c r="U156" s="14">
        <v>0</v>
      </c>
      <c r="V156" s="30">
        <v>0</v>
      </c>
      <c r="W156" s="138">
        <v>211.42400000000001</v>
      </c>
      <c r="X156" s="13">
        <v>0.81362999999999996</v>
      </c>
      <c r="Y156" s="14">
        <v>-2.2679000000000002E-3</v>
      </c>
      <c r="Z156" s="30">
        <v>3.1568E-6</v>
      </c>
      <c r="AA156" s="77">
        <v>0.16619999999999999</v>
      </c>
      <c r="AB156" s="5">
        <v>-7.7838999999999998E-5</v>
      </c>
      <c r="AC156" s="15">
        <v>-2.1868E-7</v>
      </c>
      <c r="AD156" s="146">
        <v>62.554000000000002</v>
      </c>
      <c r="AE156" s="147">
        <v>0.38</v>
      </c>
      <c r="AF156" s="150">
        <v>51.863999999999997</v>
      </c>
      <c r="AG156" s="152">
        <v>1.2222</v>
      </c>
    </row>
    <row r="157" spans="1:33" x14ac:dyDescent="0.2">
      <c r="A157" s="27">
        <v>11</v>
      </c>
      <c r="B157" s="69">
        <v>6.0175986750000003</v>
      </c>
      <c r="C157" s="28">
        <f t="shared" si="12"/>
        <v>0.31579676604982765</v>
      </c>
      <c r="D157" s="31">
        <v>156.31200000000001</v>
      </c>
      <c r="E157" s="47">
        <v>630.55999999999995</v>
      </c>
      <c r="F157" s="44">
        <v>19.809999999999999</v>
      </c>
      <c r="G157" s="11">
        <v>6.3449999999999997E-4</v>
      </c>
      <c r="H157" s="61">
        <f t="shared" si="10"/>
        <v>246.54889589905366</v>
      </c>
      <c r="I157" s="29">
        <f t="shared" si="11"/>
        <v>0.23957268251330649</v>
      </c>
      <c r="J157" s="52">
        <v>0.41899999999999998</v>
      </c>
      <c r="K157" s="75">
        <v>-5.0732999999999997</v>
      </c>
      <c r="L157" s="81">
        <v>994.03</v>
      </c>
      <c r="M157" s="13">
        <v>8.6999999999999994E-3</v>
      </c>
      <c r="N157" s="12">
        <v>-8.4896000000000008E-6</v>
      </c>
      <c r="O157" s="93">
        <v>0.24640000000000001</v>
      </c>
      <c r="P157" s="94">
        <v>0.25569999999999998</v>
      </c>
      <c r="Q157" s="95">
        <v>0.28570000000000001</v>
      </c>
      <c r="R157" s="111">
        <v>24.376000000000001</v>
      </c>
      <c r="S157" s="118">
        <v>-3313.4</v>
      </c>
      <c r="T157" s="125">
        <v>-5.3395000000000001</v>
      </c>
      <c r="U157" s="14">
        <v>0</v>
      </c>
      <c r="V157" s="30">
        <v>0</v>
      </c>
      <c r="W157" s="138">
        <v>200.50800000000001</v>
      </c>
      <c r="X157" s="13">
        <v>0.86148000000000002</v>
      </c>
      <c r="Y157" s="14">
        <v>-2.3061000000000002E-3</v>
      </c>
      <c r="Z157" s="30">
        <v>3.0562000000000001E-6</v>
      </c>
      <c r="AA157" s="77">
        <v>0.16289999999999999</v>
      </c>
      <c r="AB157" s="5">
        <v>-6.6836999999999997E-5</v>
      </c>
      <c r="AC157" s="15">
        <v>-2.1327999999999999E-7</v>
      </c>
      <c r="AD157" s="146">
        <v>63.018999999999998</v>
      </c>
      <c r="AE157" s="147">
        <v>0.38</v>
      </c>
      <c r="AF157" s="150">
        <v>51.918999999999997</v>
      </c>
      <c r="AG157" s="152">
        <v>1.2222</v>
      </c>
    </row>
    <row r="158" spans="1:33" x14ac:dyDescent="0.2">
      <c r="A158" s="27">
        <v>11</v>
      </c>
      <c r="B158" s="69">
        <v>5.6014543750000003</v>
      </c>
      <c r="C158" s="28">
        <f t="shared" si="12"/>
        <v>0.28838100009356848</v>
      </c>
      <c r="D158" s="31">
        <v>156.31200000000001</v>
      </c>
      <c r="E158" s="47">
        <v>631.95000000000005</v>
      </c>
      <c r="F158" s="44">
        <v>19.809999999999999</v>
      </c>
      <c r="G158" s="11">
        <v>6.3449999999999997E-4</v>
      </c>
      <c r="H158" s="61">
        <f t="shared" si="10"/>
        <v>246.54889589905366</v>
      </c>
      <c r="I158" s="29">
        <f t="shared" si="11"/>
        <v>0.23904573255097797</v>
      </c>
      <c r="J158" s="52">
        <v>0.41899999999999998</v>
      </c>
      <c r="K158" s="75">
        <v>-5.0952000000000002</v>
      </c>
      <c r="L158" s="81">
        <v>999.2</v>
      </c>
      <c r="M158" s="13">
        <v>8.6999999999999994E-3</v>
      </c>
      <c r="N158" s="12">
        <v>-8.4870000000000002E-6</v>
      </c>
      <c r="O158" s="93">
        <v>0.24640000000000001</v>
      </c>
      <c r="P158" s="94">
        <v>0.25950000000000001</v>
      </c>
      <c r="Q158" s="95">
        <v>0.28570000000000001</v>
      </c>
      <c r="R158" s="111">
        <v>24.332000000000001</v>
      </c>
      <c r="S158" s="118">
        <v>-3317.2</v>
      </c>
      <c r="T158" s="125">
        <v>-5.3242000000000003</v>
      </c>
      <c r="U158" s="14">
        <v>0</v>
      </c>
      <c r="V158" s="30">
        <v>0</v>
      </c>
      <c r="W158" s="138">
        <v>202.91300000000001</v>
      </c>
      <c r="X158" s="13">
        <v>0.84336999999999995</v>
      </c>
      <c r="Y158" s="14">
        <v>-2.2488E-3</v>
      </c>
      <c r="Z158" s="30">
        <v>2.9801999999999999E-6</v>
      </c>
      <c r="AA158" s="77">
        <v>0.16289999999999999</v>
      </c>
      <c r="AB158" s="5">
        <v>-6.6761000000000007E-5</v>
      </c>
      <c r="AC158" s="15">
        <v>-2.1232000000000001E-7</v>
      </c>
      <c r="AD158" s="146">
        <v>63.164999999999999</v>
      </c>
      <c r="AE158" s="147">
        <v>0.38</v>
      </c>
      <c r="AF158" s="150">
        <v>51.959000000000003</v>
      </c>
      <c r="AG158" s="152">
        <v>1.2222</v>
      </c>
    </row>
    <row r="159" spans="1:33" x14ac:dyDescent="0.2">
      <c r="A159" s="27">
        <v>11</v>
      </c>
      <c r="B159" s="69">
        <v>7.5839255699999999</v>
      </c>
      <c r="C159" s="28">
        <f t="shared" si="12"/>
        <v>0.418987057408652</v>
      </c>
      <c r="D159" s="31">
        <v>156.31200000000001</v>
      </c>
      <c r="E159" s="47">
        <v>613.86</v>
      </c>
      <c r="F159" s="44">
        <v>19.809999999999999</v>
      </c>
      <c r="G159" s="11">
        <v>6.3449999999999997E-4</v>
      </c>
      <c r="H159" s="61">
        <f t="shared" si="10"/>
        <v>246.54889589905366</v>
      </c>
      <c r="I159" s="29">
        <f t="shared" si="11"/>
        <v>0.24609023341737615</v>
      </c>
      <c r="J159" s="52">
        <v>0.41899999999999998</v>
      </c>
      <c r="K159" s="75">
        <v>-4.7428999999999997</v>
      </c>
      <c r="L159" s="81">
        <v>922.86</v>
      </c>
      <c r="M159" s="13">
        <v>8.2000000000000007E-3</v>
      </c>
      <c r="N159" s="12">
        <v>-8.4136000000000002E-6</v>
      </c>
      <c r="O159" s="93">
        <v>0.24640000000000001</v>
      </c>
      <c r="P159" s="94">
        <v>0.26469999999999999</v>
      </c>
      <c r="Q159" s="95">
        <v>0.28570000000000001</v>
      </c>
      <c r="R159" s="111">
        <v>24.911999999999999</v>
      </c>
      <c r="S159" s="118">
        <v>-3268.3</v>
      </c>
      <c r="T159" s="125">
        <v>-5.5290999999999997</v>
      </c>
      <c r="U159" s="14">
        <v>0</v>
      </c>
      <c r="V159" s="30">
        <v>0</v>
      </c>
      <c r="W159" s="138">
        <v>196.90299999999999</v>
      </c>
      <c r="X159" s="13">
        <v>0.88990000000000002</v>
      </c>
      <c r="Y159" s="14">
        <v>-2.4298000000000002E-3</v>
      </c>
      <c r="Z159" s="30">
        <v>3.2484999999999999E-6</v>
      </c>
      <c r="AA159" s="77">
        <v>0.16250000000000001</v>
      </c>
      <c r="AB159" s="5">
        <v>-6.7739999999999999E-5</v>
      </c>
      <c r="AC159" s="15">
        <v>-2.2539999999999999E-7</v>
      </c>
      <c r="AD159" s="146">
        <v>61.27</v>
      </c>
      <c r="AE159" s="147">
        <v>0.38</v>
      </c>
      <c r="AF159" s="150">
        <v>51.433</v>
      </c>
      <c r="AG159" s="152">
        <v>1.2222</v>
      </c>
    </row>
    <row r="160" spans="1:33" x14ac:dyDescent="0.2">
      <c r="A160" s="27">
        <v>11</v>
      </c>
      <c r="B160" s="69">
        <v>7.59347204</v>
      </c>
      <c r="C160" s="28">
        <f t="shared" si="12"/>
        <v>0.41961598296939728</v>
      </c>
      <c r="D160" s="31">
        <v>156.31200000000001</v>
      </c>
      <c r="E160" s="47">
        <v>619.42999999999995</v>
      </c>
      <c r="F160" s="44">
        <v>19.809999999999999</v>
      </c>
      <c r="G160" s="11">
        <v>6.3449999999999997E-4</v>
      </c>
      <c r="H160" s="61">
        <f t="shared" si="10"/>
        <v>246.54889589905366</v>
      </c>
      <c r="I160" s="29">
        <f t="shared" si="11"/>
        <v>0.24387735609445871</v>
      </c>
      <c r="J160" s="52">
        <v>0.41899999999999998</v>
      </c>
      <c r="K160" s="75">
        <v>-4.8684000000000003</v>
      </c>
      <c r="L160" s="81">
        <v>948.65</v>
      </c>
      <c r="M160" s="13">
        <v>8.3999999999999995E-3</v>
      </c>
      <c r="N160" s="12">
        <v>-8.4637E-6</v>
      </c>
      <c r="O160" s="93">
        <v>0.24640000000000001</v>
      </c>
      <c r="P160" s="94">
        <v>0.2651</v>
      </c>
      <c r="Q160" s="95">
        <v>0.28570000000000001</v>
      </c>
      <c r="R160" s="111">
        <v>24.728999999999999</v>
      </c>
      <c r="S160" s="118">
        <v>-3283.2</v>
      </c>
      <c r="T160" s="125">
        <v>-5.4644000000000004</v>
      </c>
      <c r="U160" s="14">
        <v>0</v>
      </c>
      <c r="V160" s="30">
        <v>0</v>
      </c>
      <c r="W160" s="138">
        <v>199.75899999999999</v>
      </c>
      <c r="X160" s="13">
        <v>0.86777000000000004</v>
      </c>
      <c r="Y160" s="14">
        <v>-2.3497000000000001E-3</v>
      </c>
      <c r="Z160" s="30">
        <v>3.1339000000000002E-6</v>
      </c>
      <c r="AA160" s="77">
        <v>0.16270000000000001</v>
      </c>
      <c r="AB160" s="5">
        <v>-6.7441999999999996E-5</v>
      </c>
      <c r="AC160" s="15">
        <v>-2.2123999999999999E-7</v>
      </c>
      <c r="AD160" s="146">
        <v>61.853000000000002</v>
      </c>
      <c r="AE160" s="147">
        <v>0.38</v>
      </c>
      <c r="AF160" s="150">
        <v>51.595999999999997</v>
      </c>
      <c r="AG160" s="152">
        <v>1.2222</v>
      </c>
    </row>
    <row r="161" spans="1:33" x14ac:dyDescent="0.2">
      <c r="A161" s="27">
        <v>11</v>
      </c>
      <c r="B161" s="69">
        <v>5.4312554000000004</v>
      </c>
      <c r="C161" s="28">
        <f t="shared" si="12"/>
        <v>0.27716821821815846</v>
      </c>
      <c r="D161" s="31">
        <v>156.31200000000001</v>
      </c>
      <c r="E161" s="47">
        <v>623.9</v>
      </c>
      <c r="F161" s="44">
        <v>19.75</v>
      </c>
      <c r="G161" s="11">
        <v>6.3349999999999995E-4</v>
      </c>
      <c r="H161" s="61">
        <f t="shared" si="10"/>
        <v>246.93838862559244</v>
      </c>
      <c r="I161" s="29">
        <f t="shared" si="11"/>
        <v>0.24101596100452649</v>
      </c>
      <c r="J161" s="52">
        <v>0.44900000000000001</v>
      </c>
      <c r="K161" s="75">
        <v>-5.2950999999999997</v>
      </c>
      <c r="L161" s="81">
        <v>1014.8</v>
      </c>
      <c r="M161" s="13">
        <v>9.4000000000000004E-3</v>
      </c>
      <c r="N161" s="12">
        <v>-9.1862000000000002E-6</v>
      </c>
      <c r="O161" s="93">
        <v>0.2467</v>
      </c>
      <c r="P161" s="94">
        <v>0.26100000000000001</v>
      </c>
      <c r="Q161" s="95">
        <v>0.28570000000000001</v>
      </c>
      <c r="R161" s="111">
        <v>24.786000000000001</v>
      </c>
      <c r="S161" s="118">
        <v>-3352.7</v>
      </c>
      <c r="T161" s="125">
        <v>-5.4530000000000003</v>
      </c>
      <c r="U161" s="14">
        <v>0</v>
      </c>
      <c r="V161" s="30">
        <v>0</v>
      </c>
      <c r="W161" s="138">
        <v>214.274</v>
      </c>
      <c r="X161" s="13">
        <v>0.79224000000000006</v>
      </c>
      <c r="Y161" s="14">
        <v>-2.1768E-3</v>
      </c>
      <c r="Z161" s="30">
        <v>3.0122000000000001E-6</v>
      </c>
      <c r="AA161" s="77">
        <v>0.16639999999999999</v>
      </c>
      <c r="AB161" s="5">
        <v>-7.6831999999999999E-5</v>
      </c>
      <c r="AC161" s="15">
        <v>-2.11E-7</v>
      </c>
      <c r="AD161" s="146">
        <v>63.738</v>
      </c>
      <c r="AE161" s="147">
        <v>0.38</v>
      </c>
      <c r="AF161" s="150">
        <v>52.189</v>
      </c>
      <c r="AG161" s="152">
        <v>1.2222</v>
      </c>
    </row>
    <row r="162" spans="1:33" x14ac:dyDescent="0.2">
      <c r="A162" s="27">
        <v>11</v>
      </c>
      <c r="B162" s="69">
        <v>5.4332179250000001</v>
      </c>
      <c r="C162" s="28">
        <f t="shared" si="12"/>
        <v>0.27729751021154464</v>
      </c>
      <c r="D162" s="31">
        <v>156.31200000000001</v>
      </c>
      <c r="E162" s="47">
        <v>621.14</v>
      </c>
      <c r="F162" s="44">
        <v>19.75</v>
      </c>
      <c r="G162" s="11">
        <v>6.3349999999999995E-4</v>
      </c>
      <c r="H162" s="61">
        <f t="shared" si="10"/>
        <v>246.93838862559244</v>
      </c>
      <c r="I162" s="29">
        <f t="shared" si="11"/>
        <v>0.24208690161754848</v>
      </c>
      <c r="J162" s="52">
        <v>0.44900000000000001</v>
      </c>
      <c r="K162" s="75">
        <v>-5.2465999999999999</v>
      </c>
      <c r="L162" s="81">
        <v>1003.8</v>
      </c>
      <c r="M162" s="13">
        <v>9.2999999999999992E-3</v>
      </c>
      <c r="N162" s="12">
        <v>-9.1893000000000003E-6</v>
      </c>
      <c r="O162" s="93">
        <v>0.2467</v>
      </c>
      <c r="P162" s="94">
        <v>0.2606</v>
      </c>
      <c r="Q162" s="95">
        <v>0.28570000000000001</v>
      </c>
      <c r="R162" s="111">
        <v>24.875</v>
      </c>
      <c r="S162" s="118">
        <v>-3345</v>
      </c>
      <c r="T162" s="125">
        <v>-5.4844999999999997</v>
      </c>
      <c r="U162" s="14">
        <v>0</v>
      </c>
      <c r="V162" s="30">
        <v>0</v>
      </c>
      <c r="W162" s="138">
        <v>212.99700000000001</v>
      </c>
      <c r="X162" s="13">
        <v>0.80184999999999995</v>
      </c>
      <c r="Y162" s="14">
        <v>-2.2127000000000002E-3</v>
      </c>
      <c r="Z162" s="30">
        <v>3.0657000000000001E-6</v>
      </c>
      <c r="AA162" s="77">
        <v>0.16639999999999999</v>
      </c>
      <c r="AB162" s="5">
        <v>-7.7082000000000005E-5</v>
      </c>
      <c r="AC162" s="15">
        <v>-2.1288000000000001E-7</v>
      </c>
      <c r="AD162" s="146">
        <v>63.442</v>
      </c>
      <c r="AE162" s="147">
        <v>0.38</v>
      </c>
      <c r="AF162" s="150">
        <v>52.107999999999997</v>
      </c>
      <c r="AG162" s="152">
        <v>1.2222</v>
      </c>
    </row>
    <row r="163" spans="1:33" x14ac:dyDescent="0.2">
      <c r="A163" s="27">
        <v>11</v>
      </c>
      <c r="B163" s="69">
        <v>6.7787691749999999</v>
      </c>
      <c r="C163" s="28">
        <f t="shared" si="12"/>
        <v>0.36594300686295106</v>
      </c>
      <c r="D163" s="31">
        <v>156.31200000000001</v>
      </c>
      <c r="E163" s="47">
        <v>627.77</v>
      </c>
      <c r="F163" s="44">
        <v>19.809999999999999</v>
      </c>
      <c r="G163" s="11">
        <v>6.3449999999999997E-4</v>
      </c>
      <c r="H163" s="61">
        <f t="shared" si="10"/>
        <v>246.54889589905366</v>
      </c>
      <c r="I163" s="29">
        <f t="shared" si="11"/>
        <v>0.24063741606892738</v>
      </c>
      <c r="J163" s="52">
        <v>0.41899999999999998</v>
      </c>
      <c r="K163" s="75">
        <v>-5.0271999999999997</v>
      </c>
      <c r="L163" s="81">
        <v>983.38</v>
      </c>
      <c r="M163" s="13">
        <v>8.6E-3</v>
      </c>
      <c r="N163" s="12">
        <v>-8.4911000000000007E-6</v>
      </c>
      <c r="O163" s="93">
        <v>0.24640000000000001</v>
      </c>
      <c r="P163" s="94">
        <v>0.26069999999999999</v>
      </c>
      <c r="Q163" s="95">
        <v>0.28570000000000001</v>
      </c>
      <c r="R163" s="111">
        <v>24.462</v>
      </c>
      <c r="S163" s="118">
        <v>-3305.8</v>
      </c>
      <c r="T163" s="125">
        <v>-5.3701999999999996</v>
      </c>
      <c r="U163" s="14">
        <v>0</v>
      </c>
      <c r="V163" s="30">
        <v>0</v>
      </c>
      <c r="W163" s="138">
        <v>201.57599999999999</v>
      </c>
      <c r="X163" s="13">
        <v>0.85357000000000005</v>
      </c>
      <c r="Y163" s="14">
        <v>-2.2883999999999999E-3</v>
      </c>
      <c r="Z163" s="30">
        <v>3.0388E-6</v>
      </c>
      <c r="AA163" s="77">
        <v>0.1628</v>
      </c>
      <c r="AB163" s="5">
        <v>-6.6989000000000005E-5</v>
      </c>
      <c r="AC163" s="15">
        <v>-2.1523E-7</v>
      </c>
      <c r="AD163" s="146">
        <v>62.726999999999997</v>
      </c>
      <c r="AE163" s="147">
        <v>0.38</v>
      </c>
      <c r="AF163" s="150">
        <v>51.838000000000001</v>
      </c>
      <c r="AG163" s="152">
        <v>1.2222</v>
      </c>
    </row>
    <row r="164" spans="1:33" x14ac:dyDescent="0.2">
      <c r="A164" s="27">
        <v>11</v>
      </c>
      <c r="B164" s="69">
        <v>6.5003450000000003</v>
      </c>
      <c r="C164" s="28">
        <f t="shared" si="12"/>
        <v>0.3476003021368152</v>
      </c>
      <c r="D164" s="31">
        <v>156.31200000000001</v>
      </c>
      <c r="E164" s="47">
        <v>623.6</v>
      </c>
      <c r="F164" s="44">
        <v>19.809999999999999</v>
      </c>
      <c r="G164" s="11">
        <v>6.3449999999999997E-4</v>
      </c>
      <c r="H164" s="61">
        <f t="shared" si="10"/>
        <v>246.54889589905366</v>
      </c>
      <c r="I164" s="29">
        <f t="shared" si="11"/>
        <v>0.24224655337650822</v>
      </c>
      <c r="J164" s="52">
        <v>0.41899999999999998</v>
      </c>
      <c r="K164" s="75">
        <v>-4.9519000000000002</v>
      </c>
      <c r="L164" s="81">
        <v>966.57</v>
      </c>
      <c r="M164" s="13">
        <v>8.5000000000000006E-3</v>
      </c>
      <c r="N164" s="12">
        <v>-8.4838E-6</v>
      </c>
      <c r="O164" s="93">
        <v>0.24640000000000001</v>
      </c>
      <c r="P164" s="94">
        <v>0.26029999999999998</v>
      </c>
      <c r="Q164" s="95">
        <v>0.28570000000000001</v>
      </c>
      <c r="R164" s="111">
        <v>24.594999999999999</v>
      </c>
      <c r="S164" s="118">
        <v>-3294.5</v>
      </c>
      <c r="T164" s="125">
        <v>-5.4169</v>
      </c>
      <c r="U164" s="14">
        <v>0</v>
      </c>
      <c r="V164" s="30">
        <v>0</v>
      </c>
      <c r="W164" s="138">
        <v>199.47399999999999</v>
      </c>
      <c r="X164" s="13">
        <v>0.86963000000000001</v>
      </c>
      <c r="Y164" s="14">
        <v>-2.346E-3</v>
      </c>
      <c r="Z164" s="30">
        <v>3.1207999999999998E-6</v>
      </c>
      <c r="AA164" s="77">
        <v>0.16270000000000001</v>
      </c>
      <c r="AB164" s="5">
        <v>-6.7216000000000002E-5</v>
      </c>
      <c r="AC164" s="15">
        <v>-2.1820000000000001E-7</v>
      </c>
      <c r="AD164" s="146">
        <v>62.29</v>
      </c>
      <c r="AE164" s="147">
        <v>0.38</v>
      </c>
      <c r="AF164" s="150">
        <v>51.716999999999999</v>
      </c>
      <c r="AG164" s="152">
        <v>1.2222</v>
      </c>
    </row>
    <row r="165" spans="1:33" x14ac:dyDescent="0.2">
      <c r="A165" s="27">
        <v>11</v>
      </c>
      <c r="B165" s="69">
        <v>4.4452554375000002</v>
      </c>
      <c r="C165" s="28">
        <f t="shared" si="12"/>
        <v>0.2122101154524105</v>
      </c>
      <c r="D165" s="31">
        <v>156.31200000000001</v>
      </c>
      <c r="E165" s="47">
        <v>629.42999999999995</v>
      </c>
      <c r="F165" s="44">
        <v>19.75</v>
      </c>
      <c r="G165" s="11">
        <v>6.3349999999999995E-4</v>
      </c>
      <c r="H165" s="61">
        <f t="shared" si="10"/>
        <v>246.93838862559244</v>
      </c>
      <c r="I165" s="29">
        <f t="shared" si="11"/>
        <v>0.23889846062425382</v>
      </c>
      <c r="J165" s="52">
        <v>0.44900000000000001</v>
      </c>
      <c r="K165" s="75">
        <v>-5.3821000000000003</v>
      </c>
      <c r="L165" s="81">
        <v>1035.5999999999999</v>
      </c>
      <c r="M165" s="13">
        <v>9.4999999999999998E-3</v>
      </c>
      <c r="N165" s="12">
        <v>-9.1649999999999995E-6</v>
      </c>
      <c r="O165" s="93">
        <v>0.2467</v>
      </c>
      <c r="P165" s="94">
        <v>0.25619999999999998</v>
      </c>
      <c r="Q165" s="95">
        <v>0.28570000000000001</v>
      </c>
      <c r="R165" s="111">
        <v>24.611000000000001</v>
      </c>
      <c r="S165" s="118">
        <v>-3368</v>
      </c>
      <c r="T165" s="125">
        <v>-5.391</v>
      </c>
      <c r="U165" s="14">
        <v>0</v>
      </c>
      <c r="V165" s="30">
        <v>0</v>
      </c>
      <c r="W165" s="138">
        <v>214.536</v>
      </c>
      <c r="X165" s="13">
        <v>0.79059000000000001</v>
      </c>
      <c r="Y165" s="14">
        <v>-2.1602000000000001E-3</v>
      </c>
      <c r="Z165" s="30">
        <v>2.9790000000000002E-6</v>
      </c>
      <c r="AA165" s="77">
        <v>0.16650000000000001</v>
      </c>
      <c r="AB165" s="5">
        <v>-7.6334000000000005E-5</v>
      </c>
      <c r="AC165" s="15">
        <v>-2.0732000000000001E-7</v>
      </c>
      <c r="AD165" s="146">
        <v>64.331000000000003</v>
      </c>
      <c r="AE165" s="147">
        <v>0.38</v>
      </c>
      <c r="AF165" s="150">
        <v>52.350999999999999</v>
      </c>
      <c r="AG165" s="152">
        <v>1.2222</v>
      </c>
    </row>
    <row r="166" spans="1:33" x14ac:dyDescent="0.2">
      <c r="A166" s="27">
        <v>11</v>
      </c>
      <c r="B166" s="69">
        <v>5.2705495649999996</v>
      </c>
      <c r="C166" s="28">
        <f t="shared" ref="C166:C197" si="13">(B166-MIN($B$134:$B$291))/(MAX($B$134:$B$291)-MIN($B$134:$B$291))</f>
        <v>0.26658084850009384</v>
      </c>
      <c r="D166" s="31">
        <v>156.31200000000001</v>
      </c>
      <c r="E166" s="47">
        <v>623.85</v>
      </c>
      <c r="F166" s="44">
        <v>19.670000000000002</v>
      </c>
      <c r="G166" s="11">
        <v>6.4050000000000001E-4</v>
      </c>
      <c r="H166" s="61">
        <f t="shared" si="10"/>
        <v>244.23749999999998</v>
      </c>
      <c r="I166" s="29">
        <f t="shared" si="11"/>
        <v>0.24271361253226506</v>
      </c>
      <c r="J166" s="52">
        <v>0.44800000000000001</v>
      </c>
      <c r="K166" s="75">
        <v>-4.6916000000000002</v>
      </c>
      <c r="L166" s="81">
        <v>850.45</v>
      </c>
      <c r="M166" s="13">
        <v>8.8000000000000005E-3</v>
      </c>
      <c r="N166" s="12">
        <v>-9.1222000000000005E-6</v>
      </c>
      <c r="O166" s="93">
        <v>0.24410000000000001</v>
      </c>
      <c r="P166" s="94">
        <v>0.26169999999999999</v>
      </c>
      <c r="Q166" s="95">
        <v>0.28570000000000001</v>
      </c>
      <c r="R166" s="111">
        <v>24.765000000000001</v>
      </c>
      <c r="S166" s="118">
        <v>-3348.8</v>
      </c>
      <c r="T166" s="125">
        <v>-5.4481000000000002</v>
      </c>
      <c r="U166" s="14">
        <v>0</v>
      </c>
      <c r="V166" s="30">
        <v>0</v>
      </c>
      <c r="W166" s="138">
        <v>193.446</v>
      </c>
      <c r="X166" s="13">
        <v>0.94774000000000003</v>
      </c>
      <c r="Y166" s="14">
        <v>-2.5482E-3</v>
      </c>
      <c r="Z166" s="30">
        <v>3.298E-6</v>
      </c>
      <c r="AA166" s="77">
        <v>0.16250000000000001</v>
      </c>
      <c r="AB166" s="5">
        <v>-6.1289000000000002E-5</v>
      </c>
      <c r="AC166" s="15">
        <v>-2.2653999999999999E-7</v>
      </c>
      <c r="AD166" s="146">
        <v>63.680999999999997</v>
      </c>
      <c r="AE166" s="147">
        <v>0.38</v>
      </c>
      <c r="AF166" s="150">
        <v>52.08</v>
      </c>
      <c r="AG166" s="152">
        <v>1.2222</v>
      </c>
    </row>
    <row r="167" spans="1:33" x14ac:dyDescent="0.2">
      <c r="A167" s="27">
        <v>11</v>
      </c>
      <c r="B167" s="69">
        <v>4.5049588649999999</v>
      </c>
      <c r="C167" s="28">
        <f t="shared" si="13"/>
        <v>0.21614340300465254</v>
      </c>
      <c r="D167" s="31">
        <v>156.31200000000001</v>
      </c>
      <c r="E167" s="47">
        <v>621.49</v>
      </c>
      <c r="F167" s="44">
        <v>19.61</v>
      </c>
      <c r="G167" s="11">
        <v>6.3949999999999999E-4</v>
      </c>
      <c r="H167" s="61">
        <f t="shared" si="10"/>
        <v>244.61971830985917</v>
      </c>
      <c r="I167" s="29">
        <f t="shared" si="11"/>
        <v>0.24251258817413709</v>
      </c>
      <c r="J167" s="52">
        <v>0.47799999999999998</v>
      </c>
      <c r="K167" s="75">
        <v>-5.0110000000000001</v>
      </c>
      <c r="L167" s="81">
        <v>890.81</v>
      </c>
      <c r="M167" s="13">
        <v>9.5999999999999992E-3</v>
      </c>
      <c r="N167" s="12">
        <v>-9.8761000000000002E-6</v>
      </c>
      <c r="O167" s="93">
        <v>0.24440000000000001</v>
      </c>
      <c r="P167" s="94">
        <v>0.2646</v>
      </c>
      <c r="Q167" s="95">
        <v>0.28570000000000001</v>
      </c>
      <c r="R167" s="111">
        <v>25.045000000000002</v>
      </c>
      <c r="S167" s="118">
        <v>-3399.8</v>
      </c>
      <c r="T167" s="125">
        <v>-5.5153999999999996</v>
      </c>
      <c r="U167" s="14">
        <v>0</v>
      </c>
      <c r="V167" s="30">
        <v>0</v>
      </c>
      <c r="W167" s="138">
        <v>209.19</v>
      </c>
      <c r="X167" s="13">
        <v>0.86373999999999995</v>
      </c>
      <c r="Y167" s="14">
        <v>-2.3706999999999999E-3</v>
      </c>
      <c r="Z167" s="30">
        <v>3.1939E-6</v>
      </c>
      <c r="AA167" s="77">
        <v>0.1663</v>
      </c>
      <c r="AB167" s="5">
        <v>-7.1748999999999994E-5</v>
      </c>
      <c r="AC167" s="15">
        <v>-2.206E-7</v>
      </c>
      <c r="AD167" s="146">
        <v>64.858999999999995</v>
      </c>
      <c r="AE167" s="147">
        <v>0.38</v>
      </c>
      <c r="AF167" s="150">
        <v>52.482999999999997</v>
      </c>
      <c r="AG167" s="152">
        <v>1.2222</v>
      </c>
    </row>
    <row r="168" spans="1:33" x14ac:dyDescent="0.2">
      <c r="A168" s="27">
        <v>11</v>
      </c>
      <c r="B168" s="69">
        <v>3.5170914999999998</v>
      </c>
      <c r="C168" s="28">
        <f t="shared" si="13"/>
        <v>0.15106227495684221</v>
      </c>
      <c r="D168" s="31">
        <v>156.31200000000001</v>
      </c>
      <c r="E168" s="47">
        <v>629.74</v>
      </c>
      <c r="F168" s="44">
        <v>19.61</v>
      </c>
      <c r="G168" s="11">
        <v>6.3949999999999999E-4</v>
      </c>
      <c r="H168" s="61">
        <f t="shared" si="10"/>
        <v>244.61971830985917</v>
      </c>
      <c r="I168" s="29">
        <f t="shared" si="11"/>
        <v>0.23933551691864016</v>
      </c>
      <c r="J168" s="52">
        <v>0.47799999999999998</v>
      </c>
      <c r="K168" s="75">
        <v>-5.0621999999999998</v>
      </c>
      <c r="L168" s="81">
        <v>912.11</v>
      </c>
      <c r="M168" s="13">
        <v>9.5999999999999992E-3</v>
      </c>
      <c r="N168" s="12">
        <v>-9.6715000000000005E-6</v>
      </c>
      <c r="O168" s="93">
        <v>0.24440000000000001</v>
      </c>
      <c r="P168" s="94">
        <v>0.26119999999999999</v>
      </c>
      <c r="Q168" s="95">
        <v>0.28570000000000001</v>
      </c>
      <c r="R168" s="111">
        <v>24.780999999999999</v>
      </c>
      <c r="S168" s="118">
        <v>-3423.3</v>
      </c>
      <c r="T168" s="125">
        <v>-5.4221000000000004</v>
      </c>
      <c r="U168" s="14">
        <v>0</v>
      </c>
      <c r="V168" s="30">
        <v>0</v>
      </c>
      <c r="W168" s="138">
        <v>211.32900000000001</v>
      </c>
      <c r="X168" s="13">
        <v>0.8478</v>
      </c>
      <c r="Y168" s="14">
        <v>-2.3035999999999998E-3</v>
      </c>
      <c r="Z168" s="30">
        <v>3.0898E-6</v>
      </c>
      <c r="AA168" s="77">
        <v>0.16650000000000001</v>
      </c>
      <c r="AB168" s="5">
        <v>-7.1155999999999994E-5</v>
      </c>
      <c r="AC168" s="15">
        <v>-2.1479999999999999E-7</v>
      </c>
      <c r="AD168" s="146">
        <v>65.760999999999996</v>
      </c>
      <c r="AE168" s="147">
        <v>0.38</v>
      </c>
      <c r="AF168" s="150">
        <v>52.725999999999999</v>
      </c>
      <c r="AG168" s="152">
        <v>1.2222</v>
      </c>
    </row>
    <row r="169" spans="1:33" x14ac:dyDescent="0.2">
      <c r="A169" s="27">
        <v>11</v>
      </c>
      <c r="B169" s="69">
        <v>3.8204211699999999</v>
      </c>
      <c r="C169" s="28">
        <f t="shared" si="13"/>
        <v>0.17104576443467312</v>
      </c>
      <c r="D169" s="31">
        <v>156.31200000000001</v>
      </c>
      <c r="E169" s="47">
        <v>622.87</v>
      </c>
      <c r="F169" s="44">
        <v>19.61</v>
      </c>
      <c r="G169" s="11">
        <v>6.3949999999999999E-4</v>
      </c>
      <c r="H169" s="61">
        <f t="shared" si="10"/>
        <v>244.61971830985917</v>
      </c>
      <c r="I169" s="29">
        <f t="shared" si="11"/>
        <v>0.24197528926476547</v>
      </c>
      <c r="J169" s="52">
        <v>0.47799999999999998</v>
      </c>
      <c r="K169" s="75">
        <v>-5.0206</v>
      </c>
      <c r="L169" s="81">
        <v>894.52</v>
      </c>
      <c r="M169" s="13">
        <v>9.5999999999999992E-3</v>
      </c>
      <c r="N169" s="12">
        <v>-9.8429000000000002E-6</v>
      </c>
      <c r="O169" s="93">
        <v>0.24440000000000001</v>
      </c>
      <c r="P169" s="94">
        <v>0.26219999999999999</v>
      </c>
      <c r="Q169" s="95">
        <v>0.28570000000000001</v>
      </c>
      <c r="R169" s="111">
        <v>25</v>
      </c>
      <c r="S169" s="118">
        <v>-3403.7</v>
      </c>
      <c r="T169" s="125">
        <v>-5.4996</v>
      </c>
      <c r="U169" s="14">
        <v>0</v>
      </c>
      <c r="V169" s="30">
        <v>0</v>
      </c>
      <c r="W169" s="138">
        <v>208.72</v>
      </c>
      <c r="X169" s="13">
        <v>0.86738000000000004</v>
      </c>
      <c r="Y169" s="14">
        <v>-2.3789000000000002E-3</v>
      </c>
      <c r="Z169" s="30">
        <v>3.2016E-6</v>
      </c>
      <c r="AA169" s="77">
        <v>0.16639999999999999</v>
      </c>
      <c r="AB169" s="5">
        <v>-7.1649999999999993E-5</v>
      </c>
      <c r="AC169" s="15">
        <v>-2.1962E-7</v>
      </c>
      <c r="AD169" s="146">
        <v>65.009</v>
      </c>
      <c r="AE169" s="147">
        <v>0.38</v>
      </c>
      <c r="AF169" s="150">
        <v>52.524000000000001</v>
      </c>
      <c r="AG169" s="152">
        <v>1.2222</v>
      </c>
    </row>
    <row r="170" spans="1:33" x14ac:dyDescent="0.2">
      <c r="A170" s="27">
        <v>11</v>
      </c>
      <c r="B170" s="69">
        <v>3.8223563999999999</v>
      </c>
      <c r="C170" s="28">
        <f t="shared" si="13"/>
        <v>0.17117325822168769</v>
      </c>
      <c r="D170" s="31">
        <v>156.31200000000001</v>
      </c>
      <c r="E170" s="47">
        <v>625.61</v>
      </c>
      <c r="F170" s="44">
        <v>19.61</v>
      </c>
      <c r="G170" s="11">
        <v>6.3949999999999999E-4</v>
      </c>
      <c r="H170" s="61">
        <f t="shared" si="10"/>
        <v>244.61971830985917</v>
      </c>
      <c r="I170" s="29">
        <f t="shared" si="11"/>
        <v>0.24091550394709876</v>
      </c>
      <c r="J170" s="52">
        <v>0.47799999999999998</v>
      </c>
      <c r="K170" s="75">
        <v>-5.0384000000000002</v>
      </c>
      <c r="L170" s="81">
        <v>901.73</v>
      </c>
      <c r="M170" s="13">
        <v>9.5999999999999992E-3</v>
      </c>
      <c r="N170" s="12">
        <v>-9.7752999999999994E-6</v>
      </c>
      <c r="O170" s="93">
        <v>0.24440000000000001</v>
      </c>
      <c r="P170" s="94">
        <v>0.26250000000000001</v>
      </c>
      <c r="Q170" s="95">
        <v>0.28570000000000001</v>
      </c>
      <c r="R170" s="111">
        <v>24.911999999999999</v>
      </c>
      <c r="S170" s="118">
        <v>-3411.5</v>
      </c>
      <c r="T170" s="125">
        <v>-5.4683999999999999</v>
      </c>
      <c r="U170" s="14">
        <v>0</v>
      </c>
      <c r="V170" s="30">
        <v>0</v>
      </c>
      <c r="W170" s="138">
        <v>210.09299999999999</v>
      </c>
      <c r="X170" s="13">
        <v>0.85699999999999998</v>
      </c>
      <c r="Y170" s="14">
        <v>-2.3408000000000001E-3</v>
      </c>
      <c r="Z170" s="30">
        <v>3.1464999999999999E-6</v>
      </c>
      <c r="AA170" s="77">
        <v>0.16639999999999999</v>
      </c>
      <c r="AB170" s="5">
        <v>-7.1452000000000006E-5</v>
      </c>
      <c r="AC170" s="15">
        <v>-2.1766999999999999E-7</v>
      </c>
      <c r="AD170" s="146">
        <v>65.31</v>
      </c>
      <c r="AE170" s="147">
        <v>0.38</v>
      </c>
      <c r="AF170" s="150">
        <v>52.604999999999997</v>
      </c>
      <c r="AG170" s="152">
        <v>1.2222</v>
      </c>
    </row>
    <row r="171" spans="1:33" x14ac:dyDescent="0.2">
      <c r="A171" s="27">
        <v>11</v>
      </c>
      <c r="B171" s="69">
        <v>4.5057604500000004</v>
      </c>
      <c r="C171" s="28">
        <f t="shared" si="13"/>
        <v>0.21619621177015541</v>
      </c>
      <c r="D171" s="31">
        <v>156.31200000000001</v>
      </c>
      <c r="E171" s="47">
        <v>621.49</v>
      </c>
      <c r="F171" s="44">
        <v>19.61</v>
      </c>
      <c r="G171" s="11">
        <v>6.3949999999999999E-4</v>
      </c>
      <c r="H171" s="61">
        <f t="shared" si="10"/>
        <v>244.61971830985917</v>
      </c>
      <c r="I171" s="29">
        <f t="shared" si="11"/>
        <v>0.24251258817413709</v>
      </c>
      <c r="J171" s="52">
        <v>0.47799999999999998</v>
      </c>
      <c r="K171" s="75">
        <v>-5.0110000000000001</v>
      </c>
      <c r="L171" s="81">
        <v>890.81</v>
      </c>
      <c r="M171" s="13">
        <v>9.5999999999999992E-3</v>
      </c>
      <c r="N171" s="12">
        <v>-9.8761000000000002E-6</v>
      </c>
      <c r="O171" s="93">
        <v>0.24440000000000001</v>
      </c>
      <c r="P171" s="94">
        <v>0.26450000000000001</v>
      </c>
      <c r="Q171" s="95">
        <v>0.28570000000000001</v>
      </c>
      <c r="R171" s="111">
        <v>25.045000000000002</v>
      </c>
      <c r="S171" s="118">
        <v>-3399.8</v>
      </c>
      <c r="T171" s="125">
        <v>-5.5153999999999996</v>
      </c>
      <c r="U171" s="14">
        <v>0</v>
      </c>
      <c r="V171" s="30">
        <v>0</v>
      </c>
      <c r="W171" s="138">
        <v>209.131</v>
      </c>
      <c r="X171" s="13">
        <v>0.86419000000000001</v>
      </c>
      <c r="Y171" s="14">
        <v>-2.3720999999999998E-3</v>
      </c>
      <c r="Z171" s="30">
        <v>3.1957000000000002E-6</v>
      </c>
      <c r="AA171" s="77">
        <v>0.1663</v>
      </c>
      <c r="AB171" s="5">
        <v>-7.1748999999999994E-5</v>
      </c>
      <c r="AC171" s="15">
        <v>-2.206E-7</v>
      </c>
      <c r="AD171" s="146">
        <v>64.858999999999995</v>
      </c>
      <c r="AE171" s="147">
        <v>0.38</v>
      </c>
      <c r="AF171" s="150">
        <v>52.482999999999997</v>
      </c>
      <c r="AG171" s="152">
        <v>1.2222</v>
      </c>
    </row>
    <row r="172" spans="1:33" x14ac:dyDescent="0.2">
      <c r="A172" s="27">
        <v>11</v>
      </c>
      <c r="B172" s="69">
        <v>5.2739024250000002</v>
      </c>
      <c r="C172" s="28">
        <f t="shared" si="13"/>
        <v>0.2668017363628955</v>
      </c>
      <c r="D172" s="31">
        <v>156.31200000000001</v>
      </c>
      <c r="E172" s="47">
        <v>629.38</v>
      </c>
      <c r="F172" s="44">
        <v>19.670000000000002</v>
      </c>
      <c r="G172" s="11">
        <v>6.4050000000000001E-4</v>
      </c>
      <c r="H172" s="61">
        <f t="shared" si="10"/>
        <v>244.23749999999998</v>
      </c>
      <c r="I172" s="29">
        <f t="shared" si="11"/>
        <v>0.24058102764348019</v>
      </c>
      <c r="J172" s="52">
        <v>0.44800000000000001</v>
      </c>
      <c r="K172" s="75">
        <v>-4.7351999999999999</v>
      </c>
      <c r="L172" s="81">
        <v>865.74</v>
      </c>
      <c r="M172" s="13">
        <v>8.8000000000000005E-3</v>
      </c>
      <c r="N172" s="12">
        <v>-9.0110000000000006E-6</v>
      </c>
      <c r="O172" s="93">
        <v>0.24410000000000001</v>
      </c>
      <c r="P172" s="94">
        <v>0.26229999999999998</v>
      </c>
      <c r="Q172" s="95">
        <v>0.28570000000000001</v>
      </c>
      <c r="R172" s="111">
        <v>24.588999999999999</v>
      </c>
      <c r="S172" s="118">
        <v>-3364.2</v>
      </c>
      <c r="T172" s="125">
        <v>-5.3861999999999997</v>
      </c>
      <c r="U172" s="14">
        <v>0</v>
      </c>
      <c r="V172" s="30">
        <v>0</v>
      </c>
      <c r="W172" s="138">
        <v>196.55500000000001</v>
      </c>
      <c r="X172" s="13">
        <v>0.92386000000000001</v>
      </c>
      <c r="Y172" s="14">
        <v>-2.4643E-3</v>
      </c>
      <c r="Z172" s="30">
        <v>3.1818000000000002E-6</v>
      </c>
      <c r="AA172" s="77">
        <v>0.16270000000000001</v>
      </c>
      <c r="AB172" s="5">
        <v>-6.1107999999999998E-5</v>
      </c>
      <c r="AC172" s="15">
        <v>-2.2240000000000001E-7</v>
      </c>
      <c r="AD172" s="146">
        <v>64.272999999999996</v>
      </c>
      <c r="AE172" s="147">
        <v>0.38</v>
      </c>
      <c r="AF172" s="150">
        <v>52.241</v>
      </c>
      <c r="AG172" s="152">
        <v>1.2222</v>
      </c>
    </row>
    <row r="173" spans="1:33" x14ac:dyDescent="0.2">
      <c r="A173" s="27">
        <v>11</v>
      </c>
      <c r="B173" s="69">
        <v>3.8237807099999999</v>
      </c>
      <c r="C173" s="28">
        <f t="shared" si="13"/>
        <v>0.17126709237875573</v>
      </c>
      <c r="D173" s="31">
        <v>156.31200000000001</v>
      </c>
      <c r="E173" s="47">
        <v>628.36</v>
      </c>
      <c r="F173" s="44">
        <v>19.61</v>
      </c>
      <c r="G173" s="11">
        <v>6.3949999999999999E-4</v>
      </c>
      <c r="H173" s="61">
        <f t="shared" si="10"/>
        <v>244.61971830985917</v>
      </c>
      <c r="I173" s="29">
        <f t="shared" si="11"/>
        <v>0.23986114396897396</v>
      </c>
      <c r="J173" s="52">
        <v>0.47799999999999998</v>
      </c>
      <c r="K173" s="75">
        <v>-5.0547000000000004</v>
      </c>
      <c r="L173" s="81">
        <v>908.71</v>
      </c>
      <c r="M173" s="13">
        <v>9.5999999999999992E-3</v>
      </c>
      <c r="N173" s="12">
        <v>-9.7064000000000008E-6</v>
      </c>
      <c r="O173" s="93">
        <v>0.24440000000000001</v>
      </c>
      <c r="P173" s="94">
        <v>0.26269999999999999</v>
      </c>
      <c r="Q173" s="95">
        <v>0.28570000000000001</v>
      </c>
      <c r="R173" s="111">
        <v>24.824000000000002</v>
      </c>
      <c r="S173" s="118">
        <v>-3419.3</v>
      </c>
      <c r="T173" s="125">
        <v>-5.4375</v>
      </c>
      <c r="U173" s="14">
        <v>0</v>
      </c>
      <c r="V173" s="30">
        <v>0</v>
      </c>
      <c r="W173" s="138">
        <v>211.38800000000001</v>
      </c>
      <c r="X173" s="13">
        <v>0.84726999999999997</v>
      </c>
      <c r="Y173" s="14">
        <v>-2.3050000000000002E-3</v>
      </c>
      <c r="Z173" s="30">
        <v>3.0943000000000002E-6</v>
      </c>
      <c r="AA173" s="77">
        <v>0.16639999999999999</v>
      </c>
      <c r="AB173" s="5">
        <v>-7.1254999999999995E-5</v>
      </c>
      <c r="AC173" s="15">
        <v>-2.1575000000000001E-7</v>
      </c>
      <c r="AD173" s="146">
        <v>65.611000000000004</v>
      </c>
      <c r="AE173" s="147">
        <v>0.38</v>
      </c>
      <c r="AF173" s="150">
        <v>52.686</v>
      </c>
      <c r="AG173" s="152">
        <v>1.2222</v>
      </c>
    </row>
    <row r="174" spans="1:33" x14ac:dyDescent="0.2">
      <c r="A174" s="27">
        <v>11</v>
      </c>
      <c r="B174" s="69">
        <v>4.5085290450000004</v>
      </c>
      <c r="C174" s="28">
        <f t="shared" si="13"/>
        <v>0.21637860800277872</v>
      </c>
      <c r="D174" s="31">
        <v>156.31200000000001</v>
      </c>
      <c r="E174" s="47">
        <v>620.12</v>
      </c>
      <c r="F174" s="44">
        <v>19.61</v>
      </c>
      <c r="G174" s="11">
        <v>6.3949999999999999E-4</v>
      </c>
      <c r="H174" s="61">
        <f t="shared" si="10"/>
        <v>244.61971830985917</v>
      </c>
      <c r="I174" s="29">
        <f t="shared" si="11"/>
        <v>0.24304835906654271</v>
      </c>
      <c r="J174" s="52">
        <v>0.47799999999999998</v>
      </c>
      <c r="K174" s="75">
        <v>-5.0008999999999997</v>
      </c>
      <c r="L174" s="81">
        <v>887.03</v>
      </c>
      <c r="M174" s="13">
        <v>9.5999999999999992E-3</v>
      </c>
      <c r="N174" s="12">
        <v>-9.9088999999999993E-6</v>
      </c>
      <c r="O174" s="93">
        <v>0.24440000000000001</v>
      </c>
      <c r="P174" s="94">
        <v>0.26519999999999999</v>
      </c>
      <c r="Q174" s="95">
        <v>0.28570000000000001</v>
      </c>
      <c r="R174" s="111">
        <v>25.09</v>
      </c>
      <c r="S174" s="118">
        <v>-3395.9</v>
      </c>
      <c r="T174" s="125">
        <v>-5.5312000000000001</v>
      </c>
      <c r="U174" s="14">
        <v>0</v>
      </c>
      <c r="V174" s="30">
        <v>0</v>
      </c>
      <c r="W174" s="138">
        <v>208.80199999999999</v>
      </c>
      <c r="X174" s="13">
        <v>0.86667000000000005</v>
      </c>
      <c r="Y174" s="14">
        <v>-2.3828999999999999E-3</v>
      </c>
      <c r="Z174" s="30">
        <v>3.2126E-6</v>
      </c>
      <c r="AA174" s="77">
        <v>0.1663</v>
      </c>
      <c r="AB174" s="5">
        <v>-7.1847999999999994E-5</v>
      </c>
      <c r="AC174" s="15">
        <v>-2.216E-7</v>
      </c>
      <c r="AD174" s="146">
        <v>64.709000000000003</v>
      </c>
      <c r="AE174" s="147">
        <v>0.38</v>
      </c>
      <c r="AF174" s="150">
        <v>52.442</v>
      </c>
      <c r="AG174" s="152">
        <v>1.2222</v>
      </c>
    </row>
    <row r="175" spans="1:33" x14ac:dyDescent="0.2">
      <c r="A175" s="27">
        <v>11</v>
      </c>
      <c r="B175" s="69">
        <v>4.20055566</v>
      </c>
      <c r="C175" s="28">
        <f t="shared" si="13"/>
        <v>0.19608918857803379</v>
      </c>
      <c r="D175" s="31">
        <v>156.31200000000001</v>
      </c>
      <c r="E175" s="47">
        <v>631.11</v>
      </c>
      <c r="F175" s="44">
        <v>19.61</v>
      </c>
      <c r="G175" s="11">
        <v>6.3949999999999999E-4</v>
      </c>
      <c r="H175" s="61">
        <f t="shared" si="10"/>
        <v>244.61971830985917</v>
      </c>
      <c r="I175" s="29">
        <f t="shared" si="11"/>
        <v>0.23881597253148334</v>
      </c>
      <c r="J175" s="52">
        <v>0.47799999999999998</v>
      </c>
      <c r="K175" s="75">
        <v>-5.0693999999999999</v>
      </c>
      <c r="L175" s="81">
        <v>915.45</v>
      </c>
      <c r="M175" s="13">
        <v>9.5999999999999992E-3</v>
      </c>
      <c r="N175" s="12">
        <v>-9.6362999999999995E-6</v>
      </c>
      <c r="O175" s="93">
        <v>0.24440000000000001</v>
      </c>
      <c r="P175" s="94">
        <v>0.26290000000000002</v>
      </c>
      <c r="Q175" s="95">
        <v>0.28570000000000001</v>
      </c>
      <c r="R175" s="111">
        <v>24.738</v>
      </c>
      <c r="S175" s="118">
        <v>-3427.2</v>
      </c>
      <c r="T175" s="125">
        <v>-5.4069000000000003</v>
      </c>
      <c r="U175" s="14">
        <v>0</v>
      </c>
      <c r="V175" s="30">
        <v>0</v>
      </c>
      <c r="W175" s="138">
        <v>212.72</v>
      </c>
      <c r="X175" s="13">
        <v>0.83731</v>
      </c>
      <c r="Y175" s="14">
        <v>-2.2686E-3</v>
      </c>
      <c r="Z175" s="30">
        <v>3.0417E-6</v>
      </c>
      <c r="AA175" s="77">
        <v>0.16650000000000001</v>
      </c>
      <c r="AB175" s="5">
        <v>-7.1056999999999994E-5</v>
      </c>
      <c r="AC175" s="15">
        <v>-2.1386000000000001E-7</v>
      </c>
      <c r="AD175" s="146">
        <v>65.911000000000001</v>
      </c>
      <c r="AE175" s="147">
        <v>0.38</v>
      </c>
      <c r="AF175" s="150">
        <v>52.765999999999998</v>
      </c>
      <c r="AG175" s="152">
        <v>1.2222</v>
      </c>
    </row>
    <row r="176" spans="1:33" x14ac:dyDescent="0.2">
      <c r="A176" s="27">
        <v>11</v>
      </c>
      <c r="B176" s="69">
        <v>6.3586799650000003</v>
      </c>
      <c r="C176" s="28">
        <f t="shared" si="13"/>
        <v>0.33826734853455454</v>
      </c>
      <c r="D176" s="31">
        <v>156.31200000000001</v>
      </c>
      <c r="E176" s="47">
        <v>626.62</v>
      </c>
      <c r="F176" s="44">
        <v>19.670000000000002</v>
      </c>
      <c r="G176" s="11">
        <v>6.4050000000000001E-4</v>
      </c>
      <c r="H176" s="61">
        <f t="shared" si="10"/>
        <v>244.23749999999998</v>
      </c>
      <c r="I176" s="29">
        <f t="shared" si="11"/>
        <v>0.24164068682495543</v>
      </c>
      <c r="J176" s="52">
        <v>0.44800000000000001</v>
      </c>
      <c r="K176" s="75">
        <v>-4.7142999999999997</v>
      </c>
      <c r="L176" s="81">
        <v>858.23</v>
      </c>
      <c r="M176" s="13">
        <v>8.8000000000000005E-3</v>
      </c>
      <c r="N176" s="12">
        <v>-9.0674000000000006E-6</v>
      </c>
      <c r="O176" s="93">
        <v>0.24410000000000001</v>
      </c>
      <c r="P176" s="94">
        <v>0.2671</v>
      </c>
      <c r="Q176" s="95">
        <v>0.28570000000000001</v>
      </c>
      <c r="R176" s="111">
        <v>24.677</v>
      </c>
      <c r="S176" s="118">
        <v>-3356.5</v>
      </c>
      <c r="T176" s="125">
        <v>-5.4169999999999998</v>
      </c>
      <c r="U176" s="14">
        <v>0</v>
      </c>
      <c r="V176" s="30">
        <v>0</v>
      </c>
      <c r="W176" s="138">
        <v>197.56</v>
      </c>
      <c r="X176" s="13">
        <v>0.91646000000000005</v>
      </c>
      <c r="Y176" s="14">
        <v>-2.4486E-3</v>
      </c>
      <c r="Z176" s="30">
        <v>3.1677000000000002E-6</v>
      </c>
      <c r="AA176" s="77">
        <v>0.16259999999999999</v>
      </c>
      <c r="AB176" s="5">
        <v>-6.1198999999999995E-5</v>
      </c>
      <c r="AC176" s="15">
        <v>-2.2446000000000001E-7</v>
      </c>
      <c r="AD176" s="146">
        <v>63.976999999999997</v>
      </c>
      <c r="AE176" s="147">
        <v>0.38</v>
      </c>
      <c r="AF176" s="150">
        <v>52.16</v>
      </c>
      <c r="AG176" s="152">
        <v>1.2222</v>
      </c>
    </row>
    <row r="177" spans="1:33" x14ac:dyDescent="0.2">
      <c r="A177" s="27">
        <v>11</v>
      </c>
      <c r="B177" s="69">
        <v>3.5183916874999999</v>
      </c>
      <c r="C177" s="28">
        <f t="shared" si="13"/>
        <v>0.15114793187007941</v>
      </c>
      <c r="D177" s="31">
        <v>156.31200000000001</v>
      </c>
      <c r="E177" s="47">
        <v>625.61</v>
      </c>
      <c r="F177" s="44">
        <v>19.61</v>
      </c>
      <c r="G177" s="11">
        <v>6.3949999999999999E-4</v>
      </c>
      <c r="H177" s="61">
        <f t="shared" si="10"/>
        <v>244.61971830985917</v>
      </c>
      <c r="I177" s="29">
        <f t="shared" si="11"/>
        <v>0.24091550394709876</v>
      </c>
      <c r="J177" s="52">
        <v>0.47799999999999998</v>
      </c>
      <c r="K177" s="75">
        <v>-5.0384000000000002</v>
      </c>
      <c r="L177" s="81">
        <v>901.73</v>
      </c>
      <c r="M177" s="13">
        <v>9.5999999999999992E-3</v>
      </c>
      <c r="N177" s="12">
        <v>-9.7752999999999994E-6</v>
      </c>
      <c r="O177" s="93">
        <v>0.24440000000000001</v>
      </c>
      <c r="P177" s="94">
        <v>0.2606</v>
      </c>
      <c r="Q177" s="95">
        <v>0.28570000000000001</v>
      </c>
      <c r="R177" s="111">
        <v>24.911999999999999</v>
      </c>
      <c r="S177" s="118">
        <v>-3411.5</v>
      </c>
      <c r="T177" s="125">
        <v>-5.4683999999999999</v>
      </c>
      <c r="U177" s="14">
        <v>0</v>
      </c>
      <c r="V177" s="30">
        <v>0</v>
      </c>
      <c r="W177" s="138">
        <v>209.21100000000001</v>
      </c>
      <c r="X177" s="13">
        <v>0.86373999999999995</v>
      </c>
      <c r="Y177" s="14">
        <v>-2.3614999999999999E-3</v>
      </c>
      <c r="Z177" s="30">
        <v>3.1734E-6</v>
      </c>
      <c r="AA177" s="77">
        <v>0.16639999999999999</v>
      </c>
      <c r="AB177" s="5">
        <v>-7.1452000000000006E-5</v>
      </c>
      <c r="AC177" s="15">
        <v>-2.1766999999999999E-7</v>
      </c>
      <c r="AD177" s="146">
        <v>65.31</v>
      </c>
      <c r="AE177" s="147">
        <v>0.38</v>
      </c>
      <c r="AF177" s="150">
        <v>52.604999999999997</v>
      </c>
      <c r="AG177" s="152">
        <v>1.2222</v>
      </c>
    </row>
    <row r="178" spans="1:33" x14ac:dyDescent="0.2">
      <c r="A178" s="27">
        <v>11</v>
      </c>
      <c r="B178" s="69">
        <v>3.8216888299999998</v>
      </c>
      <c r="C178" s="28">
        <f t="shared" si="13"/>
        <v>0.17112927842218204</v>
      </c>
      <c r="D178" s="31">
        <v>156.31200000000001</v>
      </c>
      <c r="E178" s="47">
        <v>621.49</v>
      </c>
      <c r="F178" s="44">
        <v>19.61</v>
      </c>
      <c r="G178" s="11">
        <v>6.3949999999999999E-4</v>
      </c>
      <c r="H178" s="61">
        <f t="shared" si="10"/>
        <v>244.61971830985917</v>
      </c>
      <c r="I178" s="29">
        <f t="shared" si="11"/>
        <v>0.24251258817413709</v>
      </c>
      <c r="J178" s="52">
        <v>0.47799999999999998</v>
      </c>
      <c r="K178" s="75">
        <v>-5.0110000000000001</v>
      </c>
      <c r="L178" s="81">
        <v>890.81</v>
      </c>
      <c r="M178" s="13">
        <v>9.5999999999999992E-3</v>
      </c>
      <c r="N178" s="12">
        <v>-9.8761000000000002E-6</v>
      </c>
      <c r="O178" s="93">
        <v>0.24440000000000001</v>
      </c>
      <c r="P178" s="94">
        <v>0.2621</v>
      </c>
      <c r="Q178" s="95">
        <v>0.28570000000000001</v>
      </c>
      <c r="R178" s="111">
        <v>25.045000000000002</v>
      </c>
      <c r="S178" s="118">
        <v>-3399.8</v>
      </c>
      <c r="T178" s="125">
        <v>-5.5153999999999996</v>
      </c>
      <c r="U178" s="14">
        <v>0</v>
      </c>
      <c r="V178" s="30">
        <v>0</v>
      </c>
      <c r="W178" s="138">
        <v>208.035</v>
      </c>
      <c r="X178" s="13">
        <v>0.87258000000000002</v>
      </c>
      <c r="Y178" s="14">
        <v>-2.398E-3</v>
      </c>
      <c r="Z178" s="30">
        <v>3.2293999999999999E-6</v>
      </c>
      <c r="AA178" s="77">
        <v>0.1663</v>
      </c>
      <c r="AB178" s="5">
        <v>-7.1748999999999994E-5</v>
      </c>
      <c r="AC178" s="15">
        <v>-2.206E-7</v>
      </c>
      <c r="AD178" s="146">
        <v>64.858999999999995</v>
      </c>
      <c r="AE178" s="147">
        <v>0.38</v>
      </c>
      <c r="AF178" s="150">
        <v>52.482999999999997</v>
      </c>
      <c r="AG178" s="152">
        <v>1.2222</v>
      </c>
    </row>
    <row r="179" spans="1:33" x14ac:dyDescent="0.2">
      <c r="A179" s="27">
        <v>11</v>
      </c>
      <c r="B179" s="69">
        <v>5.2716638587500002</v>
      </c>
      <c r="C179" s="28">
        <f t="shared" si="13"/>
        <v>0.26665425865290987</v>
      </c>
      <c r="D179" s="31">
        <v>156.31200000000001</v>
      </c>
      <c r="E179" s="47">
        <v>622.47</v>
      </c>
      <c r="F179" s="44">
        <v>19.670000000000002</v>
      </c>
      <c r="G179" s="11">
        <v>6.4050000000000001E-4</v>
      </c>
      <c r="H179" s="61">
        <f t="shared" si="10"/>
        <v>244.23749999999998</v>
      </c>
      <c r="I179" s="29">
        <f t="shared" si="11"/>
        <v>0.24325170237642549</v>
      </c>
      <c r="J179" s="52">
        <v>0.44800000000000001</v>
      </c>
      <c r="K179" s="75">
        <v>-4.6795</v>
      </c>
      <c r="L179" s="81">
        <v>846.46</v>
      </c>
      <c r="M179" s="13">
        <v>8.8000000000000005E-3</v>
      </c>
      <c r="N179" s="12">
        <v>-9.1487999999999995E-6</v>
      </c>
      <c r="O179" s="93">
        <v>0.24410000000000001</v>
      </c>
      <c r="P179" s="94">
        <v>0.2616</v>
      </c>
      <c r="Q179" s="95">
        <v>0.28570000000000001</v>
      </c>
      <c r="R179" s="111">
        <v>24.809000000000001</v>
      </c>
      <c r="S179" s="118">
        <v>-3345</v>
      </c>
      <c r="T179" s="125">
        <v>-5.4638</v>
      </c>
      <c r="U179" s="14">
        <v>0</v>
      </c>
      <c r="V179" s="30">
        <v>0</v>
      </c>
      <c r="W179" s="138">
        <v>192.691</v>
      </c>
      <c r="X179" s="13">
        <v>0.9536</v>
      </c>
      <c r="Y179" s="14">
        <v>-2.5690000000000001E-3</v>
      </c>
      <c r="Z179" s="30">
        <v>3.3268999999999999E-6</v>
      </c>
      <c r="AA179" s="77">
        <v>0.16250000000000001</v>
      </c>
      <c r="AB179" s="5">
        <v>-6.1333000000000004E-5</v>
      </c>
      <c r="AC179" s="15">
        <v>-2.276E-7</v>
      </c>
      <c r="AD179" s="146">
        <v>63.533000000000001</v>
      </c>
      <c r="AE179" s="147">
        <v>0.38</v>
      </c>
      <c r="AF179" s="150">
        <v>52.039000000000001</v>
      </c>
      <c r="AG179" s="152">
        <v>1.2222</v>
      </c>
    </row>
    <row r="180" spans="1:33" x14ac:dyDescent="0.2">
      <c r="A180" s="27">
        <v>11</v>
      </c>
      <c r="B180" s="69">
        <v>4.5071220074999996</v>
      </c>
      <c r="C180" s="28">
        <f t="shared" si="13"/>
        <v>0.21628591176545986</v>
      </c>
      <c r="D180" s="31">
        <v>156.31200000000001</v>
      </c>
      <c r="E180" s="47">
        <v>622.87</v>
      </c>
      <c r="F180" s="44">
        <v>19.61</v>
      </c>
      <c r="G180" s="11">
        <v>6.3949999999999999E-4</v>
      </c>
      <c r="H180" s="61">
        <f t="shared" si="10"/>
        <v>244.61971830985917</v>
      </c>
      <c r="I180" s="29">
        <f t="shared" si="11"/>
        <v>0.24197528926476547</v>
      </c>
      <c r="J180" s="52">
        <v>0.47799999999999998</v>
      </c>
      <c r="K180" s="75">
        <v>-5.0206</v>
      </c>
      <c r="L180" s="81">
        <v>894.52</v>
      </c>
      <c r="M180" s="13">
        <v>9.5999999999999992E-3</v>
      </c>
      <c r="N180" s="12">
        <v>-9.8429000000000002E-6</v>
      </c>
      <c r="O180" s="93">
        <v>0.24440000000000001</v>
      </c>
      <c r="P180" s="94">
        <v>0.26450000000000001</v>
      </c>
      <c r="Q180" s="95">
        <v>0.28570000000000001</v>
      </c>
      <c r="R180" s="111">
        <v>25</v>
      </c>
      <c r="S180" s="118">
        <v>-3403.7</v>
      </c>
      <c r="T180" s="125">
        <v>-5.4996</v>
      </c>
      <c r="U180" s="14">
        <v>0</v>
      </c>
      <c r="V180" s="30">
        <v>0</v>
      </c>
      <c r="W180" s="138">
        <v>209.75200000000001</v>
      </c>
      <c r="X180" s="13">
        <v>0.85948999999999998</v>
      </c>
      <c r="Y180" s="14">
        <v>-2.3546000000000001E-3</v>
      </c>
      <c r="Z180" s="30">
        <v>3.1700000000000001E-6</v>
      </c>
      <c r="AA180" s="77">
        <v>0.16639999999999999</v>
      </c>
      <c r="AB180" s="5">
        <v>-7.1649999999999993E-5</v>
      </c>
      <c r="AC180" s="15">
        <v>-2.1962E-7</v>
      </c>
      <c r="AD180" s="146">
        <v>65.009</v>
      </c>
      <c r="AE180" s="147">
        <v>0.38</v>
      </c>
      <c r="AF180" s="150">
        <v>52.524000000000001</v>
      </c>
      <c r="AG180" s="152">
        <v>1.2222</v>
      </c>
    </row>
    <row r="181" spans="1:33" x14ac:dyDescent="0.2">
      <c r="A181" s="27">
        <v>11</v>
      </c>
      <c r="B181" s="69">
        <v>5.1903767587500003</v>
      </c>
      <c r="C181" s="28">
        <f t="shared" si="13"/>
        <v>0.26129902944788885</v>
      </c>
      <c r="D181" s="31">
        <v>156.31200000000001</v>
      </c>
      <c r="E181" s="47">
        <v>626.99</v>
      </c>
      <c r="F181" s="44">
        <v>19.61</v>
      </c>
      <c r="G181" s="11">
        <v>6.3949999999999999E-4</v>
      </c>
      <c r="H181" s="61">
        <f t="shared" si="10"/>
        <v>244.61971830985917</v>
      </c>
      <c r="I181" s="29">
        <f t="shared" si="11"/>
        <v>0.2403852508402757</v>
      </c>
      <c r="J181" s="52">
        <v>0.47799999999999998</v>
      </c>
      <c r="K181" s="75">
        <v>-5.0468000000000002</v>
      </c>
      <c r="L181" s="81">
        <v>905.25</v>
      </c>
      <c r="M181" s="13">
        <v>9.5999999999999992E-3</v>
      </c>
      <c r="N181" s="12">
        <v>-9.7410000000000004E-6</v>
      </c>
      <c r="O181" s="93">
        <v>0.24440000000000001</v>
      </c>
      <c r="P181" s="94">
        <v>0.26840000000000003</v>
      </c>
      <c r="Q181" s="95">
        <v>0.28570000000000001</v>
      </c>
      <c r="R181" s="111">
        <v>24.867999999999999</v>
      </c>
      <c r="S181" s="118">
        <v>-3415.4</v>
      </c>
      <c r="T181" s="125">
        <v>-5.4528999999999996</v>
      </c>
      <c r="U181" s="14">
        <v>0</v>
      </c>
      <c r="V181" s="30">
        <v>0</v>
      </c>
      <c r="W181" s="138">
        <v>213.339</v>
      </c>
      <c r="X181" s="13">
        <v>0.83235999999999999</v>
      </c>
      <c r="Y181" s="14">
        <v>-2.2623000000000001E-3</v>
      </c>
      <c r="Z181" s="30">
        <v>3.0417E-6</v>
      </c>
      <c r="AA181" s="77">
        <v>0.16639999999999999</v>
      </c>
      <c r="AB181" s="5">
        <v>-7.1353999999999995E-5</v>
      </c>
      <c r="AC181" s="15">
        <v>-2.1671000000000001E-7</v>
      </c>
      <c r="AD181" s="146">
        <v>65.459999999999994</v>
      </c>
      <c r="AE181" s="147">
        <v>0.38</v>
      </c>
      <c r="AF181" s="150">
        <v>52.645000000000003</v>
      </c>
      <c r="AG181" s="152">
        <v>1.2222</v>
      </c>
    </row>
    <row r="182" spans="1:33" x14ac:dyDescent="0.2">
      <c r="A182" s="27">
        <v>11</v>
      </c>
      <c r="B182" s="69">
        <v>1.2248651850000001</v>
      </c>
      <c r="C182" s="28">
        <f t="shared" si="13"/>
        <v>4.9416746797632126E-5</v>
      </c>
      <c r="D182" s="31">
        <v>156.31200000000001</v>
      </c>
      <c r="E182" s="47">
        <v>619.20000000000005</v>
      </c>
      <c r="F182" s="44">
        <v>19.48</v>
      </c>
      <c r="G182" s="11">
        <v>6.4550000000000002E-4</v>
      </c>
      <c r="H182" s="61">
        <f t="shared" si="10"/>
        <v>242.34418604651165</v>
      </c>
      <c r="I182" s="29">
        <f t="shared" si="11"/>
        <v>0.24406623366209601</v>
      </c>
      <c r="J182" s="52">
        <v>0.50700000000000001</v>
      </c>
      <c r="K182" s="75">
        <v>-5.2359999999999998</v>
      </c>
      <c r="L182" s="81">
        <v>918.82</v>
      </c>
      <c r="M182" s="13">
        <v>1.03E-2</v>
      </c>
      <c r="N182" s="12">
        <v>-1.0458999999999999E-5</v>
      </c>
      <c r="O182" s="93">
        <v>0.2422</v>
      </c>
      <c r="P182" s="94">
        <v>0.25800000000000001</v>
      </c>
      <c r="Q182" s="95">
        <v>0.28570000000000001</v>
      </c>
      <c r="R182" s="111">
        <v>25.303000000000001</v>
      </c>
      <c r="S182" s="118">
        <v>-3447.2</v>
      </c>
      <c r="T182" s="125">
        <v>-5.5774999999999997</v>
      </c>
      <c r="U182" s="14">
        <v>0</v>
      </c>
      <c r="V182" s="30">
        <v>0</v>
      </c>
      <c r="W182" s="138">
        <v>197.958</v>
      </c>
      <c r="X182" s="13">
        <v>0.98248999999999997</v>
      </c>
      <c r="Y182" s="14">
        <v>-2.7044999999999999E-3</v>
      </c>
      <c r="Z182" s="30">
        <v>3.5449000000000001E-6</v>
      </c>
      <c r="AA182" s="77">
        <v>0.1661</v>
      </c>
      <c r="AB182" s="5">
        <v>-6.6107999999999998E-5</v>
      </c>
      <c r="AC182" s="15">
        <v>-2.3073999999999999E-7</v>
      </c>
      <c r="AD182" s="146">
        <v>65.998999999999995</v>
      </c>
      <c r="AE182" s="147">
        <v>0.38</v>
      </c>
      <c r="AF182" s="150">
        <v>52.787999999999997</v>
      </c>
      <c r="AG182" s="152">
        <v>1.2222</v>
      </c>
    </row>
    <row r="183" spans="1:33" x14ac:dyDescent="0.2">
      <c r="A183" s="27">
        <v>11</v>
      </c>
      <c r="B183" s="69">
        <v>1.2241591199999999</v>
      </c>
      <c r="C183" s="28">
        <f t="shared" si="13"/>
        <v>2.9008800900740781E-6</v>
      </c>
      <c r="D183" s="31">
        <v>156.31200000000001</v>
      </c>
      <c r="E183" s="47">
        <v>624.66</v>
      </c>
      <c r="F183" s="44">
        <v>19.48</v>
      </c>
      <c r="G183" s="11">
        <v>6.4550000000000002E-4</v>
      </c>
      <c r="H183" s="61">
        <f t="shared" si="10"/>
        <v>242.34418604651165</v>
      </c>
      <c r="I183" s="29">
        <f t="shared" si="11"/>
        <v>0.24193291051703308</v>
      </c>
      <c r="J183" s="52">
        <v>0.50700000000000001</v>
      </c>
      <c r="K183" s="75">
        <v>-5.2683999999999997</v>
      </c>
      <c r="L183" s="81">
        <v>932.96</v>
      </c>
      <c r="M183" s="13">
        <v>1.0200000000000001E-2</v>
      </c>
      <c r="N183" s="12">
        <v>-1.0309000000000001E-5</v>
      </c>
      <c r="O183" s="93">
        <v>0.2422</v>
      </c>
      <c r="P183" s="94">
        <v>0.2586</v>
      </c>
      <c r="Q183" s="95">
        <v>0.28570000000000001</v>
      </c>
      <c r="R183" s="111">
        <v>25.125</v>
      </c>
      <c r="S183" s="118">
        <v>-3463.1</v>
      </c>
      <c r="T183" s="125">
        <v>-5.5145</v>
      </c>
      <c r="U183" s="14">
        <v>0</v>
      </c>
      <c r="V183" s="30">
        <v>0</v>
      </c>
      <c r="W183" s="138">
        <v>201.14400000000001</v>
      </c>
      <c r="X183" s="13">
        <v>0.95794000000000001</v>
      </c>
      <c r="Y183" s="14">
        <v>-2.6161999999999999E-3</v>
      </c>
      <c r="Z183" s="30">
        <v>3.4207999999999999E-6</v>
      </c>
      <c r="AA183" s="77">
        <v>0.16619999999999999</v>
      </c>
      <c r="AB183" s="5">
        <v>-6.5828999999999996E-5</v>
      </c>
      <c r="AC183" s="15">
        <v>-2.2660999999999999E-7</v>
      </c>
      <c r="AD183" s="146">
        <v>66.608999999999995</v>
      </c>
      <c r="AE183" s="147">
        <v>0.38</v>
      </c>
      <c r="AF183" s="150">
        <v>52.951000000000001</v>
      </c>
      <c r="AG183" s="152">
        <v>1.2222</v>
      </c>
    </row>
    <row r="184" spans="1:33" x14ac:dyDescent="0.2">
      <c r="A184" s="27">
        <v>11</v>
      </c>
      <c r="B184" s="69">
        <v>1.2241150875</v>
      </c>
      <c r="C184" s="28">
        <f t="shared" si="13"/>
        <v>0</v>
      </c>
      <c r="D184" s="31">
        <v>156.31200000000001</v>
      </c>
      <c r="E184" s="47">
        <v>630.13</v>
      </c>
      <c r="F184" s="44">
        <v>19.48</v>
      </c>
      <c r="G184" s="11">
        <v>6.4550000000000002E-4</v>
      </c>
      <c r="H184" s="61">
        <f t="shared" si="10"/>
        <v>242.34418604651165</v>
      </c>
      <c r="I184" s="29">
        <f t="shared" si="11"/>
        <v>0.23983275178704375</v>
      </c>
      <c r="J184" s="52">
        <v>0.50700000000000001</v>
      </c>
      <c r="K184" s="75">
        <v>-5.2944000000000004</v>
      </c>
      <c r="L184" s="81">
        <v>946.14</v>
      </c>
      <c r="M184" s="13">
        <v>1.0200000000000001E-2</v>
      </c>
      <c r="N184" s="12">
        <v>-1.0155E-5</v>
      </c>
      <c r="O184" s="93">
        <v>0.2422</v>
      </c>
      <c r="P184" s="94">
        <v>0.2591</v>
      </c>
      <c r="Q184" s="95">
        <v>0.28570000000000001</v>
      </c>
      <c r="R184" s="111">
        <v>24.951000000000001</v>
      </c>
      <c r="S184" s="118">
        <v>-3479</v>
      </c>
      <c r="T184" s="125">
        <v>-5.4527999999999999</v>
      </c>
      <c r="U184" s="14">
        <v>0</v>
      </c>
      <c r="V184" s="30">
        <v>0</v>
      </c>
      <c r="W184" s="138">
        <v>204.125</v>
      </c>
      <c r="X184" s="13">
        <v>0.93523000000000001</v>
      </c>
      <c r="Y184" s="14">
        <v>-2.5344999999999999E-3</v>
      </c>
      <c r="Z184" s="30">
        <v>3.3057E-6</v>
      </c>
      <c r="AA184" s="77">
        <v>0.16639999999999999</v>
      </c>
      <c r="AB184" s="5">
        <v>-6.5545999999999999E-5</v>
      </c>
      <c r="AC184" s="15">
        <v>-2.2259999999999999E-7</v>
      </c>
      <c r="AD184" s="146">
        <v>67.218999999999994</v>
      </c>
      <c r="AE184" s="147">
        <v>0.38</v>
      </c>
      <c r="AF184" s="150">
        <v>53.112000000000002</v>
      </c>
      <c r="AG184" s="152">
        <v>1.2222</v>
      </c>
    </row>
    <row r="185" spans="1:33" x14ac:dyDescent="0.2">
      <c r="A185" s="27">
        <v>11</v>
      </c>
      <c r="B185" s="69">
        <v>16.40312926</v>
      </c>
      <c r="C185" s="28">
        <f t="shared" si="13"/>
        <v>1</v>
      </c>
      <c r="D185" s="31">
        <v>156.31200000000001</v>
      </c>
      <c r="E185" s="47">
        <v>672.56</v>
      </c>
      <c r="F185" s="44">
        <v>20.350000000000001</v>
      </c>
      <c r="G185" s="11">
        <v>6.1850000000000002E-4</v>
      </c>
      <c r="H185" s="61">
        <f t="shared" si="10"/>
        <v>252.9320388349515</v>
      </c>
      <c r="I185" s="29">
        <f t="shared" si="11"/>
        <v>0.22491158910582865</v>
      </c>
      <c r="J185" s="52">
        <v>0.27500000000000002</v>
      </c>
      <c r="K185" s="75">
        <v>-4.3525999999999998</v>
      </c>
      <c r="L185" s="81">
        <v>945.16</v>
      </c>
      <c r="M185" s="13">
        <v>6.1999999999999998E-3</v>
      </c>
      <c r="N185" s="12">
        <v>-5.8269000000000001E-6</v>
      </c>
      <c r="O185" s="93">
        <v>0.25269999999999998</v>
      </c>
      <c r="P185" s="94">
        <v>0.2535</v>
      </c>
      <c r="Q185" s="95">
        <v>0.28570000000000001</v>
      </c>
      <c r="R185" s="111">
        <v>22.311</v>
      </c>
      <c r="S185" s="118">
        <v>-3144.3</v>
      </c>
      <c r="T185" s="125">
        <v>-4.7571000000000003</v>
      </c>
      <c r="U185" s="14">
        <v>0</v>
      </c>
      <c r="V185" s="30">
        <v>0</v>
      </c>
      <c r="W185" s="138">
        <v>205.261</v>
      </c>
      <c r="X185" s="13">
        <v>0.66468000000000005</v>
      </c>
      <c r="Y185" s="14">
        <v>-1.6253000000000001E-3</v>
      </c>
      <c r="Z185" s="30">
        <v>2.1374000000000001E-6</v>
      </c>
      <c r="AA185" s="77">
        <v>0.15659999999999999</v>
      </c>
      <c r="AB185" s="5">
        <v>-6.2254000000000004E-5</v>
      </c>
      <c r="AC185" s="15">
        <v>-1.7767999999999999E-7</v>
      </c>
      <c r="AD185" s="146">
        <v>60.265999999999998</v>
      </c>
      <c r="AE185" s="147">
        <v>0.38</v>
      </c>
      <c r="AF185" s="150">
        <v>51.238</v>
      </c>
      <c r="AG185" s="152">
        <v>1.2222</v>
      </c>
    </row>
    <row r="186" spans="1:33" x14ac:dyDescent="0.2">
      <c r="A186" s="27">
        <v>11</v>
      </c>
      <c r="B186" s="69">
        <v>3.5183007187499999</v>
      </c>
      <c r="C186" s="28">
        <f t="shared" si="13"/>
        <v>0.15114193880959695</v>
      </c>
      <c r="D186" s="31">
        <v>156.31200000000001</v>
      </c>
      <c r="E186" s="47">
        <v>620.12</v>
      </c>
      <c r="F186" s="44">
        <v>19.61</v>
      </c>
      <c r="G186" s="11">
        <v>6.3949999999999999E-4</v>
      </c>
      <c r="H186" s="61">
        <f t="shared" si="10"/>
        <v>244.61971830985917</v>
      </c>
      <c r="I186" s="29">
        <f t="shared" si="11"/>
        <v>0.24304835906654271</v>
      </c>
      <c r="J186" s="52">
        <v>0.47799999999999998</v>
      </c>
      <c r="K186" s="75">
        <v>-5.0008999999999997</v>
      </c>
      <c r="L186" s="81">
        <v>887.03</v>
      </c>
      <c r="M186" s="13">
        <v>9.5999999999999992E-3</v>
      </c>
      <c r="N186" s="12">
        <v>-9.9088999999999993E-6</v>
      </c>
      <c r="O186" s="93">
        <v>0.24440000000000001</v>
      </c>
      <c r="P186" s="94">
        <v>0.25940000000000002</v>
      </c>
      <c r="Q186" s="95">
        <v>0.28570000000000001</v>
      </c>
      <c r="R186" s="111">
        <v>25.09</v>
      </c>
      <c r="S186" s="118">
        <v>-3395.9</v>
      </c>
      <c r="T186" s="125">
        <v>-5.5312000000000001</v>
      </c>
      <c r="U186" s="14">
        <v>0</v>
      </c>
      <c r="V186" s="30">
        <v>0</v>
      </c>
      <c r="W186" s="138">
        <v>206.15100000000001</v>
      </c>
      <c r="X186" s="13">
        <v>0.88702999999999999</v>
      </c>
      <c r="Y186" s="14">
        <v>-2.4458000000000001E-3</v>
      </c>
      <c r="Z186" s="30">
        <v>3.2946000000000002E-6</v>
      </c>
      <c r="AA186" s="77">
        <v>0.1663</v>
      </c>
      <c r="AB186" s="5">
        <v>-7.1847999999999994E-5</v>
      </c>
      <c r="AC186" s="15">
        <v>-2.216E-7</v>
      </c>
      <c r="AD186" s="146">
        <v>64.709000000000003</v>
      </c>
      <c r="AE186" s="147">
        <v>0.38</v>
      </c>
      <c r="AF186" s="150">
        <v>52.442</v>
      </c>
      <c r="AG186" s="152">
        <v>1.2222</v>
      </c>
    </row>
    <row r="187" spans="1:33" x14ac:dyDescent="0.2">
      <c r="A187" s="27">
        <v>11</v>
      </c>
      <c r="B187" s="69">
        <v>5.1959037600000002</v>
      </c>
      <c r="C187" s="28">
        <f t="shared" si="13"/>
        <v>0.2616631506738914</v>
      </c>
      <c r="D187" s="31">
        <v>156.31200000000001</v>
      </c>
      <c r="E187" s="47">
        <v>638.91</v>
      </c>
      <c r="F187" s="44">
        <v>19.809999999999999</v>
      </c>
      <c r="G187" s="11">
        <v>6.3449999999999997E-4</v>
      </c>
      <c r="H187" s="61">
        <f t="shared" si="10"/>
        <v>246.54889589905366</v>
      </c>
      <c r="I187" s="29">
        <f t="shared" si="11"/>
        <v>0.2364416751742664</v>
      </c>
      <c r="J187" s="52">
        <v>0.41899999999999998</v>
      </c>
      <c r="K187" s="75">
        <v>-5.1939000000000002</v>
      </c>
      <c r="L187" s="81">
        <v>1023.6</v>
      </c>
      <c r="M187" s="13">
        <v>8.8000000000000005E-3</v>
      </c>
      <c r="N187" s="12">
        <v>-8.4587999999999994E-6</v>
      </c>
      <c r="O187" s="93">
        <v>0.24640000000000001</v>
      </c>
      <c r="P187" s="94">
        <v>0.25119999999999998</v>
      </c>
      <c r="Q187" s="95">
        <v>0.28570000000000001</v>
      </c>
      <c r="R187" s="111">
        <v>24.12</v>
      </c>
      <c r="S187" s="118">
        <v>-3336.2</v>
      </c>
      <c r="T187" s="125">
        <v>-5.2493999999999996</v>
      </c>
      <c r="U187" s="14">
        <v>0</v>
      </c>
      <c r="V187" s="30">
        <v>0</v>
      </c>
      <c r="W187" s="138">
        <v>202.15299999999999</v>
      </c>
      <c r="X187" s="13">
        <v>0.84891000000000005</v>
      </c>
      <c r="Y187" s="14">
        <v>-2.2507999999999998E-3</v>
      </c>
      <c r="Z187" s="30">
        <v>2.9697999999999999E-6</v>
      </c>
      <c r="AA187" s="77">
        <v>0.16300000000000001</v>
      </c>
      <c r="AB187" s="5">
        <v>-6.6377000000000005E-5</v>
      </c>
      <c r="AC187" s="15">
        <v>-2.0760000000000001E-7</v>
      </c>
      <c r="AD187" s="146">
        <v>63.893999999999998</v>
      </c>
      <c r="AE187" s="147">
        <v>0.38</v>
      </c>
      <c r="AF187" s="150">
        <v>52.158000000000001</v>
      </c>
      <c r="AG187" s="152">
        <v>1.2222</v>
      </c>
    </row>
    <row r="188" spans="1:33" x14ac:dyDescent="0.2">
      <c r="A188" s="27">
        <v>11</v>
      </c>
      <c r="B188" s="69">
        <v>4.4483325825</v>
      </c>
      <c r="C188" s="28">
        <f t="shared" si="13"/>
        <v>0.21241283909210343</v>
      </c>
      <c r="D188" s="31">
        <v>156.31200000000001</v>
      </c>
      <c r="E188" s="44">
        <v>625.29</v>
      </c>
      <c r="F188" s="44">
        <v>19.75</v>
      </c>
      <c r="G188" s="11">
        <v>6.3349999999999995E-4</v>
      </c>
      <c r="H188" s="61">
        <f t="shared" si="10"/>
        <v>246.93838862559244</v>
      </c>
      <c r="I188" s="29">
        <f t="shared" si="11"/>
        <v>0.24048019010494981</v>
      </c>
      <c r="J188" s="52">
        <v>0.44900000000000001</v>
      </c>
      <c r="K188" s="75">
        <v>-5.3181000000000003</v>
      </c>
      <c r="L188" s="81">
        <v>1020.2</v>
      </c>
      <c r="M188" s="13">
        <v>9.4000000000000004E-3</v>
      </c>
      <c r="N188" s="12">
        <v>-9.1826999999999993E-6</v>
      </c>
      <c r="O188" s="93">
        <v>0.2467</v>
      </c>
      <c r="P188" s="94">
        <v>0.25590000000000002</v>
      </c>
      <c r="Q188" s="95">
        <v>0.28570000000000001</v>
      </c>
      <c r="R188" s="111">
        <v>24.742000000000001</v>
      </c>
      <c r="S188" s="118">
        <v>-3356.5</v>
      </c>
      <c r="T188" s="125">
        <v>-5.4374000000000002</v>
      </c>
      <c r="U188" s="14">
        <v>0</v>
      </c>
      <c r="V188" s="30">
        <v>0</v>
      </c>
      <c r="W188" s="138">
        <v>212.68899999999999</v>
      </c>
      <c r="X188" s="13">
        <v>0.80442000000000002</v>
      </c>
      <c r="Y188" s="14">
        <v>-2.2119000000000002E-3</v>
      </c>
      <c r="Z188" s="30">
        <v>3.0562000000000001E-6</v>
      </c>
      <c r="AA188" s="77">
        <v>0.16639999999999999</v>
      </c>
      <c r="AB188" s="5">
        <v>-7.6706999999999996E-5</v>
      </c>
      <c r="AC188" s="15">
        <v>-2.1007E-7</v>
      </c>
      <c r="AD188" s="146">
        <v>63.886000000000003</v>
      </c>
      <c r="AE188" s="147">
        <v>0.38</v>
      </c>
      <c r="AF188" s="150">
        <v>52.23</v>
      </c>
      <c r="AG188" s="152">
        <v>1.2222</v>
      </c>
    </row>
    <row r="189" spans="1:33" x14ac:dyDescent="0.2">
      <c r="A189" s="27">
        <v>11</v>
      </c>
      <c r="B189" s="69">
        <v>4.9262080875000001</v>
      </c>
      <c r="C189" s="28">
        <f t="shared" si="13"/>
        <v>0.24389548345683251</v>
      </c>
      <c r="D189" s="31">
        <v>156.31200000000001</v>
      </c>
      <c r="E189" s="44">
        <v>638.91</v>
      </c>
      <c r="F189" s="44">
        <v>19.809999999999999</v>
      </c>
      <c r="G189" s="11">
        <v>6.3449999999999997E-4</v>
      </c>
      <c r="H189" s="61">
        <f t="shared" si="10"/>
        <v>246.54889589905366</v>
      </c>
      <c r="I189" s="29">
        <f t="shared" si="11"/>
        <v>0.2364416751742664</v>
      </c>
      <c r="J189" s="52">
        <v>0.41899999999999998</v>
      </c>
      <c r="K189" s="75">
        <v>-5.1939000000000002</v>
      </c>
      <c r="L189" s="81">
        <v>1023.6</v>
      </c>
      <c r="M189" s="13">
        <v>8.8000000000000005E-3</v>
      </c>
      <c r="N189" s="12">
        <v>-8.4587999999999994E-6</v>
      </c>
      <c r="O189" s="93">
        <v>0.24640000000000001</v>
      </c>
      <c r="P189" s="94">
        <v>0.25119999999999998</v>
      </c>
      <c r="Q189" s="95">
        <v>0.28570000000000001</v>
      </c>
      <c r="R189" s="111">
        <v>24.12</v>
      </c>
      <c r="S189" s="118">
        <v>-3336.2</v>
      </c>
      <c r="T189" s="125">
        <v>-5.2493999999999996</v>
      </c>
      <c r="U189" s="14">
        <v>0</v>
      </c>
      <c r="V189" s="30">
        <v>0</v>
      </c>
      <c r="W189" s="138">
        <v>202.15299999999999</v>
      </c>
      <c r="X189" s="13">
        <v>0.84891000000000005</v>
      </c>
      <c r="Y189" s="14">
        <v>-2.2507999999999998E-3</v>
      </c>
      <c r="Z189" s="30">
        <v>2.9697999999999999E-6</v>
      </c>
      <c r="AA189" s="77">
        <v>0.16300000000000001</v>
      </c>
      <c r="AB189" s="5">
        <v>-6.6377000000000005E-5</v>
      </c>
      <c r="AC189" s="15">
        <v>-2.0760000000000001E-7</v>
      </c>
      <c r="AD189" s="146">
        <v>63.893999999999998</v>
      </c>
      <c r="AE189" s="147">
        <v>0.38</v>
      </c>
      <c r="AF189" s="150">
        <v>52.158000000000001</v>
      </c>
      <c r="AG189" s="152">
        <v>1.2222</v>
      </c>
    </row>
    <row r="190" spans="1:33" x14ac:dyDescent="0.2">
      <c r="A190" s="27">
        <v>11</v>
      </c>
      <c r="B190" s="69">
        <v>3.5172823124999999</v>
      </c>
      <c r="C190" s="28">
        <f t="shared" si="13"/>
        <v>0.15107484576663471</v>
      </c>
      <c r="D190" s="31">
        <v>156.31200000000001</v>
      </c>
      <c r="E190" s="47">
        <v>625.61</v>
      </c>
      <c r="F190" s="44">
        <v>19.61</v>
      </c>
      <c r="G190" s="11">
        <v>6.3949999999999999E-4</v>
      </c>
      <c r="H190" s="61">
        <f t="shared" si="10"/>
        <v>244.61971830985917</v>
      </c>
      <c r="I190" s="29">
        <f t="shared" si="11"/>
        <v>0.24091550394709876</v>
      </c>
      <c r="J190" s="52">
        <v>0.47799999999999998</v>
      </c>
      <c r="K190" s="75">
        <v>-5.0384000000000002</v>
      </c>
      <c r="L190" s="81">
        <v>901.73</v>
      </c>
      <c r="M190" s="13">
        <v>9.5999999999999992E-3</v>
      </c>
      <c r="N190" s="12">
        <v>-9.7752999999999994E-6</v>
      </c>
      <c r="O190" s="93">
        <v>0.24440000000000001</v>
      </c>
      <c r="P190" s="94">
        <v>0.25990000000000002</v>
      </c>
      <c r="Q190" s="95">
        <v>0.28570000000000001</v>
      </c>
      <c r="R190" s="111">
        <v>24.911999999999999</v>
      </c>
      <c r="S190" s="118">
        <v>-3411.5</v>
      </c>
      <c r="T190" s="125">
        <v>-5.4683999999999999</v>
      </c>
      <c r="U190" s="14">
        <v>0</v>
      </c>
      <c r="V190" s="30">
        <v>0</v>
      </c>
      <c r="W190" s="138">
        <v>208.88499999999999</v>
      </c>
      <c r="X190" s="13">
        <v>0.86623000000000006</v>
      </c>
      <c r="Y190" s="14">
        <v>-2.3692000000000001E-3</v>
      </c>
      <c r="Z190" s="30">
        <v>3.1833000000000001E-6</v>
      </c>
      <c r="AA190" s="77">
        <v>0.16639999999999999</v>
      </c>
      <c r="AB190" s="5">
        <v>-7.1452000000000006E-5</v>
      </c>
      <c r="AC190" s="15">
        <v>-2.1766999999999999E-7</v>
      </c>
      <c r="AD190" s="146">
        <v>65.31</v>
      </c>
      <c r="AE190" s="147">
        <v>0.38</v>
      </c>
      <c r="AF190" s="150">
        <v>52.604999999999997</v>
      </c>
      <c r="AG190" s="152">
        <v>1.2222</v>
      </c>
    </row>
    <row r="191" spans="1:33" x14ac:dyDescent="0.2">
      <c r="A191" s="27">
        <v>11</v>
      </c>
      <c r="B191" s="69">
        <v>2.8357418375000001</v>
      </c>
      <c r="C191" s="28">
        <f t="shared" si="13"/>
        <v>0.10617466534287869</v>
      </c>
      <c r="D191" s="31">
        <v>156.31200000000001</v>
      </c>
      <c r="E191" s="47">
        <v>626.99</v>
      </c>
      <c r="F191" s="44">
        <v>19.61</v>
      </c>
      <c r="G191" s="11">
        <v>6.3949999999999999E-4</v>
      </c>
      <c r="H191" s="61">
        <f t="shared" si="10"/>
        <v>244.61971830985917</v>
      </c>
      <c r="I191" s="29">
        <f t="shared" si="11"/>
        <v>0.2403852508402757</v>
      </c>
      <c r="J191" s="52">
        <v>0.47799999999999998</v>
      </c>
      <c r="K191" s="75">
        <v>-5.0468000000000002</v>
      </c>
      <c r="L191" s="81">
        <v>905.25</v>
      </c>
      <c r="M191" s="13">
        <v>9.5999999999999992E-3</v>
      </c>
      <c r="N191" s="12">
        <v>-9.7410000000000004E-6</v>
      </c>
      <c r="O191" s="93">
        <v>0.24440000000000001</v>
      </c>
      <c r="P191" s="94">
        <v>0.25740000000000002</v>
      </c>
      <c r="Q191" s="95">
        <v>0.28570000000000001</v>
      </c>
      <c r="R191" s="111">
        <v>24.867999999999999</v>
      </c>
      <c r="S191" s="118">
        <v>-3415.4</v>
      </c>
      <c r="T191" s="125">
        <v>-5.4528999999999996</v>
      </c>
      <c r="U191" s="14">
        <v>0</v>
      </c>
      <c r="V191" s="30">
        <v>0</v>
      </c>
      <c r="W191" s="138">
        <v>208.40199999999999</v>
      </c>
      <c r="X191" s="13">
        <v>0.87</v>
      </c>
      <c r="Y191" s="14">
        <v>-2.3777E-3</v>
      </c>
      <c r="Z191" s="30">
        <v>3.1914999999999999E-6</v>
      </c>
      <c r="AA191" s="77">
        <v>0.16639999999999999</v>
      </c>
      <c r="AB191" s="5">
        <v>-7.1353999999999995E-5</v>
      </c>
      <c r="AC191" s="15">
        <v>-2.1671000000000001E-7</v>
      </c>
      <c r="AD191" s="146">
        <v>65.459999999999994</v>
      </c>
      <c r="AE191" s="147">
        <v>0.38</v>
      </c>
      <c r="AF191" s="150">
        <v>52.645000000000003</v>
      </c>
      <c r="AG191" s="152">
        <v>1.2222</v>
      </c>
    </row>
    <row r="192" spans="1:33" x14ac:dyDescent="0.2">
      <c r="A192" s="27">
        <v>11</v>
      </c>
      <c r="B192" s="69">
        <v>4.1788279612499997</v>
      </c>
      <c r="C192" s="28">
        <f t="shared" si="13"/>
        <v>0.19465775841379002</v>
      </c>
      <c r="D192" s="31">
        <v>156.31200000000001</v>
      </c>
      <c r="E192" s="47">
        <v>634.5</v>
      </c>
      <c r="F192" s="44">
        <v>19.670000000000002</v>
      </c>
      <c r="G192" s="11">
        <v>6.4050000000000001E-4</v>
      </c>
      <c r="H192" s="61">
        <f t="shared" si="10"/>
        <v>244.23749999999998</v>
      </c>
      <c r="I192" s="29">
        <f t="shared" si="11"/>
        <v>0.23863969610441854</v>
      </c>
      <c r="J192" s="52">
        <v>0.44800000000000001</v>
      </c>
      <c r="K192" s="75">
        <v>-4.7695999999999996</v>
      </c>
      <c r="L192" s="81">
        <v>879.01</v>
      </c>
      <c r="M192" s="13">
        <v>8.8000000000000005E-3</v>
      </c>
      <c r="N192" s="12">
        <v>-8.9029000000000008E-6</v>
      </c>
      <c r="O192" s="93">
        <v>0.24410000000000001</v>
      </c>
      <c r="P192" s="94">
        <v>0.25890000000000002</v>
      </c>
      <c r="Q192" s="95">
        <v>0.28570000000000001</v>
      </c>
      <c r="R192" s="111">
        <v>24.431000000000001</v>
      </c>
      <c r="S192" s="118">
        <v>-3378.4</v>
      </c>
      <c r="T192" s="125">
        <v>-5.3300999999999998</v>
      </c>
      <c r="U192" s="14">
        <v>0</v>
      </c>
      <c r="V192" s="30">
        <v>0</v>
      </c>
      <c r="W192" s="138">
        <v>197.43</v>
      </c>
      <c r="X192" s="13">
        <v>0.91700999999999999</v>
      </c>
      <c r="Y192" s="14">
        <v>-2.4325000000000002E-3</v>
      </c>
      <c r="Z192" s="30">
        <v>3.1321999999999998E-6</v>
      </c>
      <c r="AA192" s="77">
        <v>0.1628</v>
      </c>
      <c r="AB192" s="5">
        <v>-6.0934999999999998E-5</v>
      </c>
      <c r="AC192" s="15">
        <v>-2.1868E-7</v>
      </c>
      <c r="AD192" s="146">
        <v>64.820999999999998</v>
      </c>
      <c r="AE192" s="147">
        <v>0.38</v>
      </c>
      <c r="AF192" s="150">
        <v>52.389000000000003</v>
      </c>
      <c r="AG192" s="152">
        <v>1.2222</v>
      </c>
    </row>
    <row r="193" spans="1:33" x14ac:dyDescent="0.2">
      <c r="A193" s="27">
        <v>11</v>
      </c>
      <c r="B193" s="69">
        <v>5.8147054962500002</v>
      </c>
      <c r="C193" s="28">
        <f t="shared" si="13"/>
        <v>0.30243007593120419</v>
      </c>
      <c r="D193" s="31">
        <v>156.31200000000001</v>
      </c>
      <c r="E193" s="47">
        <v>624.32000000000005</v>
      </c>
      <c r="F193" s="44">
        <v>19.75</v>
      </c>
      <c r="G193" s="11">
        <v>6.3349999999999995E-4</v>
      </c>
      <c r="H193" s="61">
        <f t="shared" si="10"/>
        <v>246.93838862559244</v>
      </c>
      <c r="I193" s="29">
        <f t="shared" si="11"/>
        <v>0.24085382187135454</v>
      </c>
      <c r="J193" s="52">
        <v>0.44900000000000001</v>
      </c>
      <c r="K193" s="75">
        <v>-4.7918000000000003</v>
      </c>
      <c r="L193" s="81">
        <v>864.27</v>
      </c>
      <c r="M193" s="13">
        <v>8.9999999999999993E-3</v>
      </c>
      <c r="N193" s="12">
        <v>-9.2902999999999998E-6</v>
      </c>
      <c r="O193" s="93">
        <v>0.2467</v>
      </c>
      <c r="P193" s="94">
        <v>0.26140000000000002</v>
      </c>
      <c r="Q193" s="95">
        <v>0.28570000000000001</v>
      </c>
      <c r="R193" s="111">
        <v>24.773</v>
      </c>
      <c r="S193" s="118">
        <v>-3353.8</v>
      </c>
      <c r="T193" s="125">
        <v>-5.4482999999999997</v>
      </c>
      <c r="U193" s="14">
        <v>0</v>
      </c>
      <c r="V193" s="30">
        <v>0</v>
      </c>
      <c r="W193" s="138">
        <v>214.608</v>
      </c>
      <c r="X193" s="13">
        <v>0.78971999999999998</v>
      </c>
      <c r="Y193" s="14">
        <v>-2.1681000000000001E-3</v>
      </c>
      <c r="Z193" s="30">
        <v>2.9996999999999998E-6</v>
      </c>
      <c r="AA193" s="77">
        <v>0.16639999999999999</v>
      </c>
      <c r="AB193" s="5">
        <v>-7.6793999999999997E-5</v>
      </c>
      <c r="AC193" s="15">
        <v>-2.1072E-7</v>
      </c>
      <c r="AD193" s="146">
        <v>63.783000000000001</v>
      </c>
      <c r="AE193" s="147">
        <v>0.38</v>
      </c>
      <c r="AF193" s="150">
        <v>52.201999999999998</v>
      </c>
      <c r="AG193" s="152">
        <v>1.2222</v>
      </c>
    </row>
    <row r="194" spans="1:33" x14ac:dyDescent="0.2">
      <c r="A194" s="27">
        <v>11</v>
      </c>
      <c r="B194" s="69">
        <v>4.5149781774999997</v>
      </c>
      <c r="C194" s="28">
        <f t="shared" si="13"/>
        <v>0.21680347963322252</v>
      </c>
      <c r="D194" s="31">
        <v>156.31200000000001</v>
      </c>
      <c r="E194" s="47">
        <v>644.47</v>
      </c>
      <c r="F194" s="44">
        <v>19.809999999999999</v>
      </c>
      <c r="G194" s="11">
        <v>6.3449999999999997E-4</v>
      </c>
      <c r="H194" s="61">
        <f t="shared" si="10"/>
        <v>246.54889589905366</v>
      </c>
      <c r="I194" s="29">
        <f t="shared" si="11"/>
        <v>0.23440183512900606</v>
      </c>
      <c r="J194" s="52">
        <v>0.41899999999999998</v>
      </c>
      <c r="K194" s="75">
        <v>-5.2614999999999998</v>
      </c>
      <c r="L194" s="81">
        <v>1041.5</v>
      </c>
      <c r="M194" s="13">
        <v>8.8999999999999999E-3</v>
      </c>
      <c r="N194" s="12">
        <v>-8.4200000000000007E-6</v>
      </c>
      <c r="O194" s="93">
        <v>0.24640000000000001</v>
      </c>
      <c r="P194" s="94">
        <v>0.24909999999999999</v>
      </c>
      <c r="Q194" s="95">
        <v>0.28570000000000001</v>
      </c>
      <c r="R194" s="111">
        <v>23.954999999999998</v>
      </c>
      <c r="S194" s="118">
        <v>-3351.4</v>
      </c>
      <c r="T194" s="125">
        <v>-5.1909999999999998</v>
      </c>
      <c r="U194" s="14">
        <v>0</v>
      </c>
      <c r="V194" s="30">
        <v>0</v>
      </c>
      <c r="W194" s="138">
        <v>203.607</v>
      </c>
      <c r="X194" s="13">
        <v>0.83801000000000003</v>
      </c>
      <c r="Y194" s="14">
        <v>-2.2070000000000002E-3</v>
      </c>
      <c r="Z194" s="30">
        <v>2.9038E-6</v>
      </c>
      <c r="AA194" s="77">
        <v>0.16309999999999999</v>
      </c>
      <c r="AB194" s="5">
        <v>-6.6068000000000005E-5</v>
      </c>
      <c r="AC194" s="15">
        <v>-2.0394000000000001E-7</v>
      </c>
      <c r="AD194" s="146">
        <v>64.477999999999994</v>
      </c>
      <c r="AE194" s="147">
        <v>0.38</v>
      </c>
      <c r="AF194" s="150">
        <v>52.317</v>
      </c>
      <c r="AG194" s="152">
        <v>1.2222</v>
      </c>
    </row>
    <row r="195" spans="1:33" x14ac:dyDescent="0.2">
      <c r="A195" s="27">
        <v>11</v>
      </c>
      <c r="B195" s="69">
        <v>5.6828380349999996</v>
      </c>
      <c r="C195" s="28">
        <f t="shared" si="13"/>
        <v>0.29374259071303332</v>
      </c>
      <c r="D195" s="31">
        <v>156.31200000000001</v>
      </c>
      <c r="E195" s="47">
        <v>629.16999999999996</v>
      </c>
      <c r="F195" s="44">
        <v>19.809999999999999</v>
      </c>
      <c r="G195" s="11">
        <v>6.3449999999999997E-4</v>
      </c>
      <c r="H195" s="61">
        <f t="shared" ref="H195:H258" si="14">1/LEFT(G195,8)*D195/1000</f>
        <v>246.54889589905366</v>
      </c>
      <c r="I195" s="29">
        <f t="shared" ref="I195:I258" si="15">LEFT(F195,5)*100000/(H195*8.314/(D195/1000)*E195)</f>
        <v>0.24010196081439125</v>
      </c>
      <c r="J195" s="52">
        <v>0.41899999999999998</v>
      </c>
      <c r="K195" s="75">
        <v>-5.0506000000000002</v>
      </c>
      <c r="L195" s="81">
        <v>988.76</v>
      </c>
      <c r="M195" s="13">
        <v>8.6999999999999994E-3</v>
      </c>
      <c r="N195" s="12">
        <v>-8.4909000000000003E-6</v>
      </c>
      <c r="O195" s="93">
        <v>0.24640000000000001</v>
      </c>
      <c r="P195" s="94">
        <v>0.25559999999999999</v>
      </c>
      <c r="Q195" s="95">
        <v>0.28570000000000001</v>
      </c>
      <c r="R195" s="111">
        <v>24.419</v>
      </c>
      <c r="S195" s="118">
        <v>-3309.6</v>
      </c>
      <c r="T195" s="125">
        <v>-5.3548</v>
      </c>
      <c r="U195" s="14">
        <v>0</v>
      </c>
      <c r="V195" s="30">
        <v>0</v>
      </c>
      <c r="W195" s="138">
        <v>199.83699999999999</v>
      </c>
      <c r="X195" s="13">
        <v>0.86658999999999997</v>
      </c>
      <c r="Y195" s="14">
        <v>-2.3245000000000002E-3</v>
      </c>
      <c r="Z195" s="30">
        <v>3.0825000000000001E-6</v>
      </c>
      <c r="AA195" s="77">
        <v>0.1628</v>
      </c>
      <c r="AB195" s="5">
        <v>-6.6913000000000001E-5</v>
      </c>
      <c r="AC195" s="15">
        <v>-2.1425E-7</v>
      </c>
      <c r="AD195" s="146">
        <v>62.872999999999998</v>
      </c>
      <c r="AE195" s="147">
        <v>0.38</v>
      </c>
      <c r="AF195" s="150">
        <v>51.878999999999998</v>
      </c>
      <c r="AG195" s="152">
        <v>1.2222</v>
      </c>
    </row>
    <row r="196" spans="1:33" x14ac:dyDescent="0.2">
      <c r="A196" s="27">
        <v>11</v>
      </c>
      <c r="B196" s="69">
        <v>2.8353557375</v>
      </c>
      <c r="C196" s="28">
        <f t="shared" si="13"/>
        <v>0.10614922890836374</v>
      </c>
      <c r="D196" s="31">
        <v>156.31200000000001</v>
      </c>
      <c r="E196" s="47">
        <v>625.61</v>
      </c>
      <c r="F196" s="44">
        <v>19.61</v>
      </c>
      <c r="G196" s="11">
        <v>6.3949999999999999E-4</v>
      </c>
      <c r="H196" s="61">
        <f t="shared" si="14"/>
        <v>244.61971830985917</v>
      </c>
      <c r="I196" s="29">
        <f t="shared" si="15"/>
        <v>0.24091550394709876</v>
      </c>
      <c r="J196" s="52">
        <v>0.47799999999999998</v>
      </c>
      <c r="K196" s="75">
        <v>-5.0384000000000002</v>
      </c>
      <c r="L196" s="81">
        <v>901.73</v>
      </c>
      <c r="M196" s="13">
        <v>9.5999999999999992E-3</v>
      </c>
      <c r="N196" s="12">
        <v>-9.7752999999999994E-6</v>
      </c>
      <c r="O196" s="93">
        <v>0.24440000000000001</v>
      </c>
      <c r="P196" s="94">
        <v>0.25740000000000002</v>
      </c>
      <c r="Q196" s="95">
        <v>0.28570000000000001</v>
      </c>
      <c r="R196" s="111">
        <v>24.911999999999999</v>
      </c>
      <c r="S196" s="118">
        <v>-3411.5</v>
      </c>
      <c r="T196" s="125">
        <v>-5.4683999999999999</v>
      </c>
      <c r="U196" s="14">
        <v>0</v>
      </c>
      <c r="V196" s="30">
        <v>0</v>
      </c>
      <c r="W196" s="138">
        <v>207.74</v>
      </c>
      <c r="X196" s="13">
        <v>0.87500999999999995</v>
      </c>
      <c r="Y196" s="14">
        <v>-2.3961999999999998E-3</v>
      </c>
      <c r="Z196" s="30">
        <v>3.2183000000000002E-6</v>
      </c>
      <c r="AA196" s="77">
        <v>0.16639999999999999</v>
      </c>
      <c r="AB196" s="5">
        <v>-7.1452000000000006E-5</v>
      </c>
      <c r="AC196" s="15">
        <v>-2.1766999999999999E-7</v>
      </c>
      <c r="AD196" s="146">
        <v>65.31</v>
      </c>
      <c r="AE196" s="147">
        <v>0.38</v>
      </c>
      <c r="AF196" s="150">
        <v>52.604999999999997</v>
      </c>
      <c r="AG196" s="152">
        <v>1.2222</v>
      </c>
    </row>
    <row r="197" spans="1:33" x14ac:dyDescent="0.2">
      <c r="A197" s="27">
        <v>11</v>
      </c>
      <c r="B197" s="69">
        <v>3.8225829400000002</v>
      </c>
      <c r="C197" s="28">
        <f t="shared" si="13"/>
        <v>0.17118818277458855</v>
      </c>
      <c r="D197" s="31">
        <v>156.31200000000001</v>
      </c>
      <c r="E197" s="47">
        <v>617.37</v>
      </c>
      <c r="F197" s="44">
        <v>19.61</v>
      </c>
      <c r="G197" s="11">
        <v>6.3949999999999999E-4</v>
      </c>
      <c r="H197" s="61">
        <f t="shared" si="14"/>
        <v>244.61971830985917</v>
      </c>
      <c r="I197" s="29">
        <f t="shared" si="15"/>
        <v>0.24413098858762894</v>
      </c>
      <c r="J197" s="52">
        <v>0.47799999999999998</v>
      </c>
      <c r="K197" s="75">
        <v>-4.9793000000000003</v>
      </c>
      <c r="L197" s="81">
        <v>879.27</v>
      </c>
      <c r="M197" s="13">
        <v>9.7000000000000003E-3</v>
      </c>
      <c r="N197" s="12">
        <v>-9.9731999999999997E-6</v>
      </c>
      <c r="O197" s="93">
        <v>0.24440000000000001</v>
      </c>
      <c r="P197" s="94">
        <v>0.26169999999999999</v>
      </c>
      <c r="Q197" s="95">
        <v>0.28570000000000001</v>
      </c>
      <c r="R197" s="111">
        <v>25.18</v>
      </c>
      <c r="S197" s="118">
        <v>-3388.1</v>
      </c>
      <c r="T197" s="125">
        <v>-5.5632000000000001</v>
      </c>
      <c r="U197" s="14">
        <v>0</v>
      </c>
      <c r="V197" s="30">
        <v>0</v>
      </c>
      <c r="W197" s="138">
        <v>205.94900000000001</v>
      </c>
      <c r="X197" s="13">
        <v>0.88853000000000004</v>
      </c>
      <c r="Y197" s="14">
        <v>-2.4567999999999999E-3</v>
      </c>
      <c r="Z197" s="30">
        <v>3.3148999999999998E-6</v>
      </c>
      <c r="AA197" s="77">
        <v>0.1663</v>
      </c>
      <c r="AB197" s="5">
        <v>-7.2045999999999994E-5</v>
      </c>
      <c r="AC197" s="15">
        <v>-2.2359999999999999E-7</v>
      </c>
      <c r="AD197" s="146">
        <v>64.408000000000001</v>
      </c>
      <c r="AE197" s="147">
        <v>0.38</v>
      </c>
      <c r="AF197" s="150">
        <v>52.360999999999997</v>
      </c>
      <c r="AG197" s="152">
        <v>1.2222</v>
      </c>
    </row>
    <row r="198" spans="1:33" x14ac:dyDescent="0.2">
      <c r="A198" s="27">
        <v>11</v>
      </c>
      <c r="B198" s="69">
        <v>4.1779184550000004</v>
      </c>
      <c r="C198" s="28">
        <f t="shared" ref="C198:C229" si="16">(B198-MIN($B$134:$B$291))/(MAX($B$134:$B$291)-MIN($B$134:$B$291))</f>
        <v>0.19459783974979356</v>
      </c>
      <c r="D198" s="31">
        <v>156.31200000000001</v>
      </c>
      <c r="E198" s="48">
        <v>626.62</v>
      </c>
      <c r="F198" s="48">
        <v>19.670000000000002</v>
      </c>
      <c r="G198" s="35">
        <v>6.4050000000000001E-4</v>
      </c>
      <c r="H198" s="61">
        <f t="shared" si="14"/>
        <v>244.23749999999998</v>
      </c>
      <c r="I198" s="29">
        <f t="shared" si="15"/>
        <v>0.24164068682495543</v>
      </c>
      <c r="J198" s="55">
        <v>0.44800000000000001</v>
      </c>
      <c r="K198" s="76">
        <v>-4.7142999999999997</v>
      </c>
      <c r="L198" s="82">
        <v>858.23</v>
      </c>
      <c r="M198" s="85">
        <v>8.8000000000000005E-3</v>
      </c>
      <c r="N198" s="4">
        <v>-9.0674000000000006E-6</v>
      </c>
      <c r="O198" s="99" t="str" cm="1">
        <f t="array" ref="O198">LEFT(INDEX($O$134:$O$291, MATCH(MIN(IF(ABS($B$134:$B$291-B198)&lt;&gt;0, ABS($B$134:$B$291-B198))), IF(ABS($B$134:$B$291-B198)&lt;&gt;0, ABS($B$134:$B$291-B198)), 0)),6)</f>
        <v>0.2441</v>
      </c>
      <c r="P198" s="106" cm="1">
        <f t="array" ref="P198">INDEX($P$134:$P$291, MATCH(MIN(IF(ABS($B$134:$B$291-B198)&lt;&gt;0, ABS($B$134:$B$291-B198))), IF(ABS($B$134:$B$291-B198)&lt;&gt;0, ABS($B$134:$B$291-B198)), 0))</f>
        <v>0.25659999999999999</v>
      </c>
      <c r="Q198" s="107" cm="1">
        <f t="array" ref="Q198">INDEX($Q$134:$Q$291, MATCH(MIN(IF(ABS($B$134:$B$291-B198)&lt;&gt;0, ABS($B$134:$B$291-B198))), IF(ABS($B$134:$B$291-B198)&lt;&gt;0, ABS($B$134:$B$291-B198)), 0))</f>
        <v>0.28570000000000001</v>
      </c>
      <c r="R198" s="114">
        <v>24.677</v>
      </c>
      <c r="S198" s="120">
        <v>-3356.5</v>
      </c>
      <c r="T198" s="127">
        <v>-5.4169999999999998</v>
      </c>
      <c r="U198" s="14">
        <v>0</v>
      </c>
      <c r="V198" s="14">
        <v>0</v>
      </c>
      <c r="W198" s="139">
        <v>192.38300000000001</v>
      </c>
      <c r="X198" s="7">
        <v>0.95557999999999998</v>
      </c>
      <c r="Y198" s="8">
        <v>-2.5650999999999998E-3</v>
      </c>
      <c r="Z198" s="33">
        <v>3.3133999999999999E-6</v>
      </c>
      <c r="AA198" s="141">
        <v>0.16259999999999999</v>
      </c>
      <c r="AB198" s="9">
        <v>-6.1198999999999995E-5</v>
      </c>
      <c r="AC198" s="10">
        <v>-2.2446000000000001E-7</v>
      </c>
      <c r="AD198" s="146">
        <v>63.976999999999997</v>
      </c>
      <c r="AE198" s="147">
        <v>0.38</v>
      </c>
      <c r="AF198" s="150">
        <v>52.16</v>
      </c>
      <c r="AG198" s="152">
        <v>1.2222</v>
      </c>
    </row>
    <row r="199" spans="1:33" x14ac:dyDescent="0.2">
      <c r="A199" s="27">
        <v>11</v>
      </c>
      <c r="B199" s="69">
        <v>6.2892263599999998</v>
      </c>
      <c r="C199" s="28">
        <f t="shared" si="16"/>
        <v>0.33369171508361334</v>
      </c>
      <c r="D199" s="31">
        <v>156.31200000000001</v>
      </c>
      <c r="E199" s="48">
        <v>630.55999999999995</v>
      </c>
      <c r="F199" s="48">
        <v>19.809999999999999</v>
      </c>
      <c r="G199" s="35">
        <v>6.3449999999999997E-4</v>
      </c>
      <c r="H199" s="61">
        <f t="shared" si="14"/>
        <v>246.54889589905366</v>
      </c>
      <c r="I199" s="29">
        <f t="shared" si="15"/>
        <v>0.23957268251330649</v>
      </c>
      <c r="J199" s="55">
        <v>0.41899999999999998</v>
      </c>
      <c r="K199" s="76">
        <v>-4.5098000000000003</v>
      </c>
      <c r="L199" s="82">
        <v>835.12</v>
      </c>
      <c r="M199" s="85">
        <v>8.2000000000000007E-3</v>
      </c>
      <c r="N199" s="4">
        <v>-8.4841000000000006E-6</v>
      </c>
      <c r="O199" s="99" t="str" cm="1">
        <f t="array" ref="O199">LEFT(INDEX($O$134:$O$291, MATCH(MIN(IF(ABS($B$134:$B$291-B199)&lt;&gt;0, ABS($B$134:$B$291-B199))), IF(ABS($B$134:$B$291-B199)&lt;&gt;0, ABS($B$134:$B$291-B199)), 0)),6)</f>
        <v>0.2464</v>
      </c>
      <c r="P199" s="106" cm="1">
        <f t="array" ref="P199">INDEX($P$134:$P$291, MATCH(MIN(IF(ABS($B$134:$B$291-B199)&lt;&gt;0, ABS($B$134:$B$291-B199))), IF(ABS($B$134:$B$291-B199)&lt;&gt;0, ABS($B$134:$B$291-B199)), 0))</f>
        <v>0.25540000000000002</v>
      </c>
      <c r="Q199" s="107" cm="1">
        <f t="array" ref="Q199">INDEX($Q$134:$Q$291, MATCH(MIN(IF(ABS($B$134:$B$291-B199)&lt;&gt;0, ABS($B$134:$B$291-B199))), IF(ABS($B$134:$B$291-B199)&lt;&gt;0, ABS($B$134:$B$291-B199)), 0))</f>
        <v>0.28570000000000001</v>
      </c>
      <c r="R199" s="114">
        <v>24.376000000000001</v>
      </c>
      <c r="S199" s="120">
        <v>-3313.4</v>
      </c>
      <c r="T199" s="127">
        <v>-5.3395000000000001</v>
      </c>
      <c r="U199" s="14">
        <v>0</v>
      </c>
      <c r="V199" s="14">
        <v>0</v>
      </c>
      <c r="W199" s="139">
        <v>200.50800000000001</v>
      </c>
      <c r="X199" s="7">
        <v>0.86148000000000002</v>
      </c>
      <c r="Y199" s="8">
        <v>-2.3061000000000002E-3</v>
      </c>
      <c r="Z199" s="33">
        <v>3.0562000000000001E-6</v>
      </c>
      <c r="AA199" s="141">
        <v>0.16289999999999999</v>
      </c>
      <c r="AB199" s="9">
        <v>-6.6836999999999997E-5</v>
      </c>
      <c r="AC199" s="10">
        <v>-2.1327999999999999E-7</v>
      </c>
      <c r="AD199" s="146">
        <v>63.018999999999998</v>
      </c>
      <c r="AE199" s="147">
        <v>0.38</v>
      </c>
      <c r="AF199" s="150">
        <v>51.918999999999997</v>
      </c>
      <c r="AG199" s="152">
        <v>1.2222</v>
      </c>
    </row>
    <row r="200" spans="1:33" x14ac:dyDescent="0.2">
      <c r="A200" s="27">
        <v>11</v>
      </c>
      <c r="B200" s="69">
        <v>6.1184077524999996</v>
      </c>
      <c r="C200" s="28">
        <f t="shared" si="16"/>
        <v>0.32243811155187191</v>
      </c>
      <c r="D200" s="31">
        <v>156.31200000000001</v>
      </c>
      <c r="E200" s="48">
        <v>615.61</v>
      </c>
      <c r="F200" s="48">
        <v>19.75</v>
      </c>
      <c r="G200" s="35">
        <v>6.3349999999999995E-4</v>
      </c>
      <c r="H200" s="61">
        <f t="shared" si="14"/>
        <v>246.93838862559244</v>
      </c>
      <c r="I200" s="29">
        <f t="shared" si="15"/>
        <v>0.24426155856910067</v>
      </c>
      <c r="J200" s="55">
        <v>0.44900000000000001</v>
      </c>
      <c r="K200" s="76">
        <v>-4.7160000000000002</v>
      </c>
      <c r="L200" s="82">
        <v>839</v>
      </c>
      <c r="M200" s="85">
        <v>8.9999999999999993E-3</v>
      </c>
      <c r="N200" s="4">
        <v>-9.4670999999999995E-6</v>
      </c>
      <c r="O200" s="99" t="str" cm="1">
        <f t="array" ref="O200">LEFT(INDEX($O$134:$O$291, MATCH(MIN(IF(ABS($B$134:$B$291-B200)&lt;&gt;0, ABS($B$134:$B$291-B200))), IF(ABS($B$134:$B$291-B200)&lt;&gt;0, ABS($B$134:$B$291-B200)), 0)),6)</f>
        <v>0.2467</v>
      </c>
      <c r="P200" s="106" cm="1">
        <f t="array" ref="P200">INDEX($P$134:$P$291, MATCH(MIN(IF(ABS($B$134:$B$291-B200)&lt;&gt;0, ABS($B$134:$B$291-B200))), IF(ABS($B$134:$B$291-B200)&lt;&gt;0, ABS($B$134:$B$291-B200)), 0))</f>
        <v>0.26350000000000001</v>
      </c>
      <c r="Q200" s="107" cm="1">
        <f t="array" ref="Q200">INDEX($Q$134:$Q$291, MATCH(MIN(IF(ABS($B$134:$B$291-B200)&lt;&gt;0, ABS($B$134:$B$291-B200))), IF(ABS($B$134:$B$291-B200)&lt;&gt;0, ABS($B$134:$B$291-B200)), 0))</f>
        <v>0.28570000000000001</v>
      </c>
      <c r="R200" s="114">
        <v>25.056999999999999</v>
      </c>
      <c r="S200" s="120">
        <v>-3329.7</v>
      </c>
      <c r="T200" s="127">
        <v>-5.5487000000000002</v>
      </c>
      <c r="U200" s="14">
        <v>0</v>
      </c>
      <c r="V200" s="14">
        <v>0</v>
      </c>
      <c r="W200" s="139">
        <v>211.602</v>
      </c>
      <c r="X200" s="7">
        <v>0.81232000000000004</v>
      </c>
      <c r="Y200" s="8">
        <v>-2.2575999999999998E-3</v>
      </c>
      <c r="Z200" s="33">
        <v>3.1373E-6</v>
      </c>
      <c r="AA200" s="141">
        <v>0.1663</v>
      </c>
      <c r="AB200" s="9">
        <v>-7.7584999999999997E-5</v>
      </c>
      <c r="AC200" s="10">
        <v>-2.1672E-7</v>
      </c>
      <c r="AD200" s="146">
        <v>62.85</v>
      </c>
      <c r="AE200" s="147">
        <v>0.38</v>
      </c>
      <c r="AF200" s="150">
        <v>51.945</v>
      </c>
      <c r="AG200" s="152">
        <v>1.2222</v>
      </c>
    </row>
    <row r="201" spans="1:33" x14ac:dyDescent="0.2">
      <c r="A201" s="27">
        <v>11</v>
      </c>
      <c r="B201" s="69">
        <v>5.1280225425000001</v>
      </c>
      <c r="C201" s="28">
        <f t="shared" si="16"/>
        <v>0.25719110678958029</v>
      </c>
      <c r="D201" s="31">
        <v>156.31200000000001</v>
      </c>
      <c r="E201" s="48">
        <v>622.52</v>
      </c>
      <c r="F201" s="48">
        <v>19.75</v>
      </c>
      <c r="G201" s="35">
        <v>6.3349999999999995E-4</v>
      </c>
      <c r="H201" s="61">
        <f t="shared" si="14"/>
        <v>246.93838862559244</v>
      </c>
      <c r="I201" s="29">
        <f t="shared" si="15"/>
        <v>0.24155024428247135</v>
      </c>
      <c r="J201" s="55">
        <v>0.44900000000000001</v>
      </c>
      <c r="K201" s="76">
        <v>-4.7777000000000003</v>
      </c>
      <c r="L201" s="82">
        <v>859.29</v>
      </c>
      <c r="M201" s="85">
        <v>8.9999999999999993E-3</v>
      </c>
      <c r="N201" s="4">
        <v>-9.3284000000000003E-6</v>
      </c>
      <c r="O201" s="99" t="str" cm="1">
        <f t="array" ref="O201">LEFT(INDEX($O$134:$O$291, MATCH(MIN(IF(ABS($B$134:$B$291-B201)&lt;&gt;0, ABS($B$134:$B$291-B201))), IF(ABS($B$134:$B$291-B201)&lt;&gt;0, ABS($B$134:$B$291-B201)), 0)),6)</f>
        <v>0.2467</v>
      </c>
      <c r="P201" s="106" cm="1">
        <f t="array" ref="P201">INDEX($P$134:$P$291, MATCH(MIN(IF(ABS($B$134:$B$291-B201)&lt;&gt;0, ABS($B$134:$B$291-B201))), IF(ABS($B$134:$B$291-B201)&lt;&gt;0, ABS($B$134:$B$291-B201)), 0))</f>
        <v>0.25850000000000001</v>
      </c>
      <c r="Q201" s="107" cm="1">
        <f t="array" ref="Q201">INDEX($Q$134:$Q$291, MATCH(MIN(IF(ABS($B$134:$B$291-B201)&lt;&gt;0, ABS($B$134:$B$291-B201))), IF(ABS($B$134:$B$291-B201)&lt;&gt;0, ABS($B$134:$B$291-B201)), 0))</f>
        <v>0.28570000000000001</v>
      </c>
      <c r="R201" s="114">
        <v>24.831</v>
      </c>
      <c r="S201" s="120">
        <v>-3348.8</v>
      </c>
      <c r="T201" s="127">
        <v>-5.4687000000000001</v>
      </c>
      <c r="U201" s="14">
        <v>0</v>
      </c>
      <c r="V201" s="14">
        <v>0</v>
      </c>
      <c r="W201" s="139">
        <v>212.542</v>
      </c>
      <c r="X201" s="7">
        <v>0.80539000000000005</v>
      </c>
      <c r="Y201" s="8">
        <v>-2.2208000000000002E-3</v>
      </c>
      <c r="Z201" s="33">
        <v>3.0736999999999999E-6</v>
      </c>
      <c r="AA201" s="141">
        <v>0.16639999999999999</v>
      </c>
      <c r="AB201" s="9">
        <v>-7.6957000000000002E-5</v>
      </c>
      <c r="AC201" s="10">
        <v>-2.1194E-7</v>
      </c>
      <c r="AD201" s="146">
        <v>63.59</v>
      </c>
      <c r="AE201" s="147">
        <v>0.38</v>
      </c>
      <c r="AF201" s="150">
        <v>52.149000000000001</v>
      </c>
      <c r="AG201" s="152">
        <v>1.2222</v>
      </c>
    </row>
    <row r="202" spans="1:33" x14ac:dyDescent="0.2">
      <c r="A202" s="27">
        <v>11</v>
      </c>
      <c r="B202" s="69">
        <v>2.8355881125</v>
      </c>
      <c r="C202" s="28">
        <f t="shared" si="16"/>
        <v>0.10616453787358106</v>
      </c>
      <c r="D202" s="31">
        <v>156.31200000000001</v>
      </c>
      <c r="E202" s="47">
        <v>621.49</v>
      </c>
      <c r="F202" s="44">
        <v>19.61</v>
      </c>
      <c r="G202" s="11">
        <v>6.3949999999999999E-4</v>
      </c>
      <c r="H202" s="61">
        <f t="shared" si="14"/>
        <v>244.61971830985917</v>
      </c>
      <c r="I202" s="29">
        <f t="shared" si="15"/>
        <v>0.24251258817413709</v>
      </c>
      <c r="J202" s="52">
        <v>0.47799999999999998</v>
      </c>
      <c r="K202" s="75">
        <v>-5.0110000000000001</v>
      </c>
      <c r="L202" s="81">
        <v>890.81</v>
      </c>
      <c r="M202" s="13">
        <v>9.5999999999999992E-3</v>
      </c>
      <c r="N202" s="12">
        <v>-9.8761000000000002E-6</v>
      </c>
      <c r="O202" s="93">
        <v>0.24440000000000001</v>
      </c>
      <c r="P202" s="94">
        <v>0.25700000000000001</v>
      </c>
      <c r="Q202" s="95">
        <v>0.28570000000000001</v>
      </c>
      <c r="R202" s="111">
        <v>25.045000000000002</v>
      </c>
      <c r="S202" s="118">
        <v>-3399.8</v>
      </c>
      <c r="T202" s="125">
        <v>-5.5153999999999996</v>
      </c>
      <c r="U202" s="14">
        <v>0</v>
      </c>
      <c r="V202" s="30">
        <v>0</v>
      </c>
      <c r="W202" s="138">
        <v>205.66499999999999</v>
      </c>
      <c r="X202" s="13">
        <v>0.89080999999999999</v>
      </c>
      <c r="Y202" s="14">
        <v>-2.4543E-3</v>
      </c>
      <c r="Z202" s="30">
        <v>3.3027000000000002E-6</v>
      </c>
      <c r="AA202" s="77">
        <v>0.1663</v>
      </c>
      <c r="AB202" s="5">
        <v>-7.1748999999999994E-5</v>
      </c>
      <c r="AC202" s="15">
        <v>-2.206E-7</v>
      </c>
      <c r="AD202" s="146">
        <v>64.858999999999995</v>
      </c>
      <c r="AE202" s="147">
        <v>0.38</v>
      </c>
      <c r="AF202" s="150">
        <v>52.482999999999997</v>
      </c>
      <c r="AG202" s="152">
        <v>1.2222</v>
      </c>
    </row>
    <row r="203" spans="1:33" x14ac:dyDescent="0.2">
      <c r="A203" s="27">
        <v>11</v>
      </c>
      <c r="B203" s="69">
        <v>3.8196114099999998</v>
      </c>
      <c r="C203" s="28">
        <f t="shared" si="16"/>
        <v>0.17099241709664462</v>
      </c>
      <c r="D203" s="31">
        <v>156.31200000000001</v>
      </c>
      <c r="E203" s="47">
        <v>614.62</v>
      </c>
      <c r="F203" s="44">
        <v>19.61</v>
      </c>
      <c r="G203" s="11">
        <v>6.3949999999999999E-4</v>
      </c>
      <c r="H203" s="61">
        <f t="shared" si="14"/>
        <v>244.61971830985917</v>
      </c>
      <c r="I203" s="29">
        <f t="shared" si="15"/>
        <v>0.24522330614744797</v>
      </c>
      <c r="J203" s="52">
        <v>0.47799999999999998</v>
      </c>
      <c r="K203" s="75">
        <v>-4.9555999999999996</v>
      </c>
      <c r="L203" s="81">
        <v>871.21</v>
      </c>
      <c r="M203" s="13">
        <v>9.7000000000000003E-3</v>
      </c>
      <c r="N203" s="12">
        <v>-1.0035E-5</v>
      </c>
      <c r="O203" s="93">
        <v>0.24440000000000001</v>
      </c>
      <c r="P203" s="94">
        <v>0.2616</v>
      </c>
      <c r="Q203" s="95">
        <v>0.28570000000000001</v>
      </c>
      <c r="R203" s="111">
        <v>25.271000000000001</v>
      </c>
      <c r="S203" s="118">
        <v>-3380.4</v>
      </c>
      <c r="T203" s="125">
        <v>-5.5955000000000004</v>
      </c>
      <c r="U203" s="14">
        <v>0</v>
      </c>
      <c r="V203" s="30">
        <v>0</v>
      </c>
      <c r="W203" s="138">
        <v>204.56899999999999</v>
      </c>
      <c r="X203" s="13">
        <v>0.89914000000000005</v>
      </c>
      <c r="Y203" s="14">
        <v>-2.4962999999999999E-3</v>
      </c>
      <c r="Z203" s="30">
        <v>3.3724000000000001E-6</v>
      </c>
      <c r="AA203" s="77">
        <v>0.16619999999999999</v>
      </c>
      <c r="AB203" s="5">
        <v>-7.2243999999999995E-5</v>
      </c>
      <c r="AC203" s="15">
        <v>-2.2562999999999999E-7</v>
      </c>
      <c r="AD203" s="146">
        <v>64.108000000000004</v>
      </c>
      <c r="AE203" s="147">
        <v>0.38</v>
      </c>
      <c r="AF203" s="150">
        <v>52.279000000000003</v>
      </c>
      <c r="AG203" s="152">
        <v>1.2222</v>
      </c>
    </row>
    <row r="204" spans="1:33" x14ac:dyDescent="0.2">
      <c r="A204" s="27">
        <v>11</v>
      </c>
      <c r="B204" s="69">
        <v>4.1779316362500003</v>
      </c>
      <c r="C204" s="28">
        <f t="shared" si="16"/>
        <v>0.19459870813622829</v>
      </c>
      <c r="D204" s="31">
        <v>156.31200000000001</v>
      </c>
      <c r="E204" s="47">
        <v>623.85</v>
      </c>
      <c r="F204" s="44">
        <v>19.670000000000002</v>
      </c>
      <c r="G204" s="11">
        <v>6.4050000000000001E-4</v>
      </c>
      <c r="H204" s="61">
        <f t="shared" si="14"/>
        <v>244.23749999999998</v>
      </c>
      <c r="I204" s="29">
        <f t="shared" si="15"/>
        <v>0.24271361253226506</v>
      </c>
      <c r="J204" s="52">
        <v>0.44800000000000001</v>
      </c>
      <c r="K204" s="75">
        <v>-4.6916000000000002</v>
      </c>
      <c r="L204" s="81">
        <v>850.45</v>
      </c>
      <c r="M204" s="13">
        <v>8.8000000000000005E-3</v>
      </c>
      <c r="N204" s="12">
        <v>-9.1222000000000005E-6</v>
      </c>
      <c r="O204" s="93">
        <v>0.24410000000000001</v>
      </c>
      <c r="P204" s="94">
        <v>0.25659999999999999</v>
      </c>
      <c r="Q204" s="95">
        <v>0.28570000000000001</v>
      </c>
      <c r="R204" s="111">
        <v>24.765000000000001</v>
      </c>
      <c r="S204" s="118">
        <v>-3348.8</v>
      </c>
      <c r="T204" s="125">
        <v>-5.4481000000000002</v>
      </c>
      <c r="U204" s="14">
        <v>0</v>
      </c>
      <c r="V204" s="30">
        <v>0</v>
      </c>
      <c r="W204" s="138">
        <v>190.84</v>
      </c>
      <c r="X204" s="13">
        <v>0.96753</v>
      </c>
      <c r="Y204" s="14">
        <v>-2.6074000000000002E-3</v>
      </c>
      <c r="Z204" s="30">
        <v>3.3720999999999999E-6</v>
      </c>
      <c r="AA204" s="77">
        <v>0.16250000000000001</v>
      </c>
      <c r="AB204" s="5">
        <v>-6.1289000000000002E-5</v>
      </c>
      <c r="AC204" s="15">
        <v>-2.2653999999999999E-7</v>
      </c>
      <c r="AD204" s="146">
        <v>63.680999999999997</v>
      </c>
      <c r="AE204" s="147">
        <v>0.38</v>
      </c>
      <c r="AF204" s="150">
        <v>52.08</v>
      </c>
      <c r="AG204" s="152">
        <v>1.2222</v>
      </c>
    </row>
    <row r="205" spans="1:33" x14ac:dyDescent="0.2">
      <c r="A205" s="27">
        <v>11</v>
      </c>
      <c r="B205" s="69">
        <v>3.8212670800000001</v>
      </c>
      <c r="C205" s="28">
        <f t="shared" si="16"/>
        <v>0.17110149335029221</v>
      </c>
      <c r="D205" s="31">
        <v>156.31200000000001</v>
      </c>
      <c r="E205" s="47">
        <v>620.12</v>
      </c>
      <c r="F205" s="44">
        <v>19.61</v>
      </c>
      <c r="G205" s="11">
        <v>6.3949999999999999E-4</v>
      </c>
      <c r="H205" s="61">
        <f t="shared" si="14"/>
        <v>244.61971830985917</v>
      </c>
      <c r="I205" s="29">
        <f t="shared" si="15"/>
        <v>0.24304835906654271</v>
      </c>
      <c r="J205" s="52">
        <v>0.47799999999999998</v>
      </c>
      <c r="K205" s="75">
        <v>-5.0008999999999997</v>
      </c>
      <c r="L205" s="81">
        <v>887.03</v>
      </c>
      <c r="M205" s="13">
        <v>9.5999999999999992E-3</v>
      </c>
      <c r="N205" s="12">
        <v>-9.9088999999999993E-6</v>
      </c>
      <c r="O205" s="93">
        <v>0.24440000000000001</v>
      </c>
      <c r="P205" s="94">
        <v>0.26200000000000001</v>
      </c>
      <c r="Q205" s="95">
        <v>0.28570000000000001</v>
      </c>
      <c r="R205" s="111">
        <v>25.09</v>
      </c>
      <c r="S205" s="118">
        <v>-3395.9</v>
      </c>
      <c r="T205" s="125">
        <v>-5.5312000000000001</v>
      </c>
      <c r="U205" s="14">
        <v>0</v>
      </c>
      <c r="V205" s="30">
        <v>0</v>
      </c>
      <c r="W205" s="138">
        <v>207.36500000000001</v>
      </c>
      <c r="X205" s="13">
        <v>0.87768999999999997</v>
      </c>
      <c r="Y205" s="14">
        <v>-2.4169E-3</v>
      </c>
      <c r="Z205" s="30">
        <v>3.2569999999999999E-6</v>
      </c>
      <c r="AA205" s="77">
        <v>0.1663</v>
      </c>
      <c r="AB205" s="5">
        <v>-7.1847999999999994E-5</v>
      </c>
      <c r="AC205" s="15">
        <v>-2.216E-7</v>
      </c>
      <c r="AD205" s="146">
        <v>64.709000000000003</v>
      </c>
      <c r="AE205" s="147">
        <v>0.38</v>
      </c>
      <c r="AF205" s="150">
        <v>52.442</v>
      </c>
      <c r="AG205" s="152">
        <v>1.2222</v>
      </c>
    </row>
    <row r="206" spans="1:33" x14ac:dyDescent="0.2">
      <c r="A206" s="27">
        <v>11</v>
      </c>
      <c r="B206" s="69">
        <v>2.8353628875000001</v>
      </c>
      <c r="C206" s="28">
        <f t="shared" si="16"/>
        <v>0.10614969995344736</v>
      </c>
      <c r="D206" s="31">
        <v>156.31200000000001</v>
      </c>
      <c r="E206" s="47">
        <v>622.87</v>
      </c>
      <c r="F206" s="44">
        <v>19.61</v>
      </c>
      <c r="G206" s="11">
        <v>6.3949999999999999E-4</v>
      </c>
      <c r="H206" s="61">
        <f t="shared" si="14"/>
        <v>244.61971830985917</v>
      </c>
      <c r="I206" s="29">
        <f t="shared" si="15"/>
        <v>0.24197528926476547</v>
      </c>
      <c r="J206" s="52">
        <v>0.47799999999999998</v>
      </c>
      <c r="K206" s="75">
        <v>-5.0206</v>
      </c>
      <c r="L206" s="81">
        <v>894.52</v>
      </c>
      <c r="M206" s="13">
        <v>9.5999999999999992E-3</v>
      </c>
      <c r="N206" s="12">
        <v>-9.8429000000000002E-6</v>
      </c>
      <c r="O206" s="93">
        <v>0.24440000000000001</v>
      </c>
      <c r="P206" s="94">
        <v>0.2571</v>
      </c>
      <c r="Q206" s="95">
        <v>0.28570000000000001</v>
      </c>
      <c r="R206" s="111">
        <v>25</v>
      </c>
      <c r="S206" s="118">
        <v>-3403.7</v>
      </c>
      <c r="T206" s="125">
        <v>-5.4996</v>
      </c>
      <c r="U206" s="14">
        <v>0</v>
      </c>
      <c r="V206" s="30">
        <v>0</v>
      </c>
      <c r="W206" s="138">
        <v>206.34299999999999</v>
      </c>
      <c r="X206" s="13">
        <v>0.88563000000000003</v>
      </c>
      <c r="Y206" s="14">
        <v>-2.4350999999999999E-3</v>
      </c>
      <c r="Z206" s="30">
        <v>3.2748E-6</v>
      </c>
      <c r="AA206" s="77">
        <v>0.16639999999999999</v>
      </c>
      <c r="AB206" s="5">
        <v>-7.1649999999999993E-5</v>
      </c>
      <c r="AC206" s="15">
        <v>-2.1962E-7</v>
      </c>
      <c r="AD206" s="146">
        <v>65.009</v>
      </c>
      <c r="AE206" s="147">
        <v>0.38</v>
      </c>
      <c r="AF206" s="150">
        <v>52.524000000000001</v>
      </c>
      <c r="AG206" s="152">
        <v>1.2222</v>
      </c>
    </row>
    <row r="207" spans="1:33" x14ac:dyDescent="0.2">
      <c r="A207" s="27">
        <v>11</v>
      </c>
      <c r="B207" s="69">
        <v>3.1363840487500001</v>
      </c>
      <c r="C207" s="28">
        <f t="shared" si="16"/>
        <v>0.12598110387922823</v>
      </c>
      <c r="D207" s="31">
        <v>156.31200000000001</v>
      </c>
      <c r="E207" s="47">
        <v>617.37</v>
      </c>
      <c r="F207" s="44">
        <v>19.61</v>
      </c>
      <c r="G207" s="11">
        <v>6.3949999999999999E-4</v>
      </c>
      <c r="H207" s="61">
        <f t="shared" si="14"/>
        <v>244.61971830985917</v>
      </c>
      <c r="I207" s="29">
        <f t="shared" si="15"/>
        <v>0.24413098858762894</v>
      </c>
      <c r="J207" s="52">
        <v>0.47799999999999998</v>
      </c>
      <c r="K207" s="75">
        <v>-4.9793000000000003</v>
      </c>
      <c r="L207" s="81">
        <v>879.27</v>
      </c>
      <c r="M207" s="13">
        <v>9.7000000000000003E-3</v>
      </c>
      <c r="N207" s="12">
        <v>-9.9731999999999997E-6</v>
      </c>
      <c r="O207" s="93">
        <v>0.24440000000000001</v>
      </c>
      <c r="P207" s="94">
        <v>0.26040000000000002</v>
      </c>
      <c r="Q207" s="95">
        <v>0.28570000000000001</v>
      </c>
      <c r="R207" s="111">
        <v>25.18</v>
      </c>
      <c r="S207" s="118">
        <v>-3388.1</v>
      </c>
      <c r="T207" s="125">
        <v>-5.5632000000000001</v>
      </c>
      <c r="U207" s="14">
        <v>0</v>
      </c>
      <c r="V207" s="30">
        <v>0</v>
      </c>
      <c r="W207" s="138">
        <v>205.334</v>
      </c>
      <c r="X207" s="13">
        <v>0.89326000000000005</v>
      </c>
      <c r="Y207" s="14">
        <v>-2.4715000000000002E-3</v>
      </c>
      <c r="Z207" s="30">
        <v>3.3341E-6</v>
      </c>
      <c r="AA207" s="77">
        <v>0.1663</v>
      </c>
      <c r="AB207" s="5">
        <v>-7.2045999999999994E-5</v>
      </c>
      <c r="AC207" s="15">
        <v>-2.2359999999999999E-7</v>
      </c>
      <c r="AD207" s="146">
        <v>64.408000000000001</v>
      </c>
      <c r="AE207" s="147">
        <v>0.38</v>
      </c>
      <c r="AF207" s="150">
        <v>52.360999999999997</v>
      </c>
      <c r="AG207" s="152">
        <v>1.2222</v>
      </c>
    </row>
    <row r="208" spans="1:33" x14ac:dyDescent="0.2">
      <c r="A208" s="27">
        <v>11</v>
      </c>
      <c r="B208" s="69">
        <v>3.1385171412499999</v>
      </c>
      <c r="C208" s="28">
        <f t="shared" si="16"/>
        <v>0.12612163293307577</v>
      </c>
      <c r="D208" s="31">
        <v>156.31200000000001</v>
      </c>
      <c r="E208" s="48">
        <v>622.87</v>
      </c>
      <c r="F208" s="48">
        <v>19.61</v>
      </c>
      <c r="G208" s="35">
        <v>6.3949999999999999E-4</v>
      </c>
      <c r="H208" s="61">
        <f t="shared" si="14"/>
        <v>244.61971830985917</v>
      </c>
      <c r="I208" s="29">
        <f t="shared" si="15"/>
        <v>0.24197528926476547</v>
      </c>
      <c r="J208" s="55">
        <v>0.47799999999999998</v>
      </c>
      <c r="K208" s="76">
        <v>-5.0206</v>
      </c>
      <c r="L208" s="82">
        <v>894.52</v>
      </c>
      <c r="M208" s="85">
        <v>9.5999999999999992E-3</v>
      </c>
      <c r="N208" s="4">
        <v>-9.8429000000000002E-6</v>
      </c>
      <c r="O208" s="99" t="str" cm="1">
        <f t="array" aca="1" ref="O208" ca="1">LEFT(INDEX($O$134:$O$291, MATCH(MIN(IF(ABS($B$134:$B$291-B208)&lt;&gt;0, ABS($B$134:$B$291-B208))), IF(ABS($B$134:$B$291-B208)&lt;&gt;0, ABS($B$134:$B$291-B208)), 0)),6)</f>
        <v>0.2444</v>
      </c>
      <c r="P208" s="106" cm="1">
        <f t="array" aca="1" ref="P208" ca="1">INDEX($P$134:$P$291, MATCH(MIN(IF(ABS($B$134:$B$291-B208)&lt;&gt;0, ABS($B$134:$B$291-B208))), IF(ABS($B$134:$B$291-B208)&lt;&gt;0, ABS($B$134:$B$291-B208)), 0))</f>
        <v>0.26040000000000002</v>
      </c>
      <c r="Q208" s="107" cm="1">
        <f t="array" aca="1" ref="Q208" ca="1">INDEX($Q$134:$Q$291, MATCH(MIN(IF(ABS($B$134:$B$291-B208)&lt;&gt;0, ABS($B$134:$B$291-B208))), IF(ABS($B$134:$B$291-B208)&lt;&gt;0, ABS($B$134:$B$291-B208)), 0))</f>
        <v>0.28570000000000001</v>
      </c>
      <c r="R208" s="114">
        <v>25</v>
      </c>
      <c r="S208" s="120">
        <v>-3403.7</v>
      </c>
      <c r="T208" s="127">
        <v>-5.4996</v>
      </c>
      <c r="U208" s="14">
        <v>0</v>
      </c>
      <c r="V208" s="14">
        <v>0</v>
      </c>
      <c r="W208" s="139">
        <v>207.55799999999999</v>
      </c>
      <c r="X208" s="7">
        <v>0.87629999999999997</v>
      </c>
      <c r="Y208" s="8">
        <v>-2.4063000000000001E-3</v>
      </c>
      <c r="Z208" s="33">
        <v>3.2374000000000001E-6</v>
      </c>
      <c r="AA208" s="141">
        <v>0.16639999999999999</v>
      </c>
      <c r="AB208" s="9">
        <v>-7.1649999999999993E-5</v>
      </c>
      <c r="AC208" s="10">
        <v>-2.1962E-7</v>
      </c>
      <c r="AD208" s="146">
        <v>65.009</v>
      </c>
      <c r="AE208" s="147">
        <v>0.38</v>
      </c>
      <c r="AF208" s="150">
        <v>52.524000000000001</v>
      </c>
      <c r="AG208" s="152">
        <v>1.2222</v>
      </c>
    </row>
    <row r="209" spans="1:33" x14ac:dyDescent="0.2">
      <c r="A209" s="27">
        <v>11</v>
      </c>
      <c r="B209" s="69">
        <v>3.1397024125000002</v>
      </c>
      <c r="C209" s="28">
        <f t="shared" si="16"/>
        <v>0.12619971911420258</v>
      </c>
      <c r="D209" s="31">
        <v>156.31200000000001</v>
      </c>
      <c r="E209" s="48">
        <v>625.61</v>
      </c>
      <c r="F209" s="48">
        <v>19.61</v>
      </c>
      <c r="G209" s="35">
        <v>6.3949999999999999E-4</v>
      </c>
      <c r="H209" s="61">
        <f t="shared" si="14"/>
        <v>244.61971830985917</v>
      </c>
      <c r="I209" s="29">
        <f t="shared" si="15"/>
        <v>0.24091550394709876</v>
      </c>
      <c r="J209" s="55">
        <v>0.47799999999999998</v>
      </c>
      <c r="K209" s="76">
        <v>-5.0384000000000002</v>
      </c>
      <c r="L209" s="82">
        <v>901.73</v>
      </c>
      <c r="M209" s="85">
        <v>9.5999999999999992E-3</v>
      </c>
      <c r="N209" s="4">
        <v>-9.7752999999999994E-6</v>
      </c>
      <c r="O209" s="99" t="str" cm="1">
        <f t="array" aca="1" ref="O209" ca="1">LEFT(INDEX($O$134:$O$291, MATCH(MIN(IF(ABS($B$134:$B$291-B209)&lt;&gt;0, ABS($B$134:$B$291-B209))), IF(ABS($B$134:$B$291-B209)&lt;&gt;0, ABS($B$134:$B$291-B209)), 0)),6)</f>
        <v>0.2444</v>
      </c>
      <c r="P209" s="106" cm="1">
        <f t="array" aca="1" ref="P209" ca="1">INDEX($P$134:$P$291, MATCH(MIN(IF(ABS($B$134:$B$291-B209)&lt;&gt;0, ABS($B$134:$B$291-B209))), IF(ABS($B$134:$B$291-B209)&lt;&gt;0, ABS($B$134:$B$291-B209)), 0))</f>
        <v>0.26040000000000002</v>
      </c>
      <c r="Q209" s="107" cm="1">
        <f t="array" aca="1" ref="Q209" ca="1">INDEX($Q$134:$Q$291, MATCH(MIN(IF(ABS($B$134:$B$291-B209)&lt;&gt;0, ABS($B$134:$B$291-B209))), IF(ABS($B$134:$B$291-B209)&lt;&gt;0, ABS($B$134:$B$291-B209)), 0))</f>
        <v>0.28570000000000001</v>
      </c>
      <c r="R209" s="114">
        <v>24.911999999999999</v>
      </c>
      <c r="S209" s="120">
        <v>-3411.5</v>
      </c>
      <c r="T209" s="127">
        <v>-5.4683999999999999</v>
      </c>
      <c r="U209" s="14">
        <v>0</v>
      </c>
      <c r="V209" s="14">
        <v>0</v>
      </c>
      <c r="W209" s="139">
        <v>208.88499999999999</v>
      </c>
      <c r="X209" s="7">
        <v>0.86623000000000006</v>
      </c>
      <c r="Y209" s="8">
        <v>-2.3692000000000001E-3</v>
      </c>
      <c r="Z209" s="33">
        <v>3.1833000000000001E-6</v>
      </c>
      <c r="AA209" s="141">
        <v>0.16639999999999999</v>
      </c>
      <c r="AB209" s="9">
        <v>-7.1452000000000006E-5</v>
      </c>
      <c r="AC209" s="10">
        <v>-2.1766999999999999E-7</v>
      </c>
      <c r="AD209" s="146">
        <v>65.31</v>
      </c>
      <c r="AE209" s="147">
        <v>0.38</v>
      </c>
      <c r="AF209" s="150">
        <v>52.604999999999997</v>
      </c>
      <c r="AG209" s="152">
        <v>1.2222</v>
      </c>
    </row>
    <row r="210" spans="1:33" x14ac:dyDescent="0.2">
      <c r="A210" s="27">
        <v>11</v>
      </c>
      <c r="B210" s="69">
        <v>3.8221828800000002</v>
      </c>
      <c r="C210" s="28">
        <f t="shared" si="16"/>
        <v>0.17116182664925303</v>
      </c>
      <c r="D210" s="31">
        <v>156.31200000000001</v>
      </c>
      <c r="E210" s="48">
        <v>625.61</v>
      </c>
      <c r="F210" s="48">
        <v>19.61</v>
      </c>
      <c r="G210" s="35">
        <v>6.3949999999999999E-4</v>
      </c>
      <c r="H210" s="61">
        <f t="shared" si="14"/>
        <v>244.61971830985917</v>
      </c>
      <c r="I210" s="29">
        <f t="shared" si="15"/>
        <v>0.24091550394709876</v>
      </c>
      <c r="J210" s="55">
        <v>0.47799999999999998</v>
      </c>
      <c r="K210" s="76">
        <v>-5.0384000000000002</v>
      </c>
      <c r="L210" s="82">
        <v>901.73</v>
      </c>
      <c r="M210" s="85">
        <v>9.5999999999999992E-3</v>
      </c>
      <c r="N210" s="4">
        <v>-9.7752999999999994E-6</v>
      </c>
      <c r="O210" s="99" t="str" cm="1">
        <f t="array" ref="O210">LEFT(INDEX($O$134:$O$291, MATCH(MIN(IF(ABS($B$134:$B$291-B210)&lt;&gt;0, ABS($B$134:$B$291-B210))), IF(ABS($B$134:$B$291-B210)&lt;&gt;0, ABS($B$134:$B$291-B210)), 0)),6)</f>
        <v>0.2444</v>
      </c>
      <c r="P210" s="106" cm="1">
        <f t="array" ref="P210">INDEX($P$134:$P$291, MATCH(MIN(IF(ABS($B$134:$B$291-B210)&lt;&gt;0, ABS($B$134:$B$291-B210))), IF(ABS($B$134:$B$291-B210)&lt;&gt;0, ABS($B$134:$B$291-B210)), 0))</f>
        <v>0.26250000000000001</v>
      </c>
      <c r="Q210" s="107" cm="1">
        <f t="array" ref="Q210">INDEX($Q$134:$Q$291, MATCH(MIN(IF(ABS($B$134:$B$291-B210)&lt;&gt;0, ABS($B$134:$B$291-B210))), IF(ABS($B$134:$B$291-B210)&lt;&gt;0, ABS($B$134:$B$291-B210)), 0))</f>
        <v>0.28570000000000001</v>
      </c>
      <c r="R210" s="114">
        <v>24.911999999999999</v>
      </c>
      <c r="S210" s="120">
        <v>-3411.5</v>
      </c>
      <c r="T210" s="127">
        <v>-5.4683999999999999</v>
      </c>
      <c r="U210" s="14">
        <v>0</v>
      </c>
      <c r="V210" s="14">
        <v>0</v>
      </c>
      <c r="W210" s="139">
        <v>210.09299999999999</v>
      </c>
      <c r="X210" s="7">
        <v>0.85699999999999998</v>
      </c>
      <c r="Y210" s="8">
        <v>-2.3408000000000001E-3</v>
      </c>
      <c r="Z210" s="33">
        <v>3.1464999999999999E-6</v>
      </c>
      <c r="AA210" s="141">
        <v>0.16639999999999999</v>
      </c>
      <c r="AB210" s="9">
        <v>-7.1452000000000006E-5</v>
      </c>
      <c r="AC210" s="10">
        <v>-2.1766999999999999E-7</v>
      </c>
      <c r="AD210" s="146">
        <v>65.31</v>
      </c>
      <c r="AE210" s="147">
        <v>0.38</v>
      </c>
      <c r="AF210" s="150">
        <v>52.604999999999997</v>
      </c>
      <c r="AG210" s="152">
        <v>1.2222</v>
      </c>
    </row>
    <row r="211" spans="1:33" x14ac:dyDescent="0.2">
      <c r="A211" s="27">
        <v>11</v>
      </c>
      <c r="B211" s="69">
        <v>1.9063704487499999</v>
      </c>
      <c r="C211" s="28">
        <f t="shared" si="16"/>
        <v>4.4947277438217963E-2</v>
      </c>
      <c r="D211" s="31">
        <v>156.31200000000001</v>
      </c>
      <c r="E211" s="48">
        <v>629.99</v>
      </c>
      <c r="F211" s="48">
        <v>19.48</v>
      </c>
      <c r="G211" s="35">
        <v>6.4550000000000002E-4</v>
      </c>
      <c r="H211" s="61">
        <f t="shared" si="14"/>
        <v>242.34418604651165</v>
      </c>
      <c r="I211" s="29">
        <f t="shared" si="15"/>
        <v>0.23988604880009184</v>
      </c>
      <c r="J211" s="55">
        <v>0.50700000000000001</v>
      </c>
      <c r="K211" s="76">
        <v>-5.2938000000000001</v>
      </c>
      <c r="L211" s="82">
        <v>945.82</v>
      </c>
      <c r="M211" s="85">
        <v>1.0200000000000001E-2</v>
      </c>
      <c r="N211" s="4">
        <v>-1.0159E-5</v>
      </c>
      <c r="O211" s="99" t="str" cm="1">
        <f t="array" ref="O211">LEFT(INDEX($O$134:$O$291, MATCH(MIN(IF(ABS($B$134:$B$291-B211)&lt;&gt;0, ABS($B$134:$B$291-B211))), IF(ABS($B$134:$B$291-B211)&lt;&gt;0, ABS($B$134:$B$291-B211)), 0)),6)</f>
        <v>0.2422</v>
      </c>
      <c r="P211" s="106" cm="1">
        <f t="array" ref="P211">INDEX($P$134:$P$291, MATCH(MIN(IF(ABS($B$134:$B$291-B211)&lt;&gt;0, ABS($B$134:$B$291-B211))), IF(ABS($B$134:$B$291-B211)&lt;&gt;0, ABS($B$134:$B$291-B211)), 0))</f>
        <v>0.26200000000000001</v>
      </c>
      <c r="Q211" s="107" cm="1">
        <f t="array" ref="Q211">INDEX($Q$134:$Q$291, MATCH(MIN(IF(ABS($B$134:$B$291-B211)&lt;&gt;0, ABS($B$134:$B$291-B211))), IF(ABS($B$134:$B$291-B211)&lt;&gt;0, ABS($B$134:$B$291-B211)), 0))</f>
        <v>0.28570000000000001</v>
      </c>
      <c r="R211" s="114">
        <v>24.954999999999998</v>
      </c>
      <c r="S211" s="120">
        <v>-3478.6</v>
      </c>
      <c r="T211" s="127">
        <v>-5.4543999999999997</v>
      </c>
      <c r="U211" s="14">
        <v>0</v>
      </c>
      <c r="V211" s="14">
        <v>0</v>
      </c>
      <c r="W211" s="139">
        <v>213.45099999999999</v>
      </c>
      <c r="X211" s="7">
        <v>0.86621000000000004</v>
      </c>
      <c r="Y211" s="8">
        <v>-2.3644999999999998E-3</v>
      </c>
      <c r="Z211" s="33">
        <v>3.1596000000000002E-6</v>
      </c>
      <c r="AA211" s="141">
        <v>0.1678</v>
      </c>
      <c r="AB211" s="9">
        <v>-7.1185000000000004E-5</v>
      </c>
      <c r="AC211" s="10">
        <v>-2.1717999999999999E-7</v>
      </c>
      <c r="AD211" s="146">
        <v>67.203999999999994</v>
      </c>
      <c r="AE211" s="147">
        <v>0.38</v>
      </c>
      <c r="AF211" s="150">
        <v>53.192999999999998</v>
      </c>
      <c r="AG211" s="152">
        <v>1.2222</v>
      </c>
    </row>
    <row r="212" spans="1:33" x14ac:dyDescent="0.2">
      <c r="A212" s="27">
        <v>11</v>
      </c>
      <c r="B212" s="69">
        <v>2.5930242799999998</v>
      </c>
      <c r="C212" s="28">
        <f t="shared" si="16"/>
        <v>9.0184327976982115E-2</v>
      </c>
      <c r="D212" s="31">
        <v>156.31200000000001</v>
      </c>
      <c r="E212" s="44">
        <v>631.76</v>
      </c>
      <c r="F212" s="44">
        <v>19.48</v>
      </c>
      <c r="G212" s="11">
        <v>6.4550000000000002E-4</v>
      </c>
      <c r="H212" s="61">
        <f t="shared" si="14"/>
        <v>242.34418604651165</v>
      </c>
      <c r="I212" s="29">
        <f t="shared" si="15"/>
        <v>0.2392139608135524</v>
      </c>
      <c r="J212" s="52">
        <v>0.50700000000000001</v>
      </c>
      <c r="K212" s="75">
        <v>-5.3010000000000002</v>
      </c>
      <c r="L212" s="81">
        <v>949.89</v>
      </c>
      <c r="M212" s="13">
        <v>1.0200000000000001E-2</v>
      </c>
      <c r="N212" s="12">
        <v>-1.0108E-5</v>
      </c>
      <c r="O212" s="102">
        <v>0.3463</v>
      </c>
      <c r="P212" s="108">
        <v>0.36680000000000001</v>
      </c>
      <c r="Q212" s="95">
        <v>0.45129999999999998</v>
      </c>
      <c r="R212" s="111">
        <v>24.899000000000001</v>
      </c>
      <c r="S212" s="118">
        <v>-3483.8</v>
      </c>
      <c r="T212" s="125">
        <v>-5.4348000000000001</v>
      </c>
      <c r="U212" s="14">
        <v>0</v>
      </c>
      <c r="V212" s="30">
        <v>0</v>
      </c>
      <c r="W212" s="138">
        <v>194.727</v>
      </c>
      <c r="X212" s="13">
        <v>1.0033000000000001</v>
      </c>
      <c r="Y212" s="14">
        <v>-2.6740000000000002E-3</v>
      </c>
      <c r="Z212" s="30">
        <v>3.3668000000000001E-6</v>
      </c>
      <c r="AA212" s="77">
        <v>0.16400000000000001</v>
      </c>
      <c r="AB212" s="5">
        <v>-5.6248000000000001E-5</v>
      </c>
      <c r="AC212" s="15">
        <v>-2.3041999999999999E-7</v>
      </c>
      <c r="AD212" s="146">
        <v>67.400999999999996</v>
      </c>
      <c r="AE212" s="147">
        <v>0.38</v>
      </c>
      <c r="AF212" s="150">
        <v>53.16</v>
      </c>
      <c r="AG212" s="152">
        <v>1.2222</v>
      </c>
    </row>
    <row r="213" spans="1:33" x14ac:dyDescent="0.2">
      <c r="A213" s="27">
        <v>11</v>
      </c>
      <c r="B213" s="69">
        <v>1.90690491375</v>
      </c>
      <c r="C213" s="28">
        <f t="shared" si="16"/>
        <v>4.4982488222918879E-2</v>
      </c>
      <c r="D213" s="31">
        <v>156.31200000000001</v>
      </c>
      <c r="E213" s="47">
        <v>632.86</v>
      </c>
      <c r="F213" s="44">
        <v>19.48</v>
      </c>
      <c r="G213" s="11">
        <v>6.4550000000000002E-4</v>
      </c>
      <c r="H213" s="61">
        <f t="shared" si="14"/>
        <v>242.34418604651165</v>
      </c>
      <c r="I213" s="29">
        <f t="shared" si="15"/>
        <v>0.23879817318770324</v>
      </c>
      <c r="J213" s="52">
        <v>0.50700000000000001</v>
      </c>
      <c r="K213" s="75">
        <v>-5.3052000000000001</v>
      </c>
      <c r="L213" s="81">
        <v>952.4</v>
      </c>
      <c r="M213" s="13">
        <v>1.0200000000000001E-2</v>
      </c>
      <c r="N213" s="12">
        <v>-1.0077E-5</v>
      </c>
      <c r="O213" s="93">
        <v>0.2422</v>
      </c>
      <c r="P213" s="94">
        <v>0.26200000000000001</v>
      </c>
      <c r="Q213" s="95">
        <v>0.28570000000000001</v>
      </c>
      <c r="R213" s="111">
        <v>24.864999999999998</v>
      </c>
      <c r="S213" s="118">
        <v>-3487</v>
      </c>
      <c r="T213" s="125">
        <v>-5.4226000000000001</v>
      </c>
      <c r="U213" s="14">
        <v>0</v>
      </c>
      <c r="V213" s="30">
        <v>0</v>
      </c>
      <c r="W213" s="138">
        <v>215.11099999999999</v>
      </c>
      <c r="X213" s="13">
        <v>0.85390999999999995</v>
      </c>
      <c r="Y213" s="14">
        <v>-2.3227E-3</v>
      </c>
      <c r="Z213" s="30">
        <v>3.1033E-6</v>
      </c>
      <c r="AA213" s="77">
        <v>0.16789999999999999</v>
      </c>
      <c r="AB213" s="5">
        <v>-7.1261999999999996E-5</v>
      </c>
      <c r="AC213" s="15">
        <v>-2.1491999999999999E-7</v>
      </c>
      <c r="AD213" s="146">
        <v>67.525000000000006</v>
      </c>
      <c r="AE213" s="147">
        <v>0.38</v>
      </c>
      <c r="AF213" s="150">
        <v>53.192999999999998</v>
      </c>
      <c r="AG213" s="152">
        <v>1.2222</v>
      </c>
    </row>
    <row r="214" spans="1:33" x14ac:dyDescent="0.2">
      <c r="A214" s="27">
        <v>11</v>
      </c>
      <c r="B214" s="69">
        <v>1.9078330050000001</v>
      </c>
      <c r="C214" s="28">
        <f t="shared" si="16"/>
        <v>4.5043631274730607E-2</v>
      </c>
      <c r="D214" s="31">
        <v>156.31200000000001</v>
      </c>
      <c r="E214" s="47">
        <v>627.4</v>
      </c>
      <c r="F214" s="44">
        <v>19.48</v>
      </c>
      <c r="G214" s="11">
        <v>6.4550000000000002E-4</v>
      </c>
      <c r="H214" s="61">
        <f t="shared" si="14"/>
        <v>242.34418604651165</v>
      </c>
      <c r="I214" s="29">
        <f t="shared" si="15"/>
        <v>0.24087633389156818</v>
      </c>
      <c r="J214" s="52">
        <v>0.50700000000000001</v>
      </c>
      <c r="K214" s="75">
        <v>-5.2820999999999998</v>
      </c>
      <c r="L214" s="81">
        <v>939.66</v>
      </c>
      <c r="M214" s="13">
        <v>1.0200000000000001E-2</v>
      </c>
      <c r="N214" s="12">
        <v>-1.0233E-5</v>
      </c>
      <c r="O214" s="93">
        <v>0.2422</v>
      </c>
      <c r="P214" s="94">
        <v>0.26140000000000002</v>
      </c>
      <c r="Q214" s="95">
        <v>0.28570000000000001</v>
      </c>
      <c r="R214" s="111">
        <v>25.036999999999999</v>
      </c>
      <c r="S214" s="118">
        <v>-3471</v>
      </c>
      <c r="T214" s="125">
        <v>-5.4835000000000003</v>
      </c>
      <c r="U214" s="14">
        <v>0</v>
      </c>
      <c r="V214" s="30">
        <v>0</v>
      </c>
      <c r="W214" s="138">
        <v>203.91499999999999</v>
      </c>
      <c r="X214" s="13">
        <v>0.93672999999999995</v>
      </c>
      <c r="Y214" s="14">
        <v>-2.5454000000000002E-3</v>
      </c>
      <c r="Z214" s="30">
        <v>3.3253000000000002E-6</v>
      </c>
      <c r="AA214" s="77">
        <v>0.1663</v>
      </c>
      <c r="AB214" s="5">
        <v>-6.5687999999999999E-5</v>
      </c>
      <c r="AC214" s="15">
        <v>-2.2459E-7</v>
      </c>
      <c r="AD214" s="146">
        <v>66.914000000000001</v>
      </c>
      <c r="AE214" s="147">
        <v>0.38</v>
      </c>
      <c r="AF214" s="150">
        <v>53.031999999999996</v>
      </c>
      <c r="AG214" s="152">
        <v>1.2222</v>
      </c>
    </row>
    <row r="215" spans="1:33" x14ac:dyDescent="0.2">
      <c r="A215" s="27">
        <v>11</v>
      </c>
      <c r="B215" s="69">
        <v>11.10017703125</v>
      </c>
      <c r="C215" s="28">
        <f t="shared" si="16"/>
        <v>0.65063922014399189</v>
      </c>
      <c r="D215" s="31">
        <v>156.31200000000001</v>
      </c>
      <c r="E215" s="48">
        <v>640.29</v>
      </c>
      <c r="F215" s="48">
        <v>20.09</v>
      </c>
      <c r="G215" s="35">
        <v>6.2250000000000001E-4</v>
      </c>
      <c r="H215" s="61">
        <f t="shared" si="14"/>
        <v>251.30546623794214</v>
      </c>
      <c r="I215" s="29">
        <f t="shared" si="15"/>
        <v>0.23473809845598098</v>
      </c>
      <c r="J215" s="55">
        <v>0.36199999999999999</v>
      </c>
      <c r="K215" s="76">
        <v>-4.7590000000000003</v>
      </c>
      <c r="L215" s="82">
        <v>961.87</v>
      </c>
      <c r="M215" s="85">
        <v>7.7000000000000002E-3</v>
      </c>
      <c r="N215" s="4">
        <v>-7.4907000000000001E-6</v>
      </c>
      <c r="O215" s="99" t="str" cm="1">
        <f t="array" ref="O215">LEFT(INDEX($O$134:$O$291, MATCH(MIN(IF(ABS($B$134:$B$291-B215)&lt;&gt;0, ABS($B$134:$B$291-B215))), IF(ABS($B$134:$B$291-B215)&lt;&gt;0, ABS($B$134:$B$291-B215)), 0)),6)</f>
        <v>0.2487</v>
      </c>
      <c r="P215" s="106" cm="1">
        <f t="array" ref="P215">INDEX($P$134:$P$291, MATCH(MIN(IF(ABS($B$134:$B$291-B215)&lt;&gt;0, ABS($B$134:$B$291-B215))), IF(ABS($B$134:$B$291-B215)&lt;&gt;0, ABS($B$134:$B$291-B215)), 0))</f>
        <v>0.27139999999999997</v>
      </c>
      <c r="Q215" s="107" cm="1">
        <f t="array" ref="Q215">INDEX($Q$134:$Q$291, MATCH(MIN(IF(ABS($B$134:$B$291-B215)&lt;&gt;0, ABS($B$134:$B$291-B215))), IF(ABS($B$134:$B$291-B215)&lt;&gt;0, ABS($B$134:$B$291-B215)), 0))</f>
        <v>0.28570000000000001</v>
      </c>
      <c r="R215" s="114">
        <v>23.734999999999999</v>
      </c>
      <c r="S215" s="120">
        <v>-3231.5</v>
      </c>
      <c r="T215" s="127">
        <v>-5.1703999999999999</v>
      </c>
      <c r="U215" s="14">
        <v>0</v>
      </c>
      <c r="V215" s="14">
        <v>0</v>
      </c>
      <c r="W215" s="139">
        <v>215.57400000000001</v>
      </c>
      <c r="X215" s="7">
        <v>0.68354999999999999</v>
      </c>
      <c r="Y215" s="8">
        <v>-1.8031E-3</v>
      </c>
      <c r="Z215" s="33">
        <v>2.5223E-6</v>
      </c>
      <c r="AA215" s="141">
        <v>0.16300000000000001</v>
      </c>
      <c r="AB215" s="9">
        <v>-7.6143999999999995E-5</v>
      </c>
      <c r="AC215" s="10">
        <v>-1.9205E-7</v>
      </c>
      <c r="AD215" s="146">
        <v>61.290999999999997</v>
      </c>
      <c r="AE215" s="147">
        <v>0.38</v>
      </c>
      <c r="AF215" s="150">
        <v>51.514000000000003</v>
      </c>
      <c r="AG215" s="152">
        <v>1.2222</v>
      </c>
    </row>
    <row r="216" spans="1:33" x14ac:dyDescent="0.2">
      <c r="A216" s="27">
        <v>11</v>
      </c>
      <c r="B216" s="69">
        <v>11.6906406225</v>
      </c>
      <c r="C216" s="28">
        <f t="shared" si="16"/>
        <v>0.68953921618719671</v>
      </c>
      <c r="D216" s="31">
        <v>156.31200000000001</v>
      </c>
      <c r="E216" s="48">
        <v>630.41999999999996</v>
      </c>
      <c r="F216" s="48">
        <v>20.09</v>
      </c>
      <c r="G216" s="35">
        <v>6.2250000000000001E-4</v>
      </c>
      <c r="H216" s="61">
        <f t="shared" si="14"/>
        <v>251.30546623794214</v>
      </c>
      <c r="I216" s="29">
        <f t="shared" si="15"/>
        <v>0.23841321192281348</v>
      </c>
      <c r="J216" s="55">
        <v>0.36199999999999999</v>
      </c>
      <c r="K216" s="76">
        <v>-4.5987</v>
      </c>
      <c r="L216" s="82">
        <v>925.17</v>
      </c>
      <c r="M216" s="85">
        <v>7.4999999999999997E-3</v>
      </c>
      <c r="N216" s="4">
        <v>-7.4721E-6</v>
      </c>
      <c r="O216" s="99" t="str" cm="1">
        <f t="array" ref="O216">LEFT(INDEX($O$134:$O$291, MATCH(MIN(IF(ABS($B$134:$B$291-B216)&lt;&gt;0, ABS($B$134:$B$291-B216))), IF(ABS($B$134:$B$291-B216)&lt;&gt;0, ABS($B$134:$B$291-B216)), 0)),6)</f>
        <v>0.2511</v>
      </c>
      <c r="P216" s="106" cm="1">
        <f t="array" ref="P216">INDEX($P$134:$P$291, MATCH(MIN(IF(ABS($B$134:$B$291-B216)&lt;&gt;0, ABS($B$134:$B$291-B216))), IF(ABS($B$134:$B$291-B216)&lt;&gt;0, ABS($B$134:$B$291-B216)), 0))</f>
        <v>0.26290000000000002</v>
      </c>
      <c r="Q216" s="107" cm="1">
        <f t="array" ref="Q216">INDEX($Q$134:$Q$291, MATCH(MIN(IF(ABS($B$134:$B$291-B216)&lt;&gt;0, ABS($B$134:$B$291-B216))), IF(ABS($B$134:$B$291-B216)&lt;&gt;0, ABS($B$134:$B$291-B216)), 0))</f>
        <v>0.28570000000000001</v>
      </c>
      <c r="R216" s="114">
        <v>24.033000000000001</v>
      </c>
      <c r="S216" s="120">
        <v>-3205.9</v>
      </c>
      <c r="T216" s="127">
        <v>-5.2756999999999996</v>
      </c>
      <c r="U216" s="14">
        <v>0</v>
      </c>
      <c r="V216" s="14">
        <v>0</v>
      </c>
      <c r="W216" s="139">
        <v>213.78</v>
      </c>
      <c r="X216" s="7">
        <v>0.69669999999999999</v>
      </c>
      <c r="Y216" s="8">
        <v>-1.861E-3</v>
      </c>
      <c r="Z216" s="33">
        <v>2.6168000000000001E-6</v>
      </c>
      <c r="AA216" s="141">
        <v>0.1628</v>
      </c>
      <c r="AB216" s="9">
        <v>-7.7033000000000006E-5</v>
      </c>
      <c r="AC216" s="10">
        <v>-1.9810000000000001E-7</v>
      </c>
      <c r="AD216" s="146">
        <v>60.3</v>
      </c>
      <c r="AE216" s="147">
        <v>0.38</v>
      </c>
      <c r="AF216" s="150">
        <v>51.234000000000002</v>
      </c>
      <c r="AG216" s="152">
        <v>1.2222</v>
      </c>
    </row>
    <row r="217" spans="1:33" x14ac:dyDescent="0.2">
      <c r="A217" s="27">
        <v>11</v>
      </c>
      <c r="B217" s="69">
        <v>13.447975769999999</v>
      </c>
      <c r="C217" s="28">
        <f t="shared" si="16"/>
        <v>0.80531321359763353</v>
      </c>
      <c r="D217" s="31">
        <v>156.31200000000001</v>
      </c>
      <c r="E217" s="48">
        <v>629.72</v>
      </c>
      <c r="F217" s="48">
        <v>20.149999999999999</v>
      </c>
      <c r="G217" s="35">
        <v>6.2350000000000003E-4</v>
      </c>
      <c r="H217" s="61">
        <f t="shared" si="14"/>
        <v>250.90208667736761</v>
      </c>
      <c r="I217" s="29">
        <f t="shared" si="15"/>
        <v>0.23977593334455008</v>
      </c>
      <c r="J217" s="55">
        <v>0.33300000000000002</v>
      </c>
      <c r="K217" s="76">
        <v>-4.2549000000000001</v>
      </c>
      <c r="L217" s="82">
        <v>875.78</v>
      </c>
      <c r="M217" s="85">
        <v>6.6E-3</v>
      </c>
      <c r="N217" s="4">
        <v>-6.7839000000000004E-6</v>
      </c>
      <c r="O217" s="99" t="str" cm="1">
        <f t="array" ref="O217">LEFT(INDEX($O$134:$O$291, MATCH(MIN(IF(ABS($B$134:$B$291-B217)&lt;&gt;0, ABS($B$134:$B$291-B217))), IF(ABS($B$134:$B$291-B217)&lt;&gt;0, ABS($B$134:$B$291-B217)), 0)),6)</f>
        <v>0.2507</v>
      </c>
      <c r="P217" s="106" cm="1">
        <f t="array" ref="P217">INDEX($P$134:$P$291, MATCH(MIN(IF(ABS($B$134:$B$291-B217)&lt;&gt;0, ABS($B$134:$B$291-B217))), IF(ABS($B$134:$B$291-B217)&lt;&gt;0, ABS($B$134:$B$291-B217)), 0))</f>
        <v>0.26379999999999998</v>
      </c>
      <c r="Q217" s="107" cm="1">
        <f t="array" ref="Q217">INDEX($Q$134:$Q$291, MATCH(MIN(IF(ABS($B$134:$B$291-B217)&lt;&gt;0, ABS($B$134:$B$291-B217))), IF(ABS($B$134:$B$291-B217)&lt;&gt;0, ABS($B$134:$B$291-B217)), 0))</f>
        <v>0.28570000000000001</v>
      </c>
      <c r="R217" s="114">
        <v>23.864000000000001</v>
      </c>
      <c r="S217" s="120">
        <v>-3147.8</v>
      </c>
      <c r="T217" s="127">
        <v>-5.2465999999999999</v>
      </c>
      <c r="U217" s="14">
        <v>0</v>
      </c>
      <c r="V217" s="14">
        <v>0</v>
      </c>
      <c r="W217" s="139">
        <v>199.57499999999999</v>
      </c>
      <c r="X217" s="7">
        <v>0.77093</v>
      </c>
      <c r="Y217" s="8">
        <v>-2.0317E-3</v>
      </c>
      <c r="Z217" s="33">
        <v>2.7452E-6</v>
      </c>
      <c r="AA217" s="141">
        <v>0.1593</v>
      </c>
      <c r="AB217" s="9">
        <v>-6.8144000000000004E-5</v>
      </c>
      <c r="AC217" s="10">
        <v>-2.0489E-7</v>
      </c>
      <c r="AD217" s="146">
        <v>58.863999999999997</v>
      </c>
      <c r="AE217" s="147">
        <v>0.38</v>
      </c>
      <c r="AF217" s="150">
        <v>50.784999999999997</v>
      </c>
      <c r="AG217" s="152">
        <v>1.2222</v>
      </c>
    </row>
    <row r="218" spans="1:33" x14ac:dyDescent="0.2">
      <c r="A218" s="27">
        <v>11</v>
      </c>
      <c r="B218" s="69">
        <v>12.272830450000001</v>
      </c>
      <c r="C218" s="28">
        <f t="shared" si="16"/>
        <v>0.72789413310629159</v>
      </c>
      <c r="D218" s="31">
        <v>156.31200000000001</v>
      </c>
      <c r="E218" s="48">
        <v>648.89</v>
      </c>
      <c r="F218" s="48">
        <v>20.149999999999999</v>
      </c>
      <c r="G218" s="35">
        <v>6.2350000000000003E-4</v>
      </c>
      <c r="H218" s="61">
        <f t="shared" si="14"/>
        <v>250.90208667736761</v>
      </c>
      <c r="I218" s="29">
        <f t="shared" si="15"/>
        <v>0.23269229105970207</v>
      </c>
      <c r="J218" s="55">
        <v>0.33300000000000002</v>
      </c>
      <c r="K218" s="76">
        <v>-4.5730000000000004</v>
      </c>
      <c r="L218" s="82">
        <v>947.22</v>
      </c>
      <c r="M218" s="85">
        <v>7.1000000000000004E-3</v>
      </c>
      <c r="N218" s="4">
        <v>-6.8657000000000002E-6</v>
      </c>
      <c r="O218" s="99" t="str" cm="1">
        <f t="array" ref="O218">LEFT(INDEX($O$134:$O$291, MATCH(MIN(IF(ABS($B$134:$B$291-B218)&lt;&gt;0, ABS($B$134:$B$291-B218))), IF(ABS($B$134:$B$291-B218)&lt;&gt;0, ABS($B$134:$B$291-B218)), 0)),6)</f>
        <v>0.2507</v>
      </c>
      <c r="P218" s="106" cm="1">
        <f t="array" ref="P218">INDEX($P$134:$P$291, MATCH(MIN(IF(ABS($B$134:$B$291-B218)&lt;&gt;0, ABS($B$134:$B$291-B218))), IF(ABS($B$134:$B$291-B218)&lt;&gt;0, ABS($B$134:$B$291-B218)), 0))</f>
        <v>0.25690000000000002</v>
      </c>
      <c r="Q218" s="107" cm="1">
        <f t="array" ref="Q218">INDEX($Q$134:$Q$291, MATCH(MIN(IF(ABS($B$134:$B$291-B218)&lt;&gt;0, ABS($B$134:$B$291-B218))), IF(ABS($B$134:$B$291-B218)&lt;&gt;0, ABS($B$134:$B$291-B218)), 0))</f>
        <v>0.28570000000000001</v>
      </c>
      <c r="R218" s="114">
        <v>23.295999999999999</v>
      </c>
      <c r="S218" s="120">
        <v>-3196.4</v>
      </c>
      <c r="T218" s="127">
        <v>-5.0462999999999996</v>
      </c>
      <c r="U218" s="14">
        <v>0</v>
      </c>
      <c r="V218" s="14">
        <v>0</v>
      </c>
      <c r="W218" s="139">
        <v>205.476</v>
      </c>
      <c r="X218" s="7">
        <v>0.72623000000000004</v>
      </c>
      <c r="Y218" s="8">
        <v>-1.8638000000000001E-3</v>
      </c>
      <c r="Z218" s="33">
        <v>2.4969000000000002E-6</v>
      </c>
      <c r="AA218" s="141">
        <v>0.15970000000000001</v>
      </c>
      <c r="AB218" s="9">
        <v>-6.7031000000000002E-5</v>
      </c>
      <c r="AC218" s="10">
        <v>-1.9264000000000001E-7</v>
      </c>
      <c r="AD218" s="146">
        <v>60.744999999999997</v>
      </c>
      <c r="AE218" s="147">
        <v>0.38</v>
      </c>
      <c r="AF218" s="150">
        <v>51.32</v>
      </c>
      <c r="AG218" s="152">
        <v>1.2222</v>
      </c>
    </row>
    <row r="219" spans="1:33" x14ac:dyDescent="0.2">
      <c r="A219" s="27">
        <v>11</v>
      </c>
      <c r="B219" s="69">
        <v>14.14424354875</v>
      </c>
      <c r="C219" s="28">
        <f t="shared" si="16"/>
        <v>0.85118363514394435</v>
      </c>
      <c r="D219" s="31">
        <v>156.31200000000001</v>
      </c>
      <c r="E219" s="48">
        <v>623.34</v>
      </c>
      <c r="F219" s="48">
        <v>20.149999999999999</v>
      </c>
      <c r="G219" s="35">
        <v>6.2350000000000003E-4</v>
      </c>
      <c r="H219" s="61">
        <f t="shared" si="14"/>
        <v>250.90208667736761</v>
      </c>
      <c r="I219" s="29">
        <f t="shared" si="15"/>
        <v>0.24223008429706108</v>
      </c>
      <c r="J219" s="55">
        <v>0.33300000000000002</v>
      </c>
      <c r="K219" s="76">
        <v>-4.1162999999999998</v>
      </c>
      <c r="L219" s="82">
        <v>847.59</v>
      </c>
      <c r="M219" s="85">
        <v>6.4000000000000003E-3</v>
      </c>
      <c r="N219" s="4">
        <v>-6.7043999999999997E-6</v>
      </c>
      <c r="O219" s="99" t="str" cm="1">
        <f t="array" ref="O219">LEFT(INDEX($O$134:$O$291, MATCH(MIN(IF(ABS($B$134:$B$291-B219)&lt;&gt;0, ABS($B$134:$B$291-B219))), IF(ABS($B$134:$B$291-B219)&lt;&gt;0, ABS($B$134:$B$291-B219)), 0)),6)</f>
        <v>0.2507</v>
      </c>
      <c r="P219" s="106" cm="1">
        <f t="array" ref="P219">INDEX($P$134:$P$291, MATCH(MIN(IF(ABS($B$134:$B$291-B219)&lt;&gt;0, ABS($B$134:$B$291-B219))), IF(ABS($B$134:$B$291-B219)&lt;&gt;0, ABS($B$134:$B$291-B219)), 0))</f>
        <v>0.26379999999999998</v>
      </c>
      <c r="Q219" s="107" cm="1">
        <f t="array" ref="Q219">INDEX($Q$134:$Q$291, MATCH(MIN(IF(ABS($B$134:$B$291-B219)&lt;&gt;0, ABS($B$134:$B$291-B219))), IF(ABS($B$134:$B$291-B219)&lt;&gt;0, ABS($B$134:$B$291-B219)), 0))</f>
        <v>0.28570000000000001</v>
      </c>
      <c r="R219" s="114">
        <v>24.062999999999999</v>
      </c>
      <c r="S219" s="120">
        <v>-3131.7</v>
      </c>
      <c r="T219" s="127">
        <v>-5.3169000000000004</v>
      </c>
      <c r="U219" s="14">
        <v>0</v>
      </c>
      <c r="V219" s="14">
        <v>0</v>
      </c>
      <c r="W219" s="139">
        <v>200.31200000000001</v>
      </c>
      <c r="X219" s="7">
        <v>0.76634000000000002</v>
      </c>
      <c r="Y219" s="8">
        <v>-2.0306999999999999E-3</v>
      </c>
      <c r="Z219" s="33">
        <v>2.7545999999999999E-6</v>
      </c>
      <c r="AA219" s="141">
        <v>0.15920000000000001</v>
      </c>
      <c r="AB219" s="9">
        <v>-6.8510000000000006E-5</v>
      </c>
      <c r="AC219" s="10">
        <v>-2.0925E-7</v>
      </c>
      <c r="AD219" s="146">
        <v>58.237000000000002</v>
      </c>
      <c r="AE219" s="147">
        <v>0.38</v>
      </c>
      <c r="AF219" s="150">
        <v>50.603999999999999</v>
      </c>
      <c r="AG219" s="152">
        <v>1.2222</v>
      </c>
    </row>
    <row r="220" spans="1:33" x14ac:dyDescent="0.2">
      <c r="A220" s="27">
        <v>11</v>
      </c>
      <c r="B220" s="69">
        <v>13.7322652775</v>
      </c>
      <c r="C220" s="28">
        <f t="shared" si="16"/>
        <v>0.82404232895843554</v>
      </c>
      <c r="D220" s="31">
        <v>156.31200000000001</v>
      </c>
      <c r="E220" s="47">
        <v>637.53</v>
      </c>
      <c r="F220" s="44">
        <v>20.149999999999999</v>
      </c>
      <c r="G220" s="11">
        <v>6.2350000000000003E-4</v>
      </c>
      <c r="H220" s="61">
        <f t="shared" si="14"/>
        <v>250.90208667736761</v>
      </c>
      <c r="I220" s="29">
        <f t="shared" si="15"/>
        <v>0.23683858131496571</v>
      </c>
      <c r="J220" s="52">
        <v>0.33300000000000002</v>
      </c>
      <c r="K220" s="75">
        <v>-4.4002999999999997</v>
      </c>
      <c r="L220" s="81">
        <v>907.03</v>
      </c>
      <c r="M220" s="13">
        <v>6.8999999999999999E-3</v>
      </c>
      <c r="N220" s="12">
        <v>-6.8418999999999997E-6</v>
      </c>
      <c r="O220" s="93">
        <v>0.25069999999999998</v>
      </c>
      <c r="P220" s="94">
        <v>0.26379999999999998</v>
      </c>
      <c r="Q220" s="95">
        <v>0.28570000000000001</v>
      </c>
      <c r="R220" s="111">
        <v>23.628</v>
      </c>
      <c r="S220" s="118">
        <v>-3167.5</v>
      </c>
      <c r="T220" s="125">
        <v>-5.1631</v>
      </c>
      <c r="U220" s="14">
        <v>0</v>
      </c>
      <c r="V220" s="30">
        <v>0</v>
      </c>
      <c r="W220" s="138">
        <v>204.255</v>
      </c>
      <c r="X220" s="13">
        <v>0.73592000000000002</v>
      </c>
      <c r="Y220" s="14">
        <v>-1.9128999999999999E-3</v>
      </c>
      <c r="Z220" s="30">
        <v>2.5778999999999999E-6</v>
      </c>
      <c r="AA220" s="77">
        <v>0.1595</v>
      </c>
      <c r="AB220" s="5">
        <v>-6.7692000000000002E-5</v>
      </c>
      <c r="AC220" s="15">
        <v>-1.9976000000000001E-7</v>
      </c>
      <c r="AD220" s="146">
        <v>59.63</v>
      </c>
      <c r="AE220" s="147">
        <v>0.38</v>
      </c>
      <c r="AF220" s="150">
        <v>51.438000000000002</v>
      </c>
      <c r="AG220" s="152">
        <v>1.2222</v>
      </c>
    </row>
    <row r="221" spans="1:33" x14ac:dyDescent="0.2">
      <c r="A221" s="27">
        <v>11</v>
      </c>
      <c r="B221" s="69">
        <v>12.559491498750001</v>
      </c>
      <c r="C221" s="28">
        <f t="shared" si="16"/>
        <v>0.74677948662742777</v>
      </c>
      <c r="D221" s="31">
        <v>156.31200000000001</v>
      </c>
      <c r="E221" s="47">
        <v>651.73</v>
      </c>
      <c r="F221" s="44">
        <v>20.149999999999999</v>
      </c>
      <c r="G221" s="11">
        <v>6.2350000000000003E-4</v>
      </c>
      <c r="H221" s="61">
        <f t="shared" si="14"/>
        <v>250.90208667736761</v>
      </c>
      <c r="I221" s="29">
        <f t="shared" si="15"/>
        <v>0.23167830350870772</v>
      </c>
      <c r="J221" s="52">
        <v>0.33300000000000002</v>
      </c>
      <c r="K221" s="75">
        <v>-4.6100000000000003</v>
      </c>
      <c r="L221" s="81">
        <v>956.44</v>
      </c>
      <c r="M221" s="13">
        <v>7.1999999999999998E-3</v>
      </c>
      <c r="N221" s="12">
        <v>-6.8624999999999999E-6</v>
      </c>
      <c r="O221" s="93">
        <v>0.25069999999999998</v>
      </c>
      <c r="P221" s="94">
        <v>0.25690000000000002</v>
      </c>
      <c r="Q221" s="95">
        <v>0.28570000000000001</v>
      </c>
      <c r="R221" s="111">
        <v>23.216000000000001</v>
      </c>
      <c r="S221" s="118">
        <v>-3203.7</v>
      </c>
      <c r="T221" s="125">
        <v>-5.0179</v>
      </c>
      <c r="U221" s="14">
        <v>0</v>
      </c>
      <c r="V221" s="30">
        <v>0</v>
      </c>
      <c r="W221" s="138">
        <v>206.82</v>
      </c>
      <c r="X221" s="13">
        <v>0.71636999999999995</v>
      </c>
      <c r="Y221" s="14">
        <v>-1.8301000000000001E-3</v>
      </c>
      <c r="Z221" s="30">
        <v>2.4491E-6</v>
      </c>
      <c r="AA221" s="77">
        <v>0.15970000000000001</v>
      </c>
      <c r="AB221" s="5">
        <v>-6.6865000000000004E-5</v>
      </c>
      <c r="AC221" s="15">
        <v>-1.9093E-7</v>
      </c>
      <c r="AD221" s="146">
        <v>61.024000000000001</v>
      </c>
      <c r="AE221" s="147">
        <v>0.38</v>
      </c>
      <c r="AF221" s="150">
        <v>51.399000000000001</v>
      </c>
      <c r="AG221" s="152">
        <v>1.2222</v>
      </c>
    </row>
    <row r="222" spans="1:33" x14ac:dyDescent="0.2">
      <c r="A222" s="27">
        <v>11</v>
      </c>
      <c r="B222" s="69">
        <v>11.863605</v>
      </c>
      <c r="C222" s="28">
        <f t="shared" si="16"/>
        <v>0.70093418397195317</v>
      </c>
      <c r="D222" s="31">
        <v>156.31200000000001</v>
      </c>
      <c r="E222" s="47">
        <v>653.15</v>
      </c>
      <c r="F222" s="44">
        <v>20.149999999999999</v>
      </c>
      <c r="G222" s="11">
        <v>6.2350000000000003E-4</v>
      </c>
      <c r="H222" s="61">
        <f t="shared" si="14"/>
        <v>250.90208667736761</v>
      </c>
      <c r="I222" s="29">
        <f t="shared" si="15"/>
        <v>0.23117461646747312</v>
      </c>
      <c r="J222" s="52">
        <v>0.33300000000000002</v>
      </c>
      <c r="K222" s="75">
        <v>-4.6277999999999997</v>
      </c>
      <c r="L222" s="81">
        <v>960.93</v>
      </c>
      <c r="M222" s="13">
        <v>7.1999999999999998E-3</v>
      </c>
      <c r="N222" s="12">
        <v>-6.8597999999999999E-6</v>
      </c>
      <c r="O222" s="93">
        <v>0.25069999999999998</v>
      </c>
      <c r="P222" s="94">
        <v>0.25380000000000003</v>
      </c>
      <c r="Q222" s="95">
        <v>0.28570000000000001</v>
      </c>
      <c r="R222" s="111">
        <v>23.175999999999998</v>
      </c>
      <c r="S222" s="118">
        <v>-3207.3</v>
      </c>
      <c r="T222" s="125">
        <v>-5.0038</v>
      </c>
      <c r="U222" s="14">
        <v>0</v>
      </c>
      <c r="V222" s="30">
        <v>0</v>
      </c>
      <c r="W222" s="138">
        <v>206.09700000000001</v>
      </c>
      <c r="X222" s="13">
        <v>0.72152000000000005</v>
      </c>
      <c r="Y222" s="14">
        <v>-1.8426E-3</v>
      </c>
      <c r="Z222" s="30">
        <v>2.4632E-6</v>
      </c>
      <c r="AA222" s="77">
        <v>0.1598</v>
      </c>
      <c r="AB222" s="5">
        <v>-6.6781999999999999E-5</v>
      </c>
      <c r="AC222" s="15">
        <v>-1.9007999999999999E-7</v>
      </c>
      <c r="AD222" s="146">
        <v>61.164000000000001</v>
      </c>
      <c r="AE222" s="147">
        <v>0.38</v>
      </c>
      <c r="AF222" s="150">
        <v>51.438000000000002</v>
      </c>
      <c r="AG222" s="152">
        <v>1.2222</v>
      </c>
    </row>
    <row r="223" spans="1:33" x14ac:dyDescent="0.2">
      <c r="A223" s="27">
        <v>11</v>
      </c>
      <c r="B223" s="69">
        <v>1.2244233149999999</v>
      </c>
      <c r="C223" s="28">
        <f t="shared" si="16"/>
        <v>2.0306160630533175E-5</v>
      </c>
      <c r="D223" s="31">
        <v>156.31200000000001</v>
      </c>
      <c r="E223" s="48">
        <v>619.20000000000005</v>
      </c>
      <c r="F223" s="48">
        <v>19.48</v>
      </c>
      <c r="G223" s="35">
        <v>6.4550000000000002E-4</v>
      </c>
      <c r="H223" s="61">
        <f t="shared" si="14"/>
        <v>242.34418604651165</v>
      </c>
      <c r="I223" s="29">
        <f t="shared" si="15"/>
        <v>0.24406623366209601</v>
      </c>
      <c r="J223" s="55">
        <v>0.50700000000000001</v>
      </c>
      <c r="K223" s="76">
        <v>-5.2359999999999998</v>
      </c>
      <c r="L223" s="82">
        <v>918.82</v>
      </c>
      <c r="M223" s="85">
        <v>1.03E-2</v>
      </c>
      <c r="N223" s="4">
        <v>-1.0458999999999999E-5</v>
      </c>
      <c r="O223" s="99" t="str" cm="1">
        <f t="array" ref="O223">LEFT(INDEX($O$134:$O$291, MATCH(MIN(IF(ABS($B$134:$B$291-B223)&lt;&gt;0, ABS($B$134:$B$291-B223))), IF(ABS($B$134:$B$291-B223)&lt;&gt;0, ABS($B$134:$B$291-B223)), 0)),6)</f>
        <v>0.2422</v>
      </c>
      <c r="P223" s="106" cm="1">
        <f t="array" ref="P223">INDEX($P$134:$P$291, MATCH(MIN(IF(ABS($B$134:$B$291-B223)&lt;&gt;0, ABS($B$134:$B$291-B223))), IF(ABS($B$134:$B$291-B223)&lt;&gt;0, ABS($B$134:$B$291-B223)), 0))</f>
        <v>0.2586</v>
      </c>
      <c r="Q223" s="107" cm="1">
        <f t="array" ref="Q223">INDEX($Q$134:$Q$291, MATCH(MIN(IF(ABS($B$134:$B$291-B223)&lt;&gt;0, ABS($B$134:$B$291-B223))), IF(ABS($B$134:$B$291-B223)&lt;&gt;0, ABS($B$134:$B$291-B223)), 0))</f>
        <v>0.28570000000000001</v>
      </c>
      <c r="R223" s="114">
        <v>25.303000000000001</v>
      </c>
      <c r="S223" s="120">
        <v>-3447.2</v>
      </c>
      <c r="T223" s="127">
        <v>-5.5774999999999997</v>
      </c>
      <c r="U223" s="14">
        <v>0</v>
      </c>
      <c r="V223" s="14">
        <v>0</v>
      </c>
      <c r="W223" s="139">
        <v>198.721</v>
      </c>
      <c r="X223" s="7">
        <v>0.97658999999999996</v>
      </c>
      <c r="Y223" s="8">
        <v>-2.6863999999999998E-3</v>
      </c>
      <c r="Z223" s="33">
        <v>3.5219999999999999E-6</v>
      </c>
      <c r="AA223" s="141">
        <v>0.1661</v>
      </c>
      <c r="AB223" s="9">
        <v>-6.6107999999999998E-5</v>
      </c>
      <c r="AC223" s="10">
        <v>-2.3073999999999999E-7</v>
      </c>
      <c r="AD223" s="146">
        <v>65.998999999999995</v>
      </c>
      <c r="AE223" s="147">
        <v>0.38</v>
      </c>
      <c r="AF223" s="150">
        <v>52.787999999999997</v>
      </c>
      <c r="AG223" s="152">
        <v>1.2222</v>
      </c>
    </row>
    <row r="224" spans="1:33" x14ac:dyDescent="0.2">
      <c r="A224" s="27">
        <v>11</v>
      </c>
      <c r="B224" s="69">
        <v>7.1073087025000001</v>
      </c>
      <c r="C224" s="28">
        <f t="shared" si="16"/>
        <v>0.38758733262524064</v>
      </c>
      <c r="D224" s="31">
        <v>156.31200000000001</v>
      </c>
      <c r="E224" s="48">
        <v>622.21</v>
      </c>
      <c r="F224" s="48">
        <v>19.809999999999999</v>
      </c>
      <c r="G224" s="35">
        <v>6.3449999999999997E-4</v>
      </c>
      <c r="H224" s="61">
        <f t="shared" si="14"/>
        <v>246.54889589905366</v>
      </c>
      <c r="I224" s="29">
        <f t="shared" si="15"/>
        <v>0.2427877255035929</v>
      </c>
      <c r="J224" s="55">
        <v>0.41899999999999998</v>
      </c>
      <c r="K224" s="76">
        <v>-4.4344000000000001</v>
      </c>
      <c r="L224" s="82">
        <v>811.02</v>
      </c>
      <c r="M224" s="85">
        <v>8.2000000000000007E-3</v>
      </c>
      <c r="N224" s="4">
        <v>-8.6248000000000008E-6</v>
      </c>
      <c r="O224" s="96">
        <v>0.24640000000000001</v>
      </c>
      <c r="P224" s="97">
        <v>0.26019999999999999</v>
      </c>
      <c r="Q224" s="98">
        <v>0.28570000000000001</v>
      </c>
      <c r="R224" s="113" t="str" cm="1">
        <f t="array" ref="R224">LEFT(INDEX($R$134:$R$291, MATCH(MIN(IF(ABS($B$134:$B$291-B224)&lt;&gt;0, ABS($B$134:$B$291-B224))), IF(ABS($B$134:$B$291-B224)&lt;&gt;0, ABS($B$134:$B$291-B224)), 0)),7)</f>
        <v>25.102</v>
      </c>
      <c r="S224" s="119" cm="1">
        <f t="array" ref="S224">INDEX($S$134:$S$291, MATCH(MIN(IF(ABS($B$134:$B$291-B224)&lt;&gt;0, ABS($B$134:$B$291-B224))), IF(ABS($B$134:$B$291-B224)&lt;&gt;0, ABS($B$134:$B$291-B224)), 0))</f>
        <v>-3325.9</v>
      </c>
      <c r="T224" s="126" cm="1">
        <f t="array" ref="T224">INDEX($T$134:$T$291, MATCH(MIN(IF(ABS($B$134:$B$291-B224)&lt;&gt;0, ABS($B$134:$B$291-B224))), IF(ABS($B$134:$B$291-B224)&lt;&gt;0, ABS($B$134:$B$291-B224)), 0))</f>
        <v>-5.5648999999999997</v>
      </c>
      <c r="U224" s="37" cm="1">
        <f t="array" ref="U224">INDEX($U$134:$U$291, MATCH(MIN(IF(ABS($B$134:$B$291-B224)&lt;&gt;0, ABS($B$134:$B$291-B224))), IF(ABS($B$134:$B$291-B224)&lt;&gt;0, ABS($B$134:$B$291-B224)), 0))</f>
        <v>0</v>
      </c>
      <c r="V224" s="133" cm="1">
        <f t="array" ref="V224">INDEX($V$134:$V$291, MATCH(MIN(IF(ABS($B$134:$B$291-B224)&lt;&gt;0, ABS($B$134:$B$291-B224))), IF(ABS($B$134:$B$291-B224)&lt;&gt;0, ABS($B$134:$B$291-B224)), 0))</f>
        <v>0</v>
      </c>
      <c r="W224" s="139">
        <v>198.78800000000001</v>
      </c>
      <c r="X224" s="7">
        <v>0.87490999999999997</v>
      </c>
      <c r="Y224" s="8">
        <v>-2.3649999999999999E-3</v>
      </c>
      <c r="Z224" s="33">
        <v>3.1481E-6</v>
      </c>
      <c r="AA224" s="141">
        <v>0.16270000000000001</v>
      </c>
      <c r="AB224" s="9">
        <v>-6.7292000000000006E-5</v>
      </c>
      <c r="AC224" s="10">
        <v>-2.1920999999999999E-7</v>
      </c>
      <c r="AD224" s="146">
        <v>62.143999999999998</v>
      </c>
      <c r="AE224" s="147">
        <v>0.38</v>
      </c>
      <c r="AF224" s="150">
        <v>51.677</v>
      </c>
      <c r="AG224" s="152">
        <v>1.2222</v>
      </c>
    </row>
    <row r="225" spans="1:33" x14ac:dyDescent="0.2">
      <c r="A225" s="27">
        <v>11</v>
      </c>
      <c r="B225" s="69">
        <v>12.972688453749999</v>
      </c>
      <c r="C225" s="28">
        <f t="shared" si="16"/>
        <v>0.77400108022397318</v>
      </c>
      <c r="D225" s="31">
        <v>156.31200000000001</v>
      </c>
      <c r="E225" s="47">
        <v>643.21</v>
      </c>
      <c r="F225" s="44">
        <v>20.149999999999999</v>
      </c>
      <c r="G225" s="11">
        <v>6.2350000000000003E-4</v>
      </c>
      <c r="H225" s="61">
        <f t="shared" si="14"/>
        <v>250.90208667736761</v>
      </c>
      <c r="I225" s="29">
        <f t="shared" si="15"/>
        <v>0.2347471288470796</v>
      </c>
      <c r="J225" s="52">
        <v>0.33300000000000002</v>
      </c>
      <c r="K225" s="75">
        <v>-4.4917999999999996</v>
      </c>
      <c r="L225" s="81">
        <v>927.83</v>
      </c>
      <c r="M225" s="13">
        <v>7.0000000000000001E-3</v>
      </c>
      <c r="N225" s="12">
        <v>-6.8615999999999997E-6</v>
      </c>
      <c r="O225" s="93">
        <v>0.25069999999999998</v>
      </c>
      <c r="P225" s="94">
        <v>0.25890000000000002</v>
      </c>
      <c r="Q225" s="95">
        <v>0.28570000000000001</v>
      </c>
      <c r="R225" s="111">
        <v>23.46</v>
      </c>
      <c r="S225" s="118">
        <v>-3181.9</v>
      </c>
      <c r="T225" s="125">
        <v>-5.1040000000000001</v>
      </c>
      <c r="U225" s="14">
        <v>0</v>
      </c>
      <c r="V225" s="30">
        <v>0</v>
      </c>
      <c r="W225" s="138">
        <v>204.46299999999999</v>
      </c>
      <c r="X225" s="13">
        <v>0.73394999999999999</v>
      </c>
      <c r="Y225" s="14">
        <v>-1.8966E-3</v>
      </c>
      <c r="Z225" s="30">
        <v>2.548E-6</v>
      </c>
      <c r="AA225" s="77">
        <v>0.15959999999999999</v>
      </c>
      <c r="AB225" s="5">
        <v>-6.7361999999999996E-5</v>
      </c>
      <c r="AC225" s="15">
        <v>-1.9614999999999999E-7</v>
      </c>
      <c r="AD225" s="146">
        <v>60.186999999999998</v>
      </c>
      <c r="AE225" s="147">
        <v>0.38</v>
      </c>
      <c r="AF225" s="150">
        <v>51.162999999999997</v>
      </c>
      <c r="AG225" s="152">
        <v>1.2222</v>
      </c>
    </row>
    <row r="226" spans="1:33" x14ac:dyDescent="0.2">
      <c r="A226" s="27">
        <v>11</v>
      </c>
      <c r="B226" s="69">
        <v>11.865119999999999</v>
      </c>
      <c r="C226" s="28">
        <f t="shared" si="16"/>
        <v>0.70103399282533341</v>
      </c>
      <c r="D226" s="31">
        <v>156.31200000000001</v>
      </c>
      <c r="E226" s="47">
        <v>651.73</v>
      </c>
      <c r="F226" s="44">
        <v>20.149999999999999</v>
      </c>
      <c r="G226" s="11">
        <v>6.2350000000000003E-4</v>
      </c>
      <c r="H226" s="61">
        <f t="shared" si="14"/>
        <v>250.90208667736761</v>
      </c>
      <c r="I226" s="29">
        <f t="shared" si="15"/>
        <v>0.23167830350870772</v>
      </c>
      <c r="J226" s="52">
        <v>0.33300000000000002</v>
      </c>
      <c r="K226" s="75">
        <v>-4.6100000000000003</v>
      </c>
      <c r="L226" s="81">
        <v>956.44</v>
      </c>
      <c r="M226" s="13">
        <v>7.1999999999999998E-3</v>
      </c>
      <c r="N226" s="12">
        <v>-6.8624999999999999E-6</v>
      </c>
      <c r="O226" s="93">
        <v>0.25069999999999998</v>
      </c>
      <c r="P226" s="94">
        <v>0.25369999999999998</v>
      </c>
      <c r="Q226" s="95">
        <v>0.28570000000000001</v>
      </c>
      <c r="R226" s="111">
        <v>23.216000000000001</v>
      </c>
      <c r="S226" s="118">
        <v>-3203.7</v>
      </c>
      <c r="T226" s="125">
        <v>-5.0179</v>
      </c>
      <c r="U226" s="14">
        <v>0</v>
      </c>
      <c r="V226" s="30">
        <v>0</v>
      </c>
      <c r="W226" s="138">
        <v>205.559</v>
      </c>
      <c r="X226" s="13">
        <v>0.72548000000000001</v>
      </c>
      <c r="Y226" s="14">
        <v>-1.8567E-3</v>
      </c>
      <c r="Z226" s="30">
        <v>2.4833E-6</v>
      </c>
      <c r="AA226" s="77">
        <v>0.15970000000000001</v>
      </c>
      <c r="AB226" s="5">
        <v>-6.6865000000000004E-5</v>
      </c>
      <c r="AC226" s="15">
        <v>-1.9093E-7</v>
      </c>
      <c r="AD226" s="146">
        <v>61.024000000000001</v>
      </c>
      <c r="AE226" s="147">
        <v>0.38</v>
      </c>
      <c r="AF226" s="150">
        <v>51.399000000000001</v>
      </c>
      <c r="AG226" s="152">
        <v>1.2222</v>
      </c>
    </row>
    <row r="227" spans="1:33" x14ac:dyDescent="0.2">
      <c r="A227" s="27">
        <v>11</v>
      </c>
      <c r="B227" s="69">
        <v>12.717608242500001</v>
      </c>
      <c r="C227" s="28">
        <f t="shared" si="16"/>
        <v>0.75719628589733445</v>
      </c>
      <c r="D227" s="31">
        <v>156.31200000000001</v>
      </c>
      <c r="E227" s="47">
        <v>614.86</v>
      </c>
      <c r="F227" s="44">
        <v>20</v>
      </c>
      <c r="G227" s="11">
        <v>6.2949999999999996E-4</v>
      </c>
      <c r="H227" s="61">
        <f t="shared" si="14"/>
        <v>248.50874403815584</v>
      </c>
      <c r="I227" s="29">
        <f t="shared" si="15"/>
        <v>0.24609023455184983</v>
      </c>
      <c r="J227" s="52">
        <v>0.36099999999999999</v>
      </c>
      <c r="K227" s="75">
        <v>-4.1547999999999998</v>
      </c>
      <c r="L227" s="81">
        <v>842.13</v>
      </c>
      <c r="M227" s="13">
        <v>6.7000000000000002E-3</v>
      </c>
      <c r="N227" s="12">
        <v>-7.1084000000000004E-6</v>
      </c>
      <c r="O227" s="93">
        <v>0.24829999999999999</v>
      </c>
      <c r="P227" s="94">
        <v>0.2732</v>
      </c>
      <c r="Q227" s="95">
        <v>0.28570000000000001</v>
      </c>
      <c r="R227" s="111">
        <v>24.504999999999999</v>
      </c>
      <c r="S227" s="118">
        <v>-3162.5</v>
      </c>
      <c r="T227" s="125">
        <v>-5.4452999999999996</v>
      </c>
      <c r="U227" s="14">
        <v>0</v>
      </c>
      <c r="V227" s="30">
        <v>0</v>
      </c>
      <c r="W227" s="138">
        <v>193.12200000000001</v>
      </c>
      <c r="X227" s="13">
        <v>0.85375999999999996</v>
      </c>
      <c r="Y227" s="14">
        <v>-2.2847000000000002E-3</v>
      </c>
      <c r="Z227" s="30">
        <v>3.0245E-6</v>
      </c>
      <c r="AA227" s="77">
        <v>0.15890000000000001</v>
      </c>
      <c r="AB227" s="5">
        <v>-6.3175000000000004E-5</v>
      </c>
      <c r="AC227" s="15">
        <v>-2.2389E-7</v>
      </c>
      <c r="AD227" s="146">
        <v>58.694000000000003</v>
      </c>
      <c r="AE227" s="147">
        <v>0.38</v>
      </c>
      <c r="AF227" s="150">
        <v>50.680999999999997</v>
      </c>
      <c r="AG227" s="152">
        <v>1.2222</v>
      </c>
    </row>
    <row r="228" spans="1:33" x14ac:dyDescent="0.2">
      <c r="A228" s="27">
        <v>11</v>
      </c>
      <c r="B228" s="69">
        <v>9.2973387600000006</v>
      </c>
      <c r="C228" s="28">
        <f t="shared" si="16"/>
        <v>0.53186745731658625</v>
      </c>
      <c r="D228" s="31">
        <v>156.31200000000001</v>
      </c>
      <c r="E228" s="47">
        <v>629.04</v>
      </c>
      <c r="F228" s="44">
        <v>19.95</v>
      </c>
      <c r="G228" s="11">
        <v>6.2850000000000004E-4</v>
      </c>
      <c r="H228" s="61">
        <f t="shared" si="14"/>
        <v>248.90445859872614</v>
      </c>
      <c r="I228" s="29">
        <f t="shared" si="15"/>
        <v>0.23955997601577975</v>
      </c>
      <c r="J228" s="52">
        <v>0.39100000000000001</v>
      </c>
      <c r="K228" s="75">
        <v>-4.8116000000000003</v>
      </c>
      <c r="L228" s="81">
        <v>954.09</v>
      </c>
      <c r="M228" s="13">
        <v>8.0999999999999996E-3</v>
      </c>
      <c r="N228" s="12">
        <v>-7.9796999999999992E-6</v>
      </c>
      <c r="O228" s="93">
        <v>0.2487</v>
      </c>
      <c r="P228" s="94">
        <v>0.26200000000000001</v>
      </c>
      <c r="Q228" s="95">
        <v>0.28570000000000001</v>
      </c>
      <c r="R228" s="111">
        <v>24.248000000000001</v>
      </c>
      <c r="S228" s="118">
        <v>-3255.6</v>
      </c>
      <c r="T228" s="125">
        <v>-5.3231000000000002</v>
      </c>
      <c r="U228" s="14">
        <v>0</v>
      </c>
      <c r="V228" s="30">
        <v>0</v>
      </c>
      <c r="W228" s="138">
        <v>208.21600000000001</v>
      </c>
      <c r="X228" s="13">
        <v>0.77098</v>
      </c>
      <c r="Y228" s="14">
        <v>-2.0644999999999999E-3</v>
      </c>
      <c r="Z228" s="30">
        <v>2.8196999999999999E-6</v>
      </c>
      <c r="AA228" s="77">
        <v>0.16289999999999999</v>
      </c>
      <c r="AB228" s="5">
        <v>-7.2254000000000003E-5</v>
      </c>
      <c r="AC228" s="15">
        <v>-2.0645E-7</v>
      </c>
      <c r="AD228" s="146">
        <v>61.502000000000002</v>
      </c>
      <c r="AE228" s="147">
        <v>0.38</v>
      </c>
      <c r="AF228" s="150">
        <v>51.529000000000003</v>
      </c>
      <c r="AG228" s="152">
        <v>1.2222</v>
      </c>
    </row>
    <row r="229" spans="1:33" x14ac:dyDescent="0.2">
      <c r="A229" s="27">
        <v>11</v>
      </c>
      <c r="B229" s="69">
        <v>8.8034982799999995</v>
      </c>
      <c r="C229" s="28">
        <f t="shared" si="16"/>
        <v>0.49933303351357677</v>
      </c>
      <c r="D229" s="31">
        <v>156.31200000000001</v>
      </c>
      <c r="E229" s="47">
        <v>637.45000000000005</v>
      </c>
      <c r="F229" s="44">
        <v>19.95</v>
      </c>
      <c r="G229" s="11">
        <v>6.2850000000000004E-4</v>
      </c>
      <c r="H229" s="61">
        <f t="shared" si="14"/>
        <v>248.90445859872614</v>
      </c>
      <c r="I229" s="29">
        <f t="shared" si="15"/>
        <v>0.23639941534703282</v>
      </c>
      <c r="J229" s="52">
        <v>0.39100000000000001</v>
      </c>
      <c r="K229" s="75">
        <v>-4.9462000000000002</v>
      </c>
      <c r="L229" s="81">
        <v>985.35</v>
      </c>
      <c r="M229" s="13">
        <v>8.2000000000000007E-3</v>
      </c>
      <c r="N229" s="12">
        <v>-7.9805999999999995E-6</v>
      </c>
      <c r="O229" s="93">
        <v>0.2487</v>
      </c>
      <c r="P229" s="94">
        <v>0.25729999999999997</v>
      </c>
      <c r="Q229" s="95">
        <v>0.28570000000000001</v>
      </c>
      <c r="R229" s="111">
        <v>23.991</v>
      </c>
      <c r="S229" s="118">
        <v>-3278</v>
      </c>
      <c r="T229" s="125">
        <v>-5.2323000000000004</v>
      </c>
      <c r="U229" s="14">
        <v>0</v>
      </c>
      <c r="V229" s="30">
        <v>0</v>
      </c>
      <c r="W229" s="138">
        <v>209.62200000000001</v>
      </c>
      <c r="X229" s="13">
        <v>0.76041999999999998</v>
      </c>
      <c r="Y229" s="14">
        <v>-2.016E-3</v>
      </c>
      <c r="Z229" s="30">
        <v>2.7412000000000001E-6</v>
      </c>
      <c r="AA229" s="77">
        <v>0.16300000000000001</v>
      </c>
      <c r="AB229" s="5">
        <v>-7.1633999999999999E-5</v>
      </c>
      <c r="AC229" s="15">
        <v>-2.0097999999999999E-7</v>
      </c>
      <c r="AD229" s="146">
        <v>62.363999999999997</v>
      </c>
      <c r="AE229" s="147">
        <v>0.38</v>
      </c>
      <c r="AF229" s="150">
        <v>51.768999999999998</v>
      </c>
      <c r="AG229" s="152">
        <v>1.2222</v>
      </c>
    </row>
    <row r="230" spans="1:33" x14ac:dyDescent="0.2">
      <c r="A230" s="27">
        <v>11</v>
      </c>
      <c r="B230" s="69">
        <v>9.3911438562500003</v>
      </c>
      <c r="C230" s="28">
        <f t="shared" ref="C230:C261" si="17">(B230-MIN($B$134:$B$291))/(MAX($B$134:$B$291)-MIN($B$134:$B$291))</f>
        <v>0.53804737751324483</v>
      </c>
      <c r="D230" s="31">
        <v>156.31200000000001</v>
      </c>
      <c r="E230" s="47">
        <v>629.04</v>
      </c>
      <c r="F230" s="44">
        <v>19.95</v>
      </c>
      <c r="G230" s="11">
        <v>6.2850000000000004E-4</v>
      </c>
      <c r="H230" s="61">
        <f t="shared" si="14"/>
        <v>248.90445859872614</v>
      </c>
      <c r="I230" s="29">
        <f t="shared" si="15"/>
        <v>0.23955997601577975</v>
      </c>
      <c r="J230" s="52">
        <v>0.39100000000000001</v>
      </c>
      <c r="K230" s="75">
        <v>-4.8116000000000003</v>
      </c>
      <c r="L230" s="81">
        <v>954.09</v>
      </c>
      <c r="M230" s="13">
        <v>8.0999999999999996E-3</v>
      </c>
      <c r="N230" s="12">
        <v>-7.9796999999999992E-6</v>
      </c>
      <c r="O230" s="93">
        <v>0.2487</v>
      </c>
      <c r="P230" s="94">
        <v>0.26200000000000001</v>
      </c>
      <c r="Q230" s="95">
        <v>0.28570000000000001</v>
      </c>
      <c r="R230" s="111">
        <v>24.248000000000001</v>
      </c>
      <c r="S230" s="118">
        <v>-3255.6</v>
      </c>
      <c r="T230" s="125">
        <v>-5.3231000000000002</v>
      </c>
      <c r="U230" s="14">
        <v>0</v>
      </c>
      <c r="V230" s="30">
        <v>0</v>
      </c>
      <c r="W230" s="138">
        <v>208.21600000000001</v>
      </c>
      <c r="X230" s="13">
        <v>0.77098</v>
      </c>
      <c r="Y230" s="14">
        <v>-2.0644999999999999E-3</v>
      </c>
      <c r="Z230" s="30">
        <v>2.8196999999999999E-6</v>
      </c>
      <c r="AA230" s="77">
        <v>0.16289999999999999</v>
      </c>
      <c r="AB230" s="5">
        <v>-7.2254000000000003E-5</v>
      </c>
      <c r="AC230" s="15">
        <v>-2.0645E-7</v>
      </c>
      <c r="AD230" s="146">
        <v>61.502000000000002</v>
      </c>
      <c r="AE230" s="147">
        <v>0.38</v>
      </c>
      <c r="AF230" s="150">
        <v>51.529000000000003</v>
      </c>
      <c r="AG230" s="152">
        <v>1.2222</v>
      </c>
    </row>
    <row r="231" spans="1:33" x14ac:dyDescent="0.2">
      <c r="A231" s="27">
        <v>11</v>
      </c>
      <c r="B231" s="69">
        <v>10.55881193125</v>
      </c>
      <c r="C231" s="28">
        <f t="shared" si="17"/>
        <v>0.61497385387924475</v>
      </c>
      <c r="D231" s="31">
        <v>156.31200000000001</v>
      </c>
      <c r="E231" s="47">
        <v>619.24</v>
      </c>
      <c r="F231" s="44">
        <v>19.95</v>
      </c>
      <c r="G231" s="11">
        <v>6.2850000000000004E-4</v>
      </c>
      <c r="H231" s="61">
        <f t="shared" si="14"/>
        <v>248.90445859872614</v>
      </c>
      <c r="I231" s="29">
        <f t="shared" si="15"/>
        <v>0.24335121651212144</v>
      </c>
      <c r="J231" s="52">
        <v>0.39100000000000001</v>
      </c>
      <c r="K231" s="75">
        <v>-4.6167999999999996</v>
      </c>
      <c r="L231" s="81">
        <v>912.5</v>
      </c>
      <c r="M231" s="13">
        <v>7.7000000000000002E-3</v>
      </c>
      <c r="N231" s="12">
        <v>-7.9194999999999993E-6</v>
      </c>
      <c r="O231" s="93">
        <v>0.2487</v>
      </c>
      <c r="P231" s="94">
        <v>0.26900000000000002</v>
      </c>
      <c r="Q231" s="95">
        <v>0.28570000000000001</v>
      </c>
      <c r="R231" s="111">
        <v>24.559000000000001</v>
      </c>
      <c r="S231" s="118">
        <v>-3229.7</v>
      </c>
      <c r="T231" s="125">
        <v>-5.4329999999999998</v>
      </c>
      <c r="U231" s="14">
        <v>0</v>
      </c>
      <c r="V231" s="30">
        <v>0</v>
      </c>
      <c r="W231" s="138">
        <v>207.09</v>
      </c>
      <c r="X231" s="13">
        <v>0.77978999999999998</v>
      </c>
      <c r="Y231" s="14">
        <v>-2.1113999999999998E-3</v>
      </c>
      <c r="Z231" s="30">
        <v>2.8994999999999999E-6</v>
      </c>
      <c r="AA231" s="77">
        <v>0.16270000000000001</v>
      </c>
      <c r="AB231" s="5">
        <v>-7.2978999999999994E-5</v>
      </c>
      <c r="AC231" s="15">
        <v>-2.1313999999999999E-7</v>
      </c>
      <c r="AD231" s="146">
        <v>60.497</v>
      </c>
      <c r="AE231" s="147">
        <v>0.38</v>
      </c>
      <c r="AF231" s="150">
        <v>51.247</v>
      </c>
      <c r="AG231" s="152">
        <v>1.2222</v>
      </c>
    </row>
    <row r="232" spans="1:33" x14ac:dyDescent="0.2">
      <c r="A232" s="27">
        <v>11</v>
      </c>
      <c r="B232" s="69">
        <v>8.9968086374999992</v>
      </c>
      <c r="C232" s="28">
        <f t="shared" si="17"/>
        <v>0.51206840323542757</v>
      </c>
      <c r="D232" s="31">
        <v>156.31200000000001</v>
      </c>
      <c r="E232" s="47">
        <v>631.84</v>
      </c>
      <c r="F232" s="44">
        <v>19.95</v>
      </c>
      <c r="G232" s="11">
        <v>6.2850000000000004E-4</v>
      </c>
      <c r="H232" s="61">
        <f t="shared" si="14"/>
        <v>248.90445859872614</v>
      </c>
      <c r="I232" s="29">
        <f t="shared" si="15"/>
        <v>0.23849836558775336</v>
      </c>
      <c r="J232" s="52">
        <v>0.39100000000000001</v>
      </c>
      <c r="K232" s="75">
        <v>-4.8593999999999999</v>
      </c>
      <c r="L232" s="81">
        <v>964.92</v>
      </c>
      <c r="M232" s="13">
        <v>8.0999999999999996E-3</v>
      </c>
      <c r="N232" s="12">
        <v>-7.9845999999999998E-6</v>
      </c>
      <c r="O232" s="93">
        <v>0.2487</v>
      </c>
      <c r="P232" s="94">
        <v>0.2596</v>
      </c>
      <c r="Q232" s="95">
        <v>0.28570000000000001</v>
      </c>
      <c r="R232" s="111">
        <v>24.161000000000001</v>
      </c>
      <c r="S232" s="118">
        <v>-3263</v>
      </c>
      <c r="T232" s="125">
        <v>-5.2923999999999998</v>
      </c>
      <c r="U232" s="14">
        <v>0</v>
      </c>
      <c r="V232" s="30">
        <v>0</v>
      </c>
      <c r="W232" s="138">
        <v>208.34700000000001</v>
      </c>
      <c r="X232" s="13">
        <v>0.76993999999999996</v>
      </c>
      <c r="Y232" s="14">
        <v>-2.0557000000000001E-3</v>
      </c>
      <c r="Z232" s="30">
        <v>2.8032000000000001E-6</v>
      </c>
      <c r="AA232" s="77">
        <v>0.16289999999999999</v>
      </c>
      <c r="AB232" s="5">
        <v>-7.2046999999999996E-5</v>
      </c>
      <c r="AC232" s="15">
        <v>-2.0459999999999999E-7</v>
      </c>
      <c r="AD232" s="146">
        <v>61.789000000000001</v>
      </c>
      <c r="AE232" s="147">
        <v>0.38</v>
      </c>
      <c r="AF232" s="150">
        <v>51.61</v>
      </c>
      <c r="AG232" s="152">
        <v>1.2222</v>
      </c>
    </row>
    <row r="233" spans="1:33" x14ac:dyDescent="0.2">
      <c r="A233" s="27">
        <v>11</v>
      </c>
      <c r="B233" s="69">
        <v>11.631772968750001</v>
      </c>
      <c r="C233" s="28">
        <f t="shared" si="17"/>
        <v>0.6856609897700523</v>
      </c>
      <c r="D233" s="31">
        <v>156.31200000000001</v>
      </c>
      <c r="E233" s="47">
        <v>619.08000000000004</v>
      </c>
      <c r="F233" s="44">
        <v>20</v>
      </c>
      <c r="G233" s="11">
        <v>6.2949999999999996E-4</v>
      </c>
      <c r="H233" s="61">
        <f t="shared" si="14"/>
        <v>248.50874403815584</v>
      </c>
      <c r="I233" s="29">
        <f t="shared" si="15"/>
        <v>0.24441274409858238</v>
      </c>
      <c r="J233" s="52">
        <v>0.36099999999999999</v>
      </c>
      <c r="K233" s="75">
        <v>-4.2630999999999997</v>
      </c>
      <c r="L233" s="81">
        <v>863.13</v>
      </c>
      <c r="M233" s="13">
        <v>6.7999999999999996E-3</v>
      </c>
      <c r="N233" s="12">
        <v>-7.1829000000000003E-6</v>
      </c>
      <c r="O233" s="93">
        <v>0.24829999999999999</v>
      </c>
      <c r="P233" s="94">
        <v>0.26829999999999998</v>
      </c>
      <c r="Q233" s="95">
        <v>0.28570000000000001</v>
      </c>
      <c r="R233" s="111">
        <v>24.367999999999999</v>
      </c>
      <c r="S233" s="118">
        <v>-3173.2</v>
      </c>
      <c r="T233" s="125">
        <v>-5.3966000000000003</v>
      </c>
      <c r="U233" s="14">
        <v>0</v>
      </c>
      <c r="V233" s="30">
        <v>0</v>
      </c>
      <c r="W233" s="138">
        <v>192.90199999999999</v>
      </c>
      <c r="X233" s="13">
        <v>0.85463</v>
      </c>
      <c r="Y233" s="14">
        <v>-2.2778E-3</v>
      </c>
      <c r="Z233" s="30">
        <v>3.0081E-6</v>
      </c>
      <c r="AA233" s="77">
        <v>0.159</v>
      </c>
      <c r="AB233" s="5">
        <v>-6.3028999999999996E-5</v>
      </c>
      <c r="AC233" s="15">
        <v>-2.2067999999999999E-7</v>
      </c>
      <c r="AD233" s="146">
        <v>59.118000000000002</v>
      </c>
      <c r="AE233" s="147">
        <v>0.38</v>
      </c>
      <c r="AF233" s="150">
        <v>50.802999999999997</v>
      </c>
      <c r="AG233" s="152">
        <v>1.2222</v>
      </c>
    </row>
    <row r="234" spans="1:33" x14ac:dyDescent="0.2">
      <c r="A234" s="27">
        <v>11</v>
      </c>
      <c r="B234" s="69">
        <v>9.2944355850000004</v>
      </c>
      <c r="C234" s="28">
        <f t="shared" si="17"/>
        <v>0.53167619489552198</v>
      </c>
      <c r="D234" s="31">
        <v>156.31200000000001</v>
      </c>
      <c r="E234" s="47">
        <v>629.04</v>
      </c>
      <c r="F234" s="44">
        <v>19.95</v>
      </c>
      <c r="G234" s="11">
        <v>6.2850000000000004E-4</v>
      </c>
      <c r="H234" s="61">
        <f t="shared" si="14"/>
        <v>248.90445859872614</v>
      </c>
      <c r="I234" s="29">
        <f t="shared" si="15"/>
        <v>0.23955997601577975</v>
      </c>
      <c r="J234" s="52">
        <v>0.39100000000000001</v>
      </c>
      <c r="K234" s="75">
        <v>-4.8116000000000003</v>
      </c>
      <c r="L234" s="81">
        <v>954.09</v>
      </c>
      <c r="M234" s="13">
        <v>8.0999999999999996E-3</v>
      </c>
      <c r="N234" s="12">
        <v>-7.9796999999999992E-6</v>
      </c>
      <c r="O234" s="93">
        <v>0.2487</v>
      </c>
      <c r="P234" s="94">
        <v>0.26200000000000001</v>
      </c>
      <c r="Q234" s="95">
        <v>0.28570000000000001</v>
      </c>
      <c r="R234" s="111">
        <v>24.248000000000001</v>
      </c>
      <c r="S234" s="118">
        <v>-3255.6</v>
      </c>
      <c r="T234" s="125">
        <v>-5.3231000000000002</v>
      </c>
      <c r="U234" s="14">
        <v>0</v>
      </c>
      <c r="V234" s="30">
        <v>0</v>
      </c>
      <c r="W234" s="138">
        <v>208.21600000000001</v>
      </c>
      <c r="X234" s="13">
        <v>0.77098</v>
      </c>
      <c r="Y234" s="14">
        <v>-2.0644999999999999E-3</v>
      </c>
      <c r="Z234" s="30">
        <v>2.8196999999999999E-6</v>
      </c>
      <c r="AA234" s="77">
        <v>0.16289999999999999</v>
      </c>
      <c r="AB234" s="5">
        <v>-7.2254000000000003E-5</v>
      </c>
      <c r="AC234" s="15">
        <v>-2.0645E-7</v>
      </c>
      <c r="AD234" s="146">
        <v>61.502000000000002</v>
      </c>
      <c r="AE234" s="147">
        <v>0.38</v>
      </c>
      <c r="AF234" s="150">
        <v>51.529000000000003</v>
      </c>
      <c r="AG234" s="152">
        <v>1.2222</v>
      </c>
    </row>
    <row r="235" spans="1:33" x14ac:dyDescent="0.2">
      <c r="A235" s="27">
        <v>11</v>
      </c>
      <c r="B235" s="69">
        <v>10.8684695</v>
      </c>
      <c r="C235" s="28">
        <f t="shared" si="17"/>
        <v>0.63537422805578447</v>
      </c>
      <c r="D235" s="31">
        <v>156.31200000000001</v>
      </c>
      <c r="E235" s="47">
        <v>609.72</v>
      </c>
      <c r="F235" s="44">
        <v>19.95</v>
      </c>
      <c r="G235" s="11">
        <v>6.2850000000000004E-4</v>
      </c>
      <c r="H235" s="61">
        <f t="shared" si="14"/>
        <v>248.90445859872614</v>
      </c>
      <c r="I235" s="29">
        <f t="shared" si="15"/>
        <v>0.24715083532271548</v>
      </c>
      <c r="J235" s="52">
        <v>0.39100000000000001</v>
      </c>
      <c r="K235" s="75">
        <v>-4.3787000000000003</v>
      </c>
      <c r="L235" s="81">
        <v>865.59</v>
      </c>
      <c r="M235" s="13">
        <v>7.3000000000000001E-3</v>
      </c>
      <c r="N235" s="12">
        <v>-7.7798999999999998E-6</v>
      </c>
      <c r="O235" s="93">
        <v>0.2487</v>
      </c>
      <c r="P235" s="94">
        <v>0.27139999999999997</v>
      </c>
      <c r="Q235" s="95">
        <v>0.28570000000000001</v>
      </c>
      <c r="R235" s="111">
        <v>24.873000000000001</v>
      </c>
      <c r="S235" s="118">
        <v>-3204.8</v>
      </c>
      <c r="T235" s="125">
        <v>-5.5442999999999998</v>
      </c>
      <c r="U235" s="14">
        <v>0</v>
      </c>
      <c r="V235" s="30">
        <v>0</v>
      </c>
      <c r="W235" s="138">
        <v>204.07900000000001</v>
      </c>
      <c r="X235" s="13">
        <v>0.80310000000000004</v>
      </c>
      <c r="Y235" s="14">
        <v>-2.2036E-3</v>
      </c>
      <c r="Z235" s="30">
        <v>3.0400999999999999E-6</v>
      </c>
      <c r="AA235" s="77">
        <v>0.16259999999999999</v>
      </c>
      <c r="AB235" s="5">
        <v>-7.3685999999999999E-5</v>
      </c>
      <c r="AC235" s="15">
        <v>-2.1995999999999999E-7</v>
      </c>
      <c r="AD235" s="146">
        <v>59.521000000000001</v>
      </c>
      <c r="AE235" s="147">
        <v>0.38</v>
      </c>
      <c r="AF235" s="150">
        <v>51.247</v>
      </c>
      <c r="AG235" s="152">
        <v>1.2222</v>
      </c>
    </row>
    <row r="236" spans="1:33" x14ac:dyDescent="0.2">
      <c r="A236" s="27">
        <v>11</v>
      </c>
      <c r="B236" s="69">
        <v>9.9806621475000004</v>
      </c>
      <c r="C236" s="28">
        <f t="shared" si="17"/>
        <v>0.57688509678476618</v>
      </c>
      <c r="D236" s="31">
        <v>156.31200000000001</v>
      </c>
      <c r="E236" s="47">
        <v>627.64</v>
      </c>
      <c r="F236" s="44">
        <v>19.95</v>
      </c>
      <c r="G236" s="11">
        <v>6.2850000000000004E-4</v>
      </c>
      <c r="H236" s="61">
        <f t="shared" si="14"/>
        <v>248.90445859872614</v>
      </c>
      <c r="I236" s="29">
        <f t="shared" si="15"/>
        <v>0.24009433323715201</v>
      </c>
      <c r="J236" s="52">
        <v>0.39100000000000001</v>
      </c>
      <c r="K236" s="75">
        <v>-4.7864000000000004</v>
      </c>
      <c r="L236" s="81">
        <v>948.51</v>
      </c>
      <c r="M236" s="13">
        <v>8.0000000000000002E-3</v>
      </c>
      <c r="N236" s="12">
        <v>-7.9753999999999999E-6</v>
      </c>
      <c r="O236" s="93">
        <v>0.2487</v>
      </c>
      <c r="P236" s="94">
        <v>0.26440000000000002</v>
      </c>
      <c r="Q236" s="95">
        <v>0.28570000000000001</v>
      </c>
      <c r="R236" s="111">
        <v>24.292000000000002</v>
      </c>
      <c r="S236" s="118">
        <v>-3251.9</v>
      </c>
      <c r="T236" s="125">
        <v>-5.3384999999999998</v>
      </c>
      <c r="U236" s="14">
        <v>0</v>
      </c>
      <c r="V236" s="30">
        <v>0</v>
      </c>
      <c r="W236" s="138">
        <v>208.65700000000001</v>
      </c>
      <c r="X236" s="13">
        <v>0.76773999999999998</v>
      </c>
      <c r="Y236" s="14">
        <v>-2.0574E-3</v>
      </c>
      <c r="Z236" s="30">
        <v>2.8129000000000002E-6</v>
      </c>
      <c r="AA236" s="77">
        <v>0.16289999999999999</v>
      </c>
      <c r="AB236" s="5">
        <v>-7.2356999999999999E-5</v>
      </c>
      <c r="AC236" s="15">
        <v>-2.0739000000000001E-7</v>
      </c>
      <c r="AD236" s="146">
        <v>61.357999999999997</v>
      </c>
      <c r="AE236" s="147">
        <v>0.38</v>
      </c>
      <c r="AF236" s="150">
        <v>51.488999999999997</v>
      </c>
      <c r="AG236" s="152">
        <v>1.2222</v>
      </c>
    </row>
    <row r="237" spans="1:33" x14ac:dyDescent="0.2">
      <c r="A237" s="27">
        <v>11</v>
      </c>
      <c r="B237" s="69">
        <v>9.7575849925</v>
      </c>
      <c r="C237" s="28">
        <f t="shared" si="17"/>
        <v>0.56218867760596658</v>
      </c>
      <c r="D237" s="31">
        <v>156.31200000000001</v>
      </c>
      <c r="E237" s="47">
        <v>644.46</v>
      </c>
      <c r="F237" s="44">
        <v>20</v>
      </c>
      <c r="G237" s="11">
        <v>6.2949999999999996E-4</v>
      </c>
      <c r="H237" s="61">
        <f t="shared" si="14"/>
        <v>248.50874403815584</v>
      </c>
      <c r="I237" s="29">
        <f t="shared" si="15"/>
        <v>0.23478732833154947</v>
      </c>
      <c r="J237" s="52">
        <v>0.36099999999999999</v>
      </c>
      <c r="K237" s="75">
        <v>-4.7348999999999997</v>
      </c>
      <c r="L237" s="81">
        <v>965.35</v>
      </c>
      <c r="M237" s="13">
        <v>7.6E-3</v>
      </c>
      <c r="N237" s="12">
        <v>-7.3373E-6</v>
      </c>
      <c r="O237" s="93">
        <v>0.24829999999999999</v>
      </c>
      <c r="P237" s="94">
        <v>0.25469999999999998</v>
      </c>
      <c r="Q237" s="95">
        <v>0.28570000000000001</v>
      </c>
      <c r="R237" s="111">
        <v>23.591000000000001</v>
      </c>
      <c r="S237" s="118">
        <v>-3238.9</v>
      </c>
      <c r="T237" s="125">
        <v>-5.1219999999999999</v>
      </c>
      <c r="U237" s="14">
        <v>0</v>
      </c>
      <c r="V237" s="30">
        <v>0</v>
      </c>
      <c r="W237" s="138">
        <v>198.03299999999999</v>
      </c>
      <c r="X237" s="13">
        <v>0.8135</v>
      </c>
      <c r="Y237" s="14">
        <v>-2.1039000000000001E-3</v>
      </c>
      <c r="Z237" s="30">
        <v>2.7435999999999999E-6</v>
      </c>
      <c r="AA237" s="77">
        <v>0.15959999999999999</v>
      </c>
      <c r="AB237" s="5">
        <v>-6.2079E-5</v>
      </c>
      <c r="AC237" s="15">
        <v>-2.0289000000000001E-7</v>
      </c>
      <c r="AD237" s="146">
        <v>61.662999999999997</v>
      </c>
      <c r="AE237" s="147">
        <v>0.38</v>
      </c>
      <c r="AF237" s="150">
        <v>51.521999999999998</v>
      </c>
      <c r="AG237" s="152">
        <v>1.2222</v>
      </c>
    </row>
    <row r="238" spans="1:33" x14ac:dyDescent="0.2">
      <c r="A238" s="27">
        <v>11</v>
      </c>
      <c r="B238" s="69">
        <v>10.852579862500001</v>
      </c>
      <c r="C238" s="28">
        <f t="shared" si="17"/>
        <v>0.63432741188449537</v>
      </c>
      <c r="D238" s="31">
        <v>156.31200000000001</v>
      </c>
      <c r="E238" s="47">
        <v>638.82000000000005</v>
      </c>
      <c r="F238" s="44">
        <v>20</v>
      </c>
      <c r="G238" s="11">
        <v>6.2949999999999996E-4</v>
      </c>
      <c r="H238" s="61">
        <f t="shared" si="14"/>
        <v>248.50874403815584</v>
      </c>
      <c r="I238" s="29">
        <f t="shared" si="15"/>
        <v>0.23686021354458281</v>
      </c>
      <c r="J238" s="52">
        <v>0.36099999999999999</v>
      </c>
      <c r="K238" s="75">
        <v>-4.6517999999999997</v>
      </c>
      <c r="L238" s="81">
        <v>945.57</v>
      </c>
      <c r="M238" s="13">
        <v>7.4999999999999997E-3</v>
      </c>
      <c r="N238" s="12">
        <v>-7.3370999999999996E-6</v>
      </c>
      <c r="O238" s="93">
        <v>0.24829999999999999</v>
      </c>
      <c r="P238" s="94">
        <v>0.26040000000000002</v>
      </c>
      <c r="Q238" s="95">
        <v>0.28570000000000001</v>
      </c>
      <c r="R238" s="111">
        <v>23.757000000000001</v>
      </c>
      <c r="S238" s="118">
        <v>-3224.2</v>
      </c>
      <c r="T238" s="125">
        <v>-5.1806000000000001</v>
      </c>
      <c r="U238" s="14">
        <v>0</v>
      </c>
      <c r="V238" s="30">
        <v>0</v>
      </c>
      <c r="W238" s="138">
        <v>198.17599999999999</v>
      </c>
      <c r="X238" s="13">
        <v>0.81298999999999999</v>
      </c>
      <c r="Y238" s="14">
        <v>-2.1134999999999999E-3</v>
      </c>
      <c r="Z238" s="30">
        <v>2.7651E-6</v>
      </c>
      <c r="AA238" s="77">
        <v>0.1595</v>
      </c>
      <c r="AB238" s="5">
        <v>-6.2299999999999996E-5</v>
      </c>
      <c r="AC238" s="15">
        <v>-2.0664999999999999E-7</v>
      </c>
      <c r="AD238" s="146">
        <v>61.097000000000001</v>
      </c>
      <c r="AE238" s="147">
        <v>0.38</v>
      </c>
      <c r="AF238" s="150">
        <v>51.363999999999997</v>
      </c>
      <c r="AG238" s="152">
        <v>1.2222</v>
      </c>
    </row>
    <row r="239" spans="1:33" x14ac:dyDescent="0.2">
      <c r="A239" s="27">
        <v>11</v>
      </c>
      <c r="B239" s="69">
        <v>8.1262312075000001</v>
      </c>
      <c r="C239" s="28">
        <f t="shared" si="17"/>
        <v>0.45471438668952863</v>
      </c>
      <c r="D239" s="31">
        <v>156.31200000000001</v>
      </c>
      <c r="E239" s="47">
        <v>641.65</v>
      </c>
      <c r="F239" s="44">
        <v>19.95</v>
      </c>
      <c r="G239" s="11">
        <v>6.2850000000000004E-4</v>
      </c>
      <c r="H239" s="61">
        <f t="shared" si="14"/>
        <v>248.90445859872614</v>
      </c>
      <c r="I239" s="29">
        <f t="shared" si="15"/>
        <v>0.23485203352757125</v>
      </c>
      <c r="J239" s="52">
        <v>0.39100000000000001</v>
      </c>
      <c r="K239" s="75">
        <v>-5.0041000000000002</v>
      </c>
      <c r="L239" s="81">
        <v>999.7</v>
      </c>
      <c r="M239" s="13">
        <v>8.3000000000000001E-3</v>
      </c>
      <c r="N239" s="12">
        <v>-7.9671000000000003E-6</v>
      </c>
      <c r="O239" s="93">
        <v>0.2487</v>
      </c>
      <c r="P239" s="94">
        <v>0.25509999999999999</v>
      </c>
      <c r="Q239" s="95">
        <v>0.28570000000000001</v>
      </c>
      <c r="R239" s="111">
        <v>23.864999999999998</v>
      </c>
      <c r="S239" s="118">
        <v>-3289.2</v>
      </c>
      <c r="T239" s="125">
        <v>-5.1879999999999997</v>
      </c>
      <c r="U239" s="14">
        <v>0</v>
      </c>
      <c r="V239" s="30">
        <v>0</v>
      </c>
      <c r="W239" s="138">
        <v>210.33699999999999</v>
      </c>
      <c r="X239" s="13">
        <v>0.75514000000000003</v>
      </c>
      <c r="Y239" s="14">
        <v>-1.9922E-3</v>
      </c>
      <c r="Z239" s="30">
        <v>2.7027E-6</v>
      </c>
      <c r="AA239" s="77">
        <v>0.16309999999999999</v>
      </c>
      <c r="AB239" s="5">
        <v>-7.1326000000000001E-5</v>
      </c>
      <c r="AC239" s="15">
        <v>-1.9833E-7</v>
      </c>
      <c r="AD239" s="146">
        <v>62.795000000000002</v>
      </c>
      <c r="AE239" s="147">
        <v>0.38</v>
      </c>
      <c r="AF239" s="150">
        <v>51.889000000000003</v>
      </c>
      <c r="AG239" s="152">
        <v>1.2222</v>
      </c>
    </row>
    <row r="240" spans="1:33" x14ac:dyDescent="0.2">
      <c r="A240" s="27">
        <v>11</v>
      </c>
      <c r="B240" s="69">
        <v>10.383650955</v>
      </c>
      <c r="C240" s="28">
        <f t="shared" si="17"/>
        <v>0.60343417322150206</v>
      </c>
      <c r="D240" s="31">
        <v>156.31200000000001</v>
      </c>
      <c r="E240" s="47">
        <v>620.64</v>
      </c>
      <c r="F240" s="44">
        <v>19.95</v>
      </c>
      <c r="G240" s="11">
        <v>6.2850000000000004E-4</v>
      </c>
      <c r="H240" s="61">
        <f t="shared" si="14"/>
        <v>248.90445859872614</v>
      </c>
      <c r="I240" s="29">
        <f t="shared" si="15"/>
        <v>0.24280228040887808</v>
      </c>
      <c r="J240" s="52">
        <v>0.39100000000000001</v>
      </c>
      <c r="K240" s="75">
        <v>-4.6474000000000002</v>
      </c>
      <c r="L240" s="81">
        <v>918.83</v>
      </c>
      <c r="M240" s="13">
        <v>7.7999999999999996E-3</v>
      </c>
      <c r="N240" s="12">
        <v>-7.9326999999999995E-6</v>
      </c>
      <c r="O240" s="93">
        <v>0.2487</v>
      </c>
      <c r="P240" s="94">
        <v>0.26619999999999999</v>
      </c>
      <c r="Q240" s="95">
        <v>0.28570000000000001</v>
      </c>
      <c r="R240" s="111">
        <v>24.513999999999999</v>
      </c>
      <c r="S240" s="118">
        <v>-3233.4</v>
      </c>
      <c r="T240" s="125">
        <v>-5.4169999999999998</v>
      </c>
      <c r="U240" s="14">
        <v>0</v>
      </c>
      <c r="V240" s="30">
        <v>0</v>
      </c>
      <c r="W240" s="138">
        <v>206.53399999999999</v>
      </c>
      <c r="X240" s="13">
        <v>0.78386999999999996</v>
      </c>
      <c r="Y240" s="14">
        <v>-2.1210000000000001E-3</v>
      </c>
      <c r="Z240" s="30">
        <v>2.9096000000000001E-6</v>
      </c>
      <c r="AA240" s="77">
        <v>0.16270000000000001</v>
      </c>
      <c r="AB240" s="5">
        <v>-7.2874999999999996E-5</v>
      </c>
      <c r="AC240" s="15">
        <v>-2.1215999999999999E-7</v>
      </c>
      <c r="AD240" s="146">
        <v>60.64</v>
      </c>
      <c r="AE240" s="147">
        <v>0.38</v>
      </c>
      <c r="AF240" s="150">
        <v>51.287999999999997</v>
      </c>
      <c r="AG240" s="152">
        <v>1.2222</v>
      </c>
    </row>
    <row r="241" spans="1:33" x14ac:dyDescent="0.2">
      <c r="A241" s="27">
        <v>11</v>
      </c>
      <c r="B241" s="69">
        <v>10.53925388875</v>
      </c>
      <c r="C241" s="28">
        <f t="shared" si="17"/>
        <v>0.61368536160446752</v>
      </c>
      <c r="D241" s="31">
        <v>156.31200000000001</v>
      </c>
      <c r="E241" s="47">
        <v>638.82000000000005</v>
      </c>
      <c r="F241" s="44">
        <v>20</v>
      </c>
      <c r="G241" s="11">
        <v>6.2949999999999996E-4</v>
      </c>
      <c r="H241" s="61">
        <f t="shared" si="14"/>
        <v>248.50874403815584</v>
      </c>
      <c r="I241" s="29">
        <f t="shared" si="15"/>
        <v>0.23686021354458281</v>
      </c>
      <c r="J241" s="52">
        <v>0.36099999999999999</v>
      </c>
      <c r="K241" s="75">
        <v>-4.6517999999999997</v>
      </c>
      <c r="L241" s="81">
        <v>945.57</v>
      </c>
      <c r="M241" s="13">
        <v>7.4999999999999997E-3</v>
      </c>
      <c r="N241" s="12">
        <v>-7.3370999999999996E-6</v>
      </c>
      <c r="O241" s="93">
        <v>0.24829999999999999</v>
      </c>
      <c r="P241" s="94">
        <v>0.2601</v>
      </c>
      <c r="Q241" s="95">
        <v>0.28570000000000001</v>
      </c>
      <c r="R241" s="111">
        <v>23.757000000000001</v>
      </c>
      <c r="S241" s="118">
        <v>-3224.2</v>
      </c>
      <c r="T241" s="125">
        <v>-5.1806000000000001</v>
      </c>
      <c r="U241" s="14">
        <v>0</v>
      </c>
      <c r="V241" s="30">
        <v>0</v>
      </c>
      <c r="W241" s="138">
        <v>198.047</v>
      </c>
      <c r="X241" s="13">
        <v>0.81391999999999998</v>
      </c>
      <c r="Y241" s="14">
        <v>-2.1161999999999999E-3</v>
      </c>
      <c r="Z241" s="30">
        <v>2.7684999999999998E-6</v>
      </c>
      <c r="AA241" s="77">
        <v>0.1595</v>
      </c>
      <c r="AB241" s="5">
        <v>-6.2299999999999996E-5</v>
      </c>
      <c r="AC241" s="15">
        <v>-2.0664999999999999E-7</v>
      </c>
      <c r="AD241" s="146">
        <v>61.097000000000001</v>
      </c>
      <c r="AE241" s="147">
        <v>0.38</v>
      </c>
      <c r="AF241" s="150">
        <v>51.363999999999997</v>
      </c>
      <c r="AG241" s="152">
        <v>1.2222</v>
      </c>
    </row>
    <row r="242" spans="1:33" x14ac:dyDescent="0.2">
      <c r="A242" s="27">
        <v>11</v>
      </c>
      <c r="B242" s="69">
        <v>8.3090479500000001</v>
      </c>
      <c r="C242" s="28">
        <f t="shared" si="17"/>
        <v>0.46675843252955501</v>
      </c>
      <c r="D242" s="31">
        <v>156.31200000000001</v>
      </c>
      <c r="E242" s="47">
        <v>636.04</v>
      </c>
      <c r="F242" s="44">
        <v>19.95</v>
      </c>
      <c r="G242" s="11">
        <v>6.2850000000000004E-4</v>
      </c>
      <c r="H242" s="61">
        <f t="shared" si="14"/>
        <v>248.90445859872614</v>
      </c>
      <c r="I242" s="29">
        <f t="shared" si="15"/>
        <v>0.23692347543073719</v>
      </c>
      <c r="J242" s="52">
        <v>0.39100000000000001</v>
      </c>
      <c r="K242" s="75">
        <v>-4.9255000000000004</v>
      </c>
      <c r="L242" s="81">
        <v>980.39</v>
      </c>
      <c r="M242" s="13">
        <v>8.2000000000000007E-3</v>
      </c>
      <c r="N242" s="12">
        <v>-7.9832000000000001E-6</v>
      </c>
      <c r="O242" s="93">
        <v>0.2487</v>
      </c>
      <c r="P242" s="94">
        <v>0.25729999999999997</v>
      </c>
      <c r="Q242" s="95">
        <v>0.28570000000000001</v>
      </c>
      <c r="R242" s="111">
        <v>24.033000000000001</v>
      </c>
      <c r="S242" s="118">
        <v>-3274.2</v>
      </c>
      <c r="T242" s="125">
        <v>-5.2472000000000003</v>
      </c>
      <c r="U242" s="14">
        <v>0</v>
      </c>
      <c r="V242" s="30">
        <v>0</v>
      </c>
      <c r="W242" s="138">
        <v>209.04</v>
      </c>
      <c r="X242" s="13">
        <v>0.76473999999999998</v>
      </c>
      <c r="Y242" s="14">
        <v>-2.0317999999999998E-3</v>
      </c>
      <c r="Z242" s="30">
        <v>2.7642999999999999E-6</v>
      </c>
      <c r="AA242" s="77">
        <v>0.16300000000000001</v>
      </c>
      <c r="AB242" s="5">
        <v>-7.1736999999999994E-5</v>
      </c>
      <c r="AC242" s="15">
        <v>-2.0188000000000001E-7</v>
      </c>
      <c r="AD242" s="146">
        <v>62.22</v>
      </c>
      <c r="AE242" s="147">
        <v>0.38</v>
      </c>
      <c r="AF242" s="150">
        <v>51.73</v>
      </c>
      <c r="AG242" s="152">
        <v>1.2222</v>
      </c>
    </row>
    <row r="243" spans="1:33" x14ac:dyDescent="0.2">
      <c r="A243" s="27">
        <v>11</v>
      </c>
      <c r="B243" s="69">
        <v>9.2838375299999996</v>
      </c>
      <c r="C243" s="28">
        <f t="shared" si="17"/>
        <v>0.53097799046145533</v>
      </c>
      <c r="D243" s="31">
        <v>156.31200000000001</v>
      </c>
      <c r="E243" s="47">
        <v>626.24</v>
      </c>
      <c r="F243" s="44">
        <v>19.95</v>
      </c>
      <c r="G243" s="11">
        <v>6.2850000000000004E-4</v>
      </c>
      <c r="H243" s="61">
        <f t="shared" si="14"/>
        <v>248.90445859872614</v>
      </c>
      <c r="I243" s="29">
        <f t="shared" si="15"/>
        <v>0.24063107963874247</v>
      </c>
      <c r="J243" s="52">
        <v>0.39100000000000001</v>
      </c>
      <c r="K243" s="75">
        <v>-4.7605000000000004</v>
      </c>
      <c r="L243" s="81">
        <v>942.82</v>
      </c>
      <c r="M243" s="13">
        <v>8.0000000000000002E-3</v>
      </c>
      <c r="N243" s="12">
        <v>-7.9697999999999995E-6</v>
      </c>
      <c r="O243" s="93">
        <v>0.2487</v>
      </c>
      <c r="P243" s="94">
        <v>0.26169999999999999</v>
      </c>
      <c r="Q243" s="95">
        <v>0.28570000000000001</v>
      </c>
      <c r="R243" s="111">
        <v>24.335999999999999</v>
      </c>
      <c r="S243" s="118">
        <v>-3248.2</v>
      </c>
      <c r="T243" s="125">
        <v>-5.3540000000000001</v>
      </c>
      <c r="U243" s="14">
        <v>0</v>
      </c>
      <c r="V243" s="30">
        <v>0</v>
      </c>
      <c r="W243" s="138">
        <v>206.964</v>
      </c>
      <c r="X243" s="13">
        <v>0.78041000000000005</v>
      </c>
      <c r="Y243" s="14">
        <v>-2.0988000000000001E-3</v>
      </c>
      <c r="Z243" s="30">
        <v>2.8700000000000001E-6</v>
      </c>
      <c r="AA243" s="77">
        <v>0.1628</v>
      </c>
      <c r="AB243" s="5">
        <v>-7.2459999999999994E-5</v>
      </c>
      <c r="AC243" s="15">
        <v>-2.0832999999999999E-7</v>
      </c>
      <c r="AD243" s="146">
        <v>61.213999999999999</v>
      </c>
      <c r="AE243" s="147">
        <v>0.38</v>
      </c>
      <c r="AF243" s="150">
        <v>51.448999999999998</v>
      </c>
      <c r="AG243" s="152">
        <v>1.2222</v>
      </c>
    </row>
    <row r="244" spans="1:33" x14ac:dyDescent="0.2">
      <c r="A244" s="27">
        <v>11</v>
      </c>
      <c r="B244" s="69">
        <v>9.7081911049999992</v>
      </c>
      <c r="C244" s="28">
        <f t="shared" si="17"/>
        <v>0.55893458699516207</v>
      </c>
      <c r="D244" s="31">
        <v>156.31200000000001</v>
      </c>
      <c r="E244" s="47">
        <v>626.24</v>
      </c>
      <c r="F244" s="44">
        <v>19.95</v>
      </c>
      <c r="G244" s="11">
        <v>6.2850000000000004E-4</v>
      </c>
      <c r="H244" s="61">
        <f t="shared" si="14"/>
        <v>248.90445859872614</v>
      </c>
      <c r="I244" s="29">
        <f t="shared" si="15"/>
        <v>0.24063107963874247</v>
      </c>
      <c r="J244" s="52">
        <v>0.39100000000000001</v>
      </c>
      <c r="K244" s="75">
        <v>-4.7605000000000004</v>
      </c>
      <c r="L244" s="81">
        <v>942.82</v>
      </c>
      <c r="M244" s="13">
        <v>8.0000000000000002E-3</v>
      </c>
      <c r="N244" s="12">
        <v>-7.9697999999999995E-6</v>
      </c>
      <c r="O244" s="93">
        <v>0.2487</v>
      </c>
      <c r="P244" s="94">
        <v>0.26440000000000002</v>
      </c>
      <c r="Q244" s="95">
        <v>0.28570000000000001</v>
      </c>
      <c r="R244" s="111">
        <v>24.335999999999999</v>
      </c>
      <c r="S244" s="118">
        <v>-3248.2</v>
      </c>
      <c r="T244" s="125">
        <v>-5.3540000000000001</v>
      </c>
      <c r="U244" s="14">
        <v>0</v>
      </c>
      <c r="V244" s="30">
        <v>0</v>
      </c>
      <c r="W244" s="138">
        <v>208.06</v>
      </c>
      <c r="X244" s="13">
        <v>0.77222999999999997</v>
      </c>
      <c r="Y244" s="14">
        <v>-2.0739E-3</v>
      </c>
      <c r="Z244" s="30">
        <v>2.8372000000000001E-6</v>
      </c>
      <c r="AA244" s="77">
        <v>0.1628</v>
      </c>
      <c r="AB244" s="5">
        <v>-7.2459999999999994E-5</v>
      </c>
      <c r="AC244" s="15">
        <v>-2.0832999999999999E-7</v>
      </c>
      <c r="AD244" s="146">
        <v>61.213999999999999</v>
      </c>
      <c r="AE244" s="147">
        <v>0.38</v>
      </c>
      <c r="AF244" s="150">
        <v>51.448999999999998</v>
      </c>
      <c r="AG244" s="152">
        <v>1.2222</v>
      </c>
    </row>
    <row r="245" spans="1:33" x14ac:dyDescent="0.2">
      <c r="A245" s="27">
        <v>11</v>
      </c>
      <c r="B245" s="69">
        <v>7.4241114062499998</v>
      </c>
      <c r="C245" s="28">
        <f t="shared" si="17"/>
        <v>0.40845843137709209</v>
      </c>
      <c r="D245" s="31">
        <v>156.31200000000001</v>
      </c>
      <c r="E245" s="47">
        <v>629.22</v>
      </c>
      <c r="F245" s="44">
        <v>19.89</v>
      </c>
      <c r="G245" s="11">
        <v>6.2750000000000002E-4</v>
      </c>
      <c r="H245" s="61">
        <f t="shared" si="14"/>
        <v>249.30143540669857</v>
      </c>
      <c r="I245" s="29">
        <f t="shared" si="15"/>
        <v>0.23839096156692755</v>
      </c>
      <c r="J245" s="52">
        <v>0.42099999999999999</v>
      </c>
      <c r="K245" s="75">
        <v>-5.1439000000000004</v>
      </c>
      <c r="L245" s="81">
        <v>1001</v>
      </c>
      <c r="M245" s="13">
        <v>8.8999999999999999E-3</v>
      </c>
      <c r="N245" s="12">
        <v>-8.6598999999999999E-6</v>
      </c>
      <c r="O245" s="93">
        <v>0.24909999999999999</v>
      </c>
      <c r="P245" s="94">
        <v>0.25990000000000002</v>
      </c>
      <c r="Q245" s="95">
        <v>0.28570000000000001</v>
      </c>
      <c r="R245" s="111">
        <v>24.44</v>
      </c>
      <c r="S245" s="118">
        <v>-3313.4</v>
      </c>
      <c r="T245" s="125">
        <v>-5.3596000000000004</v>
      </c>
      <c r="U245" s="14">
        <v>0</v>
      </c>
      <c r="V245" s="30">
        <v>0</v>
      </c>
      <c r="W245" s="138">
        <v>220.56100000000001</v>
      </c>
      <c r="X245" s="13">
        <v>0.71189999999999998</v>
      </c>
      <c r="Y245" s="14">
        <v>-1.9451E-3</v>
      </c>
      <c r="Z245" s="30">
        <v>2.7645E-6</v>
      </c>
      <c r="AA245" s="77">
        <v>0.16639999999999999</v>
      </c>
      <c r="AB245" s="5">
        <v>-8.1106000000000006E-5</v>
      </c>
      <c r="AC245" s="15">
        <v>-2.0013999999999999E-7</v>
      </c>
      <c r="AD245" s="146">
        <v>62.929000000000002</v>
      </c>
      <c r="AE245" s="147">
        <v>0.38</v>
      </c>
      <c r="AF245" s="150">
        <v>51.988</v>
      </c>
      <c r="AG245" s="152">
        <v>1.2222</v>
      </c>
    </row>
    <row r="246" spans="1:33" x14ac:dyDescent="0.2">
      <c r="A246" s="27">
        <v>11</v>
      </c>
      <c r="B246" s="69">
        <v>10.4589212125</v>
      </c>
      <c r="C246" s="28">
        <f t="shared" si="17"/>
        <v>0.60839301024771475</v>
      </c>
      <c r="D246" s="31">
        <v>156.31200000000001</v>
      </c>
      <c r="E246" s="47">
        <v>612.24</v>
      </c>
      <c r="F246" s="44">
        <v>19.95</v>
      </c>
      <c r="G246" s="11">
        <v>6.2850000000000004E-4</v>
      </c>
      <c r="H246" s="61">
        <f t="shared" si="14"/>
        <v>248.90445859872614</v>
      </c>
      <c r="I246" s="29">
        <f t="shared" si="15"/>
        <v>0.24613355434627937</v>
      </c>
      <c r="J246" s="52">
        <v>0.39100000000000001</v>
      </c>
      <c r="K246" s="75">
        <v>-4.4470999999999998</v>
      </c>
      <c r="L246" s="81">
        <v>878.72</v>
      </c>
      <c r="M246" s="13">
        <v>7.4000000000000003E-3</v>
      </c>
      <c r="N246" s="12">
        <v>-7.8259999999999993E-6</v>
      </c>
      <c r="O246" s="93">
        <v>0.2487</v>
      </c>
      <c r="P246" s="94">
        <v>0.26829999999999998</v>
      </c>
      <c r="Q246" s="95">
        <v>0.28570000000000001</v>
      </c>
      <c r="R246" s="111">
        <v>24.789000000000001</v>
      </c>
      <c r="S246" s="118">
        <v>-3211.4</v>
      </c>
      <c r="T246" s="125">
        <v>-5.5144000000000002</v>
      </c>
      <c r="U246" s="14">
        <v>0</v>
      </c>
      <c r="V246" s="30">
        <v>0</v>
      </c>
      <c r="W246" s="138">
        <v>203.852</v>
      </c>
      <c r="X246" s="13">
        <v>0.80459000000000003</v>
      </c>
      <c r="Y246" s="14">
        <v>-2.2025999999999999E-3</v>
      </c>
      <c r="Z246" s="30">
        <v>3.0338999999999999E-6</v>
      </c>
      <c r="AA246" s="77">
        <v>0.16259999999999999</v>
      </c>
      <c r="AB246" s="5">
        <v>-7.3498999999999995E-5</v>
      </c>
      <c r="AC246" s="15">
        <v>-2.1812E-7</v>
      </c>
      <c r="AD246" s="146">
        <v>59.779000000000003</v>
      </c>
      <c r="AE246" s="147">
        <v>0.38</v>
      </c>
      <c r="AF246" s="150">
        <v>51.042999999999999</v>
      </c>
      <c r="AG246" s="152">
        <v>1.2222</v>
      </c>
    </row>
    <row r="247" spans="1:33" x14ac:dyDescent="0.2">
      <c r="A247" s="27">
        <v>11</v>
      </c>
      <c r="B247" s="69">
        <v>8.4172633999999995</v>
      </c>
      <c r="C247" s="28">
        <f t="shared" si="17"/>
        <v>0.47388771304607591</v>
      </c>
      <c r="D247" s="31">
        <v>156.31200000000001</v>
      </c>
      <c r="E247" s="47">
        <v>623.65</v>
      </c>
      <c r="F247" s="44">
        <v>19.89</v>
      </c>
      <c r="G247" s="11">
        <v>6.2750000000000002E-4</v>
      </c>
      <c r="H247" s="61">
        <f t="shared" si="14"/>
        <v>249.30143540669857</v>
      </c>
      <c r="I247" s="29">
        <f t="shared" si="15"/>
        <v>0.24052010075706273</v>
      </c>
      <c r="J247" s="52">
        <v>0.42099999999999999</v>
      </c>
      <c r="K247" s="75">
        <v>-5.0499000000000001</v>
      </c>
      <c r="L247" s="81">
        <v>979.37</v>
      </c>
      <c r="M247" s="13">
        <v>8.8000000000000005E-3</v>
      </c>
      <c r="N247" s="12">
        <v>-8.6628999999999997E-6</v>
      </c>
      <c r="O247" s="93">
        <v>0.24909999999999999</v>
      </c>
      <c r="P247" s="94">
        <v>0.26469999999999999</v>
      </c>
      <c r="Q247" s="95">
        <v>0.28570000000000001</v>
      </c>
      <c r="R247" s="111">
        <v>24.616</v>
      </c>
      <c r="S247" s="118">
        <v>-3298.3</v>
      </c>
      <c r="T247" s="125">
        <v>-5.4217000000000004</v>
      </c>
      <c r="U247" s="14">
        <v>0</v>
      </c>
      <c r="V247" s="30">
        <v>0</v>
      </c>
      <c r="W247" s="138">
        <v>220.322</v>
      </c>
      <c r="X247" s="13">
        <v>0.71328999999999998</v>
      </c>
      <c r="Y247" s="14">
        <v>-1.9602999999999999E-3</v>
      </c>
      <c r="Z247" s="30">
        <v>2.7956E-6</v>
      </c>
      <c r="AA247" s="77">
        <v>0.1663</v>
      </c>
      <c r="AB247" s="5">
        <v>-8.1697000000000001E-5</v>
      </c>
      <c r="AC247" s="15">
        <v>-2.0367E-7</v>
      </c>
      <c r="AD247" s="146">
        <v>62.344999999999999</v>
      </c>
      <c r="AE247" s="147">
        <v>0.38</v>
      </c>
      <c r="AF247" s="150">
        <v>51.826999999999998</v>
      </c>
      <c r="AG247" s="152">
        <v>1.2222</v>
      </c>
    </row>
    <row r="248" spans="1:33" x14ac:dyDescent="0.2">
      <c r="A248" s="27">
        <v>11</v>
      </c>
      <c r="B248" s="69">
        <v>9.4705313199999992</v>
      </c>
      <c r="C248" s="28">
        <f t="shared" si="17"/>
        <v>0.54327745786285186</v>
      </c>
      <c r="D248" s="31">
        <v>156.31200000000001</v>
      </c>
      <c r="E248" s="47">
        <v>623.44000000000005</v>
      </c>
      <c r="F248" s="44">
        <v>19.95</v>
      </c>
      <c r="G248" s="11">
        <v>6.2850000000000004E-4</v>
      </c>
      <c r="H248" s="61">
        <f t="shared" si="14"/>
        <v>248.90445859872614</v>
      </c>
      <c r="I248" s="29">
        <f t="shared" si="15"/>
        <v>0.24171180436443937</v>
      </c>
      <c r="J248" s="52">
        <v>0.39100000000000001</v>
      </c>
      <c r="K248" s="75">
        <v>-4.7058</v>
      </c>
      <c r="L248" s="81">
        <v>931.07</v>
      </c>
      <c r="M248" s="13">
        <v>7.9000000000000008E-3</v>
      </c>
      <c r="N248" s="12">
        <v>-7.9542999999999994E-6</v>
      </c>
      <c r="O248" s="93">
        <v>0.2487</v>
      </c>
      <c r="P248" s="94">
        <v>0.2641</v>
      </c>
      <c r="Q248" s="95">
        <v>0.28570000000000001</v>
      </c>
      <c r="R248" s="111">
        <v>24.423999999999999</v>
      </c>
      <c r="S248" s="118">
        <v>-3240.8</v>
      </c>
      <c r="T248" s="125">
        <v>-5.3853999999999997</v>
      </c>
      <c r="U248" s="14">
        <v>0</v>
      </c>
      <c r="V248" s="30">
        <v>0</v>
      </c>
      <c r="W248" s="138">
        <v>206.798</v>
      </c>
      <c r="X248" s="13">
        <v>0.78176000000000001</v>
      </c>
      <c r="Y248" s="14">
        <v>-2.1086999999999998E-3</v>
      </c>
      <c r="Z248" s="30">
        <v>2.8882000000000001E-6</v>
      </c>
      <c r="AA248" s="77">
        <v>0.1628</v>
      </c>
      <c r="AB248" s="5">
        <v>-7.2668000000000003E-5</v>
      </c>
      <c r="AC248" s="15">
        <v>-2.1023E-7</v>
      </c>
      <c r="AD248" s="146">
        <v>60.927</v>
      </c>
      <c r="AE248" s="147">
        <v>0.38</v>
      </c>
      <c r="AF248" s="150">
        <v>51.368000000000002</v>
      </c>
      <c r="AG248" s="152">
        <v>1.2222</v>
      </c>
    </row>
    <row r="249" spans="1:33" x14ac:dyDescent="0.2">
      <c r="A249" s="27">
        <v>11</v>
      </c>
      <c r="B249" s="69">
        <v>11.6340128125</v>
      </c>
      <c r="C249" s="28">
        <f t="shared" si="17"/>
        <v>0.68580855164228882</v>
      </c>
      <c r="D249" s="31">
        <v>156.31200000000001</v>
      </c>
      <c r="E249" s="47">
        <v>624.72</v>
      </c>
      <c r="F249" s="44">
        <v>20</v>
      </c>
      <c r="G249" s="11">
        <v>6.2949999999999996E-4</v>
      </c>
      <c r="H249" s="61">
        <f t="shared" si="14"/>
        <v>248.50874403815584</v>
      </c>
      <c r="I249" s="29">
        <f t="shared" si="15"/>
        <v>0.24220617495285948</v>
      </c>
      <c r="J249" s="52">
        <v>0.36099999999999999</v>
      </c>
      <c r="K249" s="75">
        <v>-4.3921999999999999</v>
      </c>
      <c r="L249" s="81">
        <v>889.1</v>
      </c>
      <c r="M249" s="13">
        <v>7.1000000000000004E-3</v>
      </c>
      <c r="N249" s="12">
        <v>-7.2563000000000003E-6</v>
      </c>
      <c r="O249" s="93">
        <v>0.24829999999999999</v>
      </c>
      <c r="P249" s="94">
        <v>0.26390000000000002</v>
      </c>
      <c r="Q249" s="95">
        <v>0.28570000000000001</v>
      </c>
      <c r="R249" s="111">
        <v>24.187999999999999</v>
      </c>
      <c r="S249" s="118">
        <v>-3187.7</v>
      </c>
      <c r="T249" s="125">
        <v>-5.3331</v>
      </c>
      <c r="U249" s="14">
        <v>0</v>
      </c>
      <c r="V249" s="30">
        <v>0</v>
      </c>
      <c r="W249" s="138">
        <v>193.476</v>
      </c>
      <c r="X249" s="13">
        <v>0.84945000000000004</v>
      </c>
      <c r="Y249" s="14">
        <v>-2.2501000000000001E-3</v>
      </c>
      <c r="Z249" s="30">
        <v>2.9625999999999998E-6</v>
      </c>
      <c r="AA249" s="77">
        <v>0.15920000000000001</v>
      </c>
      <c r="AB249" s="5">
        <v>-6.2828000000000002E-5</v>
      </c>
      <c r="AC249" s="15">
        <v>-2.1652000000000001E-7</v>
      </c>
      <c r="AD249" s="146">
        <v>59.683</v>
      </c>
      <c r="AE249" s="147">
        <v>0.38</v>
      </c>
      <c r="AF249" s="150">
        <v>50.965000000000003</v>
      </c>
      <c r="AG249" s="152">
        <v>1.2222</v>
      </c>
    </row>
    <row r="250" spans="1:33" x14ac:dyDescent="0.2">
      <c r="A250" s="27">
        <v>11</v>
      </c>
      <c r="B250" s="69">
        <v>8.4081250387500006</v>
      </c>
      <c r="C250" s="28">
        <f t="shared" si="17"/>
        <v>0.47328567386578746</v>
      </c>
      <c r="D250" s="31">
        <v>156.31200000000001</v>
      </c>
      <c r="E250" s="47">
        <v>622.26</v>
      </c>
      <c r="F250" s="44">
        <v>19.89</v>
      </c>
      <c r="G250" s="11">
        <v>6.2750000000000002E-4</v>
      </c>
      <c r="H250" s="61">
        <f t="shared" si="14"/>
        <v>249.30143540669857</v>
      </c>
      <c r="I250" s="29">
        <f t="shared" si="15"/>
        <v>0.2410573728620547</v>
      </c>
      <c r="J250" s="52">
        <v>0.42099999999999999</v>
      </c>
      <c r="K250" s="75">
        <v>-5.0242000000000004</v>
      </c>
      <c r="L250" s="81">
        <v>973.68</v>
      </c>
      <c r="M250" s="13">
        <v>8.6999999999999994E-3</v>
      </c>
      <c r="N250" s="12">
        <v>-8.6603000000000008E-6</v>
      </c>
      <c r="O250" s="93">
        <v>0.24909999999999999</v>
      </c>
      <c r="P250" s="94">
        <v>0.2646</v>
      </c>
      <c r="Q250" s="95">
        <v>0.28570000000000001</v>
      </c>
      <c r="R250" s="111">
        <v>24.66</v>
      </c>
      <c r="S250" s="118">
        <v>-3294.5</v>
      </c>
      <c r="T250" s="125">
        <v>-5.4375</v>
      </c>
      <c r="U250" s="14">
        <v>0</v>
      </c>
      <c r="V250" s="30">
        <v>0</v>
      </c>
      <c r="W250" s="138">
        <v>219.78399999999999</v>
      </c>
      <c r="X250" s="13">
        <v>0.71726999999999996</v>
      </c>
      <c r="Y250" s="14">
        <v>-1.9756000000000001E-3</v>
      </c>
      <c r="Z250" s="30">
        <v>2.8192999999999998E-6</v>
      </c>
      <c r="AA250" s="77">
        <v>0.1663</v>
      </c>
      <c r="AB250" s="5">
        <v>-8.1846000000000002E-5</v>
      </c>
      <c r="AC250" s="15">
        <v>-2.0457000000000001E-7</v>
      </c>
      <c r="AD250" s="146">
        <v>62.198999999999998</v>
      </c>
      <c r="AE250" s="147">
        <v>0.38</v>
      </c>
      <c r="AF250" s="150">
        <v>51.786999999999999</v>
      </c>
      <c r="AG250" s="152">
        <v>1.2222</v>
      </c>
    </row>
    <row r="251" spans="1:33" x14ac:dyDescent="0.2">
      <c r="A251" s="27">
        <v>11</v>
      </c>
      <c r="B251" s="69">
        <v>9.8812819987499996</v>
      </c>
      <c r="C251" s="28">
        <f t="shared" si="17"/>
        <v>0.57033788972503174</v>
      </c>
      <c r="D251" s="31">
        <v>156.31200000000001</v>
      </c>
      <c r="E251" s="47">
        <v>619.24</v>
      </c>
      <c r="F251" s="44">
        <v>19.95</v>
      </c>
      <c r="G251" s="11">
        <v>6.2850000000000004E-4</v>
      </c>
      <c r="H251" s="61">
        <f t="shared" si="14"/>
        <v>248.90445859872614</v>
      </c>
      <c r="I251" s="29">
        <f t="shared" si="15"/>
        <v>0.24335121651212144</v>
      </c>
      <c r="J251" s="52">
        <v>0.39100000000000001</v>
      </c>
      <c r="K251" s="75">
        <v>-4.6167999999999996</v>
      </c>
      <c r="L251" s="81">
        <v>912.5</v>
      </c>
      <c r="M251" s="13">
        <v>7.7000000000000002E-3</v>
      </c>
      <c r="N251" s="12">
        <v>-7.9194999999999993E-6</v>
      </c>
      <c r="O251" s="93">
        <v>0.2487</v>
      </c>
      <c r="P251" s="94">
        <v>0.26640000000000003</v>
      </c>
      <c r="Q251" s="95">
        <v>0.28570000000000001</v>
      </c>
      <c r="R251" s="111">
        <v>24.559000000000001</v>
      </c>
      <c r="S251" s="118">
        <v>-3229.7</v>
      </c>
      <c r="T251" s="125">
        <v>-5.4329999999999998</v>
      </c>
      <c r="U251" s="14">
        <v>0</v>
      </c>
      <c r="V251" s="30">
        <v>0</v>
      </c>
      <c r="W251" s="138">
        <v>206.02500000000001</v>
      </c>
      <c r="X251" s="13">
        <v>0.78776000000000002</v>
      </c>
      <c r="Y251" s="14">
        <v>-2.1358000000000002E-3</v>
      </c>
      <c r="Z251" s="30">
        <v>2.9318999999999998E-6</v>
      </c>
      <c r="AA251" s="77">
        <v>0.16270000000000001</v>
      </c>
      <c r="AB251" s="5">
        <v>-7.2978999999999994E-5</v>
      </c>
      <c r="AC251" s="15">
        <v>-2.1313999999999999E-7</v>
      </c>
      <c r="AD251" s="146">
        <v>60.497</v>
      </c>
      <c r="AE251" s="147">
        <v>0.38</v>
      </c>
      <c r="AF251" s="150">
        <v>51.247</v>
      </c>
      <c r="AG251" s="152">
        <v>1.2222</v>
      </c>
    </row>
    <row r="252" spans="1:33" x14ac:dyDescent="0.2">
      <c r="A252" s="27">
        <v>11</v>
      </c>
      <c r="B252" s="69">
        <v>7.7161643599999996</v>
      </c>
      <c r="C252" s="28">
        <f t="shared" si="17"/>
        <v>0.42769900592501731</v>
      </c>
      <c r="D252" s="31">
        <v>156.31200000000001</v>
      </c>
      <c r="E252" s="47">
        <v>644.45000000000005</v>
      </c>
      <c r="F252" s="62" t="str" cm="1">
        <f t="array" aca="1" ref="F252" ca="1">LEFT(INDEX($F$134:$F$291, MATCH(MIN(IF(ABS($B$134:$B$291-B252)&lt;&gt;0, ABS($B$134:$B$291-B252))), IF(ABS($B$134:$B$291-B252)&lt;&gt;0, ABS($B$134:$B$291-B252)), 0)),5)</f>
        <v>19.75</v>
      </c>
      <c r="G252" s="67" t="str" cm="1">
        <f t="array" aca="1" ref="G252" ca="1">LEFT(INDEX($G$134:$G$291, MATCH(MIN(IF(ABS($B$134:$B$291-B252)&lt;&gt;0, ABS($B$134:$B$291-B252))), IF(ABS($B$134:$B$291-B252)&lt;&gt;0, ABS($B$134:$B$291-B252)), 0)),8)</f>
        <v>6.33E-04</v>
      </c>
      <c r="H252" s="46">
        <f t="shared" ca="1" si="14"/>
        <v>246.93838862559244</v>
      </c>
      <c r="I252" s="54">
        <f t="shared" ca="1" si="15"/>
        <v>0.23333052691554668</v>
      </c>
      <c r="J252" s="63" t="str" cm="1">
        <f t="array" aca="1" ref="J252" ca="1">LEFT(INDEX($J$134:$J$291, MATCH(MIN(IF(ABS($B$134:$B$291-B252)&lt;&gt;0, ABS($B$134:$B$291-B252))), IF(ABS($B$134:$B$291-B252)&lt;&gt;0, ABS($B$134:$B$291-B252)), 0)),5)</f>
        <v>0.333</v>
      </c>
      <c r="K252" s="75">
        <v>-5.0396000000000001</v>
      </c>
      <c r="L252" s="81">
        <v>1008.8</v>
      </c>
      <c r="M252" s="13">
        <v>8.3999999999999995E-3</v>
      </c>
      <c r="N252" s="12">
        <v>-7.9536999999999998E-6</v>
      </c>
      <c r="O252" s="93">
        <v>0.2487</v>
      </c>
      <c r="P252" s="94">
        <v>0.25269999999999998</v>
      </c>
      <c r="Q252" s="95">
        <v>0.28570000000000001</v>
      </c>
      <c r="R252" s="111">
        <v>23.783000000000001</v>
      </c>
      <c r="S252" s="118">
        <v>-3296.7</v>
      </c>
      <c r="T252" s="125">
        <v>-5.1589</v>
      </c>
      <c r="U252" s="14">
        <v>0</v>
      </c>
      <c r="V252" s="30">
        <v>0</v>
      </c>
      <c r="W252" s="138">
        <v>210.43600000000001</v>
      </c>
      <c r="X252" s="13">
        <v>0.75444999999999995</v>
      </c>
      <c r="Y252" s="14">
        <v>-1.9848999999999999E-3</v>
      </c>
      <c r="Z252" s="30">
        <v>2.6883000000000002E-6</v>
      </c>
      <c r="AA252" s="77">
        <v>0.16309999999999999</v>
      </c>
      <c r="AB252" s="5">
        <v>-7.1120999999999999E-5</v>
      </c>
      <c r="AC252" s="15">
        <v>-1.9658999999999999E-7</v>
      </c>
      <c r="AD252" s="146">
        <v>63.082000000000001</v>
      </c>
      <c r="AE252" s="147">
        <v>0.38</v>
      </c>
      <c r="AF252" s="150">
        <v>51.968000000000004</v>
      </c>
      <c r="AG252" s="152">
        <v>1.2222</v>
      </c>
    </row>
    <row r="253" spans="1:33" x14ac:dyDescent="0.2">
      <c r="A253" s="27">
        <v>11</v>
      </c>
      <c r="B253" s="69">
        <v>9.6993869499999992</v>
      </c>
      <c r="C253" s="28">
        <f t="shared" si="17"/>
        <v>0.55835456546675799</v>
      </c>
      <c r="D253" s="31">
        <v>156.31200000000001</v>
      </c>
      <c r="E253" s="47">
        <v>620.64</v>
      </c>
      <c r="F253" s="62" t="str" cm="1">
        <f t="array" ref="F253">LEFT(INDEX($F$134:$F$291, MATCH(MIN(IF(ABS($B$134:$B$291-B253)&lt;&gt;0, ABS($B$134:$B$291-B253))), IF(ABS($B$134:$B$291-B253)&lt;&gt;0, ABS($B$134:$B$291-B253)), 0)),5)</f>
        <v>19.95</v>
      </c>
      <c r="G253" s="67" t="str" cm="1">
        <f t="array" ref="G253">LEFT(INDEX($G$134:$G$291, MATCH(MIN(IF(ABS($B$134:$B$291-B253)&lt;&gt;0, ABS($B$134:$B$291-B253))), IF(ABS($B$134:$B$291-B253)&lt;&gt;0, ABS($B$134:$B$291-B253)), 0)),8)</f>
        <v>0.000628</v>
      </c>
      <c r="H253" s="46">
        <f t="shared" si="14"/>
        <v>248.90445859872614</v>
      </c>
      <c r="I253" s="54">
        <f t="shared" si="15"/>
        <v>0.24280228040887808</v>
      </c>
      <c r="J253" s="63" t="str" cm="1">
        <f t="array" ref="J253">LEFT(INDEX($J$134:$J$291, MATCH(MIN(IF(ABS($B$134:$B$291-B253)&lt;&gt;0, ABS($B$134:$B$291-B253))), IF(ABS($B$134:$B$291-B253)&lt;&gt;0, ABS($B$134:$B$291-B253)), 0)),5)</f>
        <v>0.391</v>
      </c>
      <c r="K253" s="75">
        <v>-4.6474000000000002</v>
      </c>
      <c r="L253" s="81">
        <v>918.83</v>
      </c>
      <c r="M253" s="13">
        <v>7.7999999999999996E-3</v>
      </c>
      <c r="N253" s="12">
        <v>-7.9326999999999995E-6</v>
      </c>
      <c r="O253" s="93">
        <v>0.2487</v>
      </c>
      <c r="P253" s="94">
        <v>0.26390000000000002</v>
      </c>
      <c r="Q253" s="95">
        <v>0.28570000000000001</v>
      </c>
      <c r="R253" s="111">
        <v>24.513999999999999</v>
      </c>
      <c r="S253" s="118">
        <v>-3233.4</v>
      </c>
      <c r="T253" s="125">
        <v>-5.4169999999999998</v>
      </c>
      <c r="U253" s="14">
        <v>0</v>
      </c>
      <c r="V253" s="30">
        <v>0</v>
      </c>
      <c r="W253" s="138">
        <v>205.57</v>
      </c>
      <c r="X253" s="13">
        <v>0.79108999999999996</v>
      </c>
      <c r="Y253" s="14">
        <v>-2.1431000000000002E-3</v>
      </c>
      <c r="Z253" s="30">
        <v>2.9388999999999999E-6</v>
      </c>
      <c r="AA253" s="77">
        <v>0.16270000000000001</v>
      </c>
      <c r="AB253" s="5">
        <v>-7.2874999999999996E-5</v>
      </c>
      <c r="AC253" s="15">
        <v>-2.1215999999999999E-7</v>
      </c>
      <c r="AD253" s="146">
        <v>60.64</v>
      </c>
      <c r="AE253" s="147">
        <v>0.38</v>
      </c>
      <c r="AF253" s="150">
        <v>51.287999999999997</v>
      </c>
      <c r="AG253" s="152">
        <v>1.2222</v>
      </c>
    </row>
    <row r="254" spans="1:33" x14ac:dyDescent="0.2">
      <c r="A254" s="27">
        <v>11</v>
      </c>
      <c r="B254" s="69">
        <v>8.8861940350000008</v>
      </c>
      <c r="C254" s="28">
        <f t="shared" si="17"/>
        <v>0.50478106551751434</v>
      </c>
      <c r="D254" s="31">
        <v>156.31200000000001</v>
      </c>
      <c r="E254" s="47">
        <v>629.04</v>
      </c>
      <c r="F254" s="62" t="str" cm="1">
        <f t="array" ref="F254">LEFT(INDEX($F$134:$F$291, MATCH(MIN(IF(ABS($B$134:$B$291-B254)&lt;&gt;0, ABS($B$134:$B$291-B254))), IF(ABS($B$134:$B$291-B254)&lt;&gt;0, ABS($B$134:$B$291-B254)), 0)),5)</f>
        <v>19.95</v>
      </c>
      <c r="G254" s="67" t="str" cm="1">
        <f t="array" ref="G254">LEFT(INDEX($G$134:$G$291, MATCH(MIN(IF(ABS($B$134:$B$291-B254)&lt;&gt;0, ABS($B$134:$B$291-B254))), IF(ABS($B$134:$B$291-B254)&lt;&gt;0, ABS($B$134:$B$291-B254)), 0)),8)</f>
        <v>0.000628</v>
      </c>
      <c r="H254" s="46">
        <f t="shared" si="14"/>
        <v>248.90445859872614</v>
      </c>
      <c r="I254" s="54">
        <f t="shared" si="15"/>
        <v>0.23955997601577975</v>
      </c>
      <c r="J254" s="63" t="str" cm="1">
        <f t="array" ref="J254">LEFT(INDEX($J$134:$J$291, MATCH(MIN(IF(ABS($B$134:$B$291-B254)&lt;&gt;0, ABS($B$134:$B$291-B254))), IF(ABS($B$134:$B$291-B254)&lt;&gt;0, ABS($B$134:$B$291-B254)), 0)),5)</f>
        <v>0.391</v>
      </c>
      <c r="K254" s="75">
        <v>-4.8116000000000003</v>
      </c>
      <c r="L254" s="81">
        <v>954.09</v>
      </c>
      <c r="M254" s="13">
        <v>8.0999999999999996E-3</v>
      </c>
      <c r="N254" s="12">
        <v>-7.9796999999999992E-6</v>
      </c>
      <c r="O254" s="93">
        <v>0.2487</v>
      </c>
      <c r="P254" s="94">
        <v>0.25929999999999997</v>
      </c>
      <c r="Q254" s="95">
        <v>0.28570000000000001</v>
      </c>
      <c r="R254" s="111">
        <v>24.248000000000001</v>
      </c>
      <c r="S254" s="118">
        <v>-3255.6</v>
      </c>
      <c r="T254" s="125">
        <v>-5.3231000000000002</v>
      </c>
      <c r="U254" s="14">
        <v>0</v>
      </c>
      <c r="V254" s="30">
        <v>0</v>
      </c>
      <c r="W254" s="138">
        <v>207.10300000000001</v>
      </c>
      <c r="X254" s="13">
        <v>0.77927999999999997</v>
      </c>
      <c r="Y254" s="14">
        <v>-2.0896999999999999E-3</v>
      </c>
      <c r="Z254" s="30">
        <v>2.8528999999999998E-6</v>
      </c>
      <c r="AA254" s="77">
        <v>0.16289999999999999</v>
      </c>
      <c r="AB254" s="5">
        <v>-7.2254000000000003E-5</v>
      </c>
      <c r="AC254" s="15">
        <v>-2.0645E-7</v>
      </c>
      <c r="AD254" s="146">
        <v>61.502000000000002</v>
      </c>
      <c r="AE254" s="147">
        <v>0.38</v>
      </c>
      <c r="AF254" s="150">
        <v>51.529000000000003</v>
      </c>
      <c r="AG254" s="152">
        <v>1.2222</v>
      </c>
    </row>
    <row r="255" spans="1:33" x14ac:dyDescent="0.2">
      <c r="A255" s="27">
        <v>11</v>
      </c>
      <c r="B255" s="69">
        <v>8.3096508374999996</v>
      </c>
      <c r="C255" s="28">
        <f t="shared" si="17"/>
        <v>0.46679815101806471</v>
      </c>
      <c r="D255" s="31">
        <v>156.31200000000001</v>
      </c>
      <c r="E255" s="47">
        <v>631.84</v>
      </c>
      <c r="F255" s="62" t="str" cm="1">
        <f t="array" ref="F255">LEFT(INDEX($F$134:$F$291, MATCH(MIN(IF(ABS($B$134:$B$291-B255)&lt;&gt;0, ABS($B$134:$B$291-B255))), IF(ABS($B$134:$B$291-B255)&lt;&gt;0, ABS($B$134:$B$291-B255)), 0)),5)</f>
        <v>19.95</v>
      </c>
      <c r="G255" s="67" t="str" cm="1">
        <f t="array" ref="G255">LEFT(INDEX($G$134:$G$291, MATCH(MIN(IF(ABS($B$134:$B$291-B255)&lt;&gt;0, ABS($B$134:$B$291-B255))), IF(ABS($B$134:$B$291-B255)&lt;&gt;0, ABS($B$134:$B$291-B255)), 0)),8)</f>
        <v>0.000628</v>
      </c>
      <c r="H255" s="46">
        <f t="shared" si="14"/>
        <v>248.90445859872614</v>
      </c>
      <c r="I255" s="54">
        <f t="shared" si="15"/>
        <v>0.23849836558775336</v>
      </c>
      <c r="J255" s="63" t="str" cm="1">
        <f t="array" ref="J255">LEFT(INDEX($J$134:$J$291, MATCH(MIN(IF(ABS($B$134:$B$291-B255)&lt;&gt;0, ABS($B$134:$B$291-B255))), IF(ABS($B$134:$B$291-B255)&lt;&gt;0, ABS($B$134:$B$291-B255)), 0)),5)</f>
        <v>0.391</v>
      </c>
      <c r="K255" s="75">
        <v>-4.8593999999999999</v>
      </c>
      <c r="L255" s="81">
        <v>964.92</v>
      </c>
      <c r="M255" s="13">
        <v>8.0999999999999996E-3</v>
      </c>
      <c r="N255" s="12">
        <v>-7.9845999999999998E-6</v>
      </c>
      <c r="O255" s="93">
        <v>0.2487</v>
      </c>
      <c r="P255" s="94">
        <v>0.25690000000000002</v>
      </c>
      <c r="Q255" s="95">
        <v>0.28570000000000001</v>
      </c>
      <c r="R255" s="111">
        <v>24.161000000000001</v>
      </c>
      <c r="S255" s="118">
        <v>-3263</v>
      </c>
      <c r="T255" s="125">
        <v>-5.2923999999999998</v>
      </c>
      <c r="U255" s="14">
        <v>0</v>
      </c>
      <c r="V255" s="30">
        <v>0</v>
      </c>
      <c r="W255" s="138">
        <v>207.21700000000001</v>
      </c>
      <c r="X255" s="13">
        <v>0.77836000000000005</v>
      </c>
      <c r="Y255" s="14">
        <v>-2.0812999999999999E-3</v>
      </c>
      <c r="Z255" s="30">
        <v>2.8368000000000001E-6</v>
      </c>
      <c r="AA255" s="77">
        <v>0.16289999999999999</v>
      </c>
      <c r="AB255" s="5">
        <v>-7.2046999999999996E-5</v>
      </c>
      <c r="AC255" s="15">
        <v>-2.0459999999999999E-7</v>
      </c>
      <c r="AD255" s="146">
        <v>61.789000000000001</v>
      </c>
      <c r="AE255" s="147">
        <v>0.38</v>
      </c>
      <c r="AF255" s="150">
        <v>51.61</v>
      </c>
      <c r="AG255" s="152">
        <v>1.2222</v>
      </c>
    </row>
    <row r="256" spans="1:33" x14ac:dyDescent="0.2">
      <c r="A256" s="27">
        <v>11</v>
      </c>
      <c r="B256" s="69">
        <v>8.7057474712499996</v>
      </c>
      <c r="C256" s="28">
        <f t="shared" si="17"/>
        <v>0.49289316807573458</v>
      </c>
      <c r="D256" s="31">
        <v>156.31200000000001</v>
      </c>
      <c r="E256" s="47">
        <v>627.64</v>
      </c>
      <c r="F256" s="62" t="str" cm="1">
        <f t="array" aca="1" ref="F256" ca="1">LEFT(INDEX($F$134:$F$291, MATCH(MIN(IF(ABS($B$134:$B$291-B256)&lt;&gt;0, ABS($B$134:$B$291-B256))), IF(ABS($B$134:$B$291-B256)&lt;&gt;0, ABS($B$134:$B$291-B256)), 0)),5)</f>
        <v>19.81</v>
      </c>
      <c r="G256" s="67" t="str" cm="1">
        <f t="array" aca="1" ref="G256" ca="1">LEFT(INDEX($G$134:$G$291, MATCH(MIN(IF(ABS($B$134:$B$291-B256)&lt;&gt;0, ABS($B$134:$B$291-B256))), IF(ABS($B$134:$B$291-B256)&lt;&gt;0, ABS($B$134:$B$291-B256)), 0)),8)</f>
        <v>0.000634</v>
      </c>
      <c r="H256" s="46">
        <f t="shared" ca="1" si="14"/>
        <v>246.54889589905366</v>
      </c>
      <c r="I256" s="54">
        <f t="shared" ca="1" si="15"/>
        <v>0.24068725811865169</v>
      </c>
      <c r="J256" s="63" t="str" cm="1">
        <f t="array" aca="1" ref="J256" ca="1">LEFT(INDEX($J$134:$J$291, MATCH(MIN(IF(ABS($B$134:$B$291-B256)&lt;&gt;0, ABS($B$134:$B$291-B256))), IF(ABS($B$134:$B$291-B256)&lt;&gt;0, ABS($B$134:$B$291-B256)), 0)),5)</f>
        <v>0.333</v>
      </c>
      <c r="K256" s="75">
        <v>-4.7864000000000004</v>
      </c>
      <c r="L256" s="81">
        <v>948.51</v>
      </c>
      <c r="M256" s="13">
        <v>8.0000000000000002E-3</v>
      </c>
      <c r="N256" s="12">
        <v>-7.9753999999999999E-6</v>
      </c>
      <c r="O256" s="93">
        <v>0.2487</v>
      </c>
      <c r="P256" s="94">
        <v>0.25929999999999997</v>
      </c>
      <c r="Q256" s="95">
        <v>0.28570000000000001</v>
      </c>
      <c r="R256" s="111">
        <v>24.292000000000002</v>
      </c>
      <c r="S256" s="118">
        <v>-3251.9</v>
      </c>
      <c r="T256" s="125">
        <v>-5.3384999999999998</v>
      </c>
      <c r="U256" s="14">
        <v>0</v>
      </c>
      <c r="V256" s="30">
        <v>0</v>
      </c>
      <c r="W256" s="138">
        <v>206.499</v>
      </c>
      <c r="X256" s="13">
        <v>0.78383000000000003</v>
      </c>
      <c r="Y256" s="14">
        <v>-2.1064E-3</v>
      </c>
      <c r="Z256" s="30">
        <v>2.8774000000000002E-6</v>
      </c>
      <c r="AA256" s="77">
        <v>0.16289999999999999</v>
      </c>
      <c r="AB256" s="5">
        <v>-7.2356999999999999E-5</v>
      </c>
      <c r="AC256" s="15">
        <v>-2.0739000000000001E-7</v>
      </c>
      <c r="AD256" s="146">
        <v>61.357999999999997</v>
      </c>
      <c r="AE256" s="147">
        <v>0.38</v>
      </c>
      <c r="AF256" s="150">
        <v>51.488999999999997</v>
      </c>
      <c r="AG256" s="152">
        <v>1.2222</v>
      </c>
    </row>
    <row r="257" spans="1:33" x14ac:dyDescent="0.2">
      <c r="A257" s="27">
        <v>11</v>
      </c>
      <c r="B257" s="69">
        <v>9.75979867625</v>
      </c>
      <c r="C257" s="28">
        <f t="shared" si="17"/>
        <v>0.56233451604612106</v>
      </c>
      <c r="D257" s="31">
        <v>156.31200000000001</v>
      </c>
      <c r="E257" s="47">
        <v>638.82000000000005</v>
      </c>
      <c r="F257" s="62" t="str" cm="1">
        <f t="array" ref="F257">LEFT(INDEX($F$134:$F$291, MATCH(MIN(IF(ABS($B$134:$B$291-B257)&lt;&gt;0, ABS($B$134:$B$291-B257))), IF(ABS($B$134:$B$291-B257)&lt;&gt;0, ABS($B$134:$B$291-B257)), 0)),5)</f>
        <v>20</v>
      </c>
      <c r="G257" s="67" t="str" cm="1">
        <f t="array" ref="G257">LEFT(INDEX($G$134:$G$291, MATCH(MIN(IF(ABS($B$134:$B$291-B257)&lt;&gt;0, ABS($B$134:$B$291-B257))), IF(ABS($B$134:$B$291-B257)&lt;&gt;0, ABS($B$134:$B$291-B257)), 0)),8)</f>
        <v>0.000629</v>
      </c>
      <c r="H257" s="46">
        <f t="shared" si="14"/>
        <v>248.50874403815584</v>
      </c>
      <c r="I257" s="54">
        <f t="shared" si="15"/>
        <v>0.23686021354458281</v>
      </c>
      <c r="J257" s="63" t="str" cm="1">
        <f t="array" ref="J257">LEFT(INDEX($J$134:$J$291, MATCH(MIN(IF(ABS($B$134:$B$291-B257)&lt;&gt;0, ABS($B$134:$B$291-B257))), IF(ABS($B$134:$B$291-B257)&lt;&gt;0, ABS($B$134:$B$291-B257)), 0)),5)</f>
        <v>0.361</v>
      </c>
      <c r="K257" s="75">
        <v>-4.6517999999999997</v>
      </c>
      <c r="L257" s="81">
        <v>945.57</v>
      </c>
      <c r="M257" s="13">
        <v>7.4999999999999997E-3</v>
      </c>
      <c r="N257" s="12">
        <v>-7.3370999999999996E-6</v>
      </c>
      <c r="O257" s="93">
        <v>0.24829999999999999</v>
      </c>
      <c r="P257" s="94">
        <v>0.254</v>
      </c>
      <c r="Q257" s="95">
        <v>0.28570000000000001</v>
      </c>
      <c r="R257" s="111">
        <v>23.757000000000001</v>
      </c>
      <c r="S257" s="118">
        <v>-3224.2</v>
      </c>
      <c r="T257" s="125">
        <v>-5.1806000000000001</v>
      </c>
      <c r="U257" s="14">
        <v>0</v>
      </c>
      <c r="V257" s="30">
        <v>0</v>
      </c>
      <c r="W257" s="138">
        <v>195.28200000000001</v>
      </c>
      <c r="X257" s="13">
        <v>0.83426</v>
      </c>
      <c r="Y257" s="14">
        <v>-2.1757999999999999E-3</v>
      </c>
      <c r="Z257" s="30">
        <v>2.8437E-6</v>
      </c>
      <c r="AA257" s="77">
        <v>0.1595</v>
      </c>
      <c r="AB257" s="5">
        <v>-6.2299999999999996E-5</v>
      </c>
      <c r="AC257" s="15">
        <v>-2.0664999999999999E-7</v>
      </c>
      <c r="AD257" s="146">
        <v>61.097000000000001</v>
      </c>
      <c r="AE257" s="147">
        <v>0.38</v>
      </c>
      <c r="AF257" s="150">
        <v>51.363999999999997</v>
      </c>
      <c r="AG257" s="152">
        <v>1.2222</v>
      </c>
    </row>
    <row r="258" spans="1:33" x14ac:dyDescent="0.2">
      <c r="A258" s="27">
        <v>11</v>
      </c>
      <c r="B258" s="69">
        <v>11.687903106249999</v>
      </c>
      <c r="C258" s="28">
        <f t="shared" si="17"/>
        <v>0.68935886743602681</v>
      </c>
      <c r="D258" s="31">
        <v>156.31200000000001</v>
      </c>
      <c r="E258" s="47">
        <v>624.78</v>
      </c>
      <c r="F258" s="62" t="str" cm="1">
        <f t="array" ref="F258">LEFT(INDEX($F$134:$F$291, MATCH(MIN(IF(ABS($B$134:$B$291-B258)&lt;&gt;0, ABS($B$134:$B$291-B258))), IF(ABS($B$134:$B$291-B258)&lt;&gt;0, ABS($B$134:$B$291-B258)), 0)),5)</f>
        <v>20.09</v>
      </c>
      <c r="G258" s="67" t="str" cm="1">
        <f t="array" ref="G258">LEFT(INDEX($G$134:$G$291, MATCH(MIN(IF(ABS($B$134:$B$291-B258)&lt;&gt;0, ABS($B$134:$B$291-B258))), IF(ABS($B$134:$B$291-B258)&lt;&gt;0, ABS($B$134:$B$291-B258)), 0)),8)</f>
        <v>0.000622</v>
      </c>
      <c r="H258" s="46">
        <f t="shared" si="14"/>
        <v>251.30546623794214</v>
      </c>
      <c r="I258" s="54">
        <f t="shared" si="15"/>
        <v>0.24056541032104112</v>
      </c>
      <c r="J258" s="63" t="str" cm="1">
        <f t="array" ref="J258">LEFT(INDEX($J$134:$J$291, MATCH(MIN(IF(ABS($B$134:$B$291-B258)&lt;&gt;0, ABS($B$134:$B$291-B258))), IF(ABS($B$134:$B$291-B258)&lt;&gt;0, ABS($B$134:$B$291-B258)), 0)),5)</f>
        <v>0.362</v>
      </c>
      <c r="K258" s="75">
        <v>-4.4896000000000003</v>
      </c>
      <c r="L258" s="81">
        <v>901.83</v>
      </c>
      <c r="M258" s="13">
        <v>7.3000000000000001E-3</v>
      </c>
      <c r="N258" s="12">
        <v>-7.4340999999999997E-6</v>
      </c>
      <c r="O258" s="93">
        <v>0.25109999999999999</v>
      </c>
      <c r="P258" s="94">
        <v>0.26290000000000002</v>
      </c>
      <c r="Q258" s="95">
        <v>0.28570000000000001</v>
      </c>
      <c r="R258" s="111">
        <v>24.209</v>
      </c>
      <c r="S258" s="118">
        <v>-3191.3</v>
      </c>
      <c r="T258" s="125">
        <v>-5.3377999999999997</v>
      </c>
      <c r="U258" s="14">
        <v>0</v>
      </c>
      <c r="V258" s="30">
        <v>0</v>
      </c>
      <c r="W258" s="138">
        <v>211.56700000000001</v>
      </c>
      <c r="X258" s="13">
        <v>0.71316000000000002</v>
      </c>
      <c r="Y258" s="14">
        <v>-1.9223000000000001E-3</v>
      </c>
      <c r="Z258" s="30">
        <v>2.7095000000000001E-6</v>
      </c>
      <c r="AA258" s="77">
        <v>0.1628</v>
      </c>
      <c r="AB258" s="5">
        <v>-7.7546999999999995E-5</v>
      </c>
      <c r="AC258" s="15">
        <v>-2.0169E-7</v>
      </c>
      <c r="AD258" s="146">
        <v>59.734000000000002</v>
      </c>
      <c r="AE258" s="147">
        <v>0.38</v>
      </c>
      <c r="AF258" s="150">
        <v>51.073999999999998</v>
      </c>
      <c r="AG258" s="152">
        <v>1.2222</v>
      </c>
    </row>
    <row r="259" spans="1:33" x14ac:dyDescent="0.2">
      <c r="A259" s="27">
        <v>11</v>
      </c>
      <c r="B259" s="69">
        <v>10.51128643</v>
      </c>
      <c r="C259" s="28">
        <f t="shared" si="17"/>
        <v>0.61184285336037691</v>
      </c>
      <c r="D259" s="31">
        <v>156.31200000000001</v>
      </c>
      <c r="E259" s="47">
        <v>647.34</v>
      </c>
      <c r="F259" s="62" t="str" cm="1">
        <f t="array" ref="F259">LEFT(INDEX($F$134:$F$291, MATCH(MIN(IF(ABS($B$134:$B$291-B259)&lt;&gt;0, ABS($B$134:$B$291-B259))), IF(ABS($B$134:$B$291-B259)&lt;&gt;0, ABS($B$134:$B$291-B259)), 0)),5)</f>
        <v>20</v>
      </c>
      <c r="G259" s="67" t="str" cm="1">
        <f t="array" ref="G259">LEFT(INDEX($G$134:$G$291, MATCH(MIN(IF(ABS($B$134:$B$291-B259)&lt;&gt;0, ABS($B$134:$B$291-B259))), IF(ABS($B$134:$B$291-B259)&lt;&gt;0, ABS($B$134:$B$291-B259)), 0)),8)</f>
        <v>0.000629</v>
      </c>
      <c r="H259" s="46">
        <f t="shared" ref="H259:H266" si="18">1/LEFT(G259,8)*D259/1000</f>
        <v>248.50874403815584</v>
      </c>
      <c r="I259" s="54">
        <f t="shared" ref="I259:I266" si="19">LEFT(F259,5)*100000/(H259*8.314/(D259/1000)*E259)</f>
        <v>0.2337427651876145</v>
      </c>
      <c r="J259" s="63" t="str" cm="1">
        <f t="array" ref="J259">LEFT(INDEX($J$134:$J$291, MATCH(MIN(IF(ABS($B$134:$B$291-B259)&lt;&gt;0, ABS($B$134:$B$291-B259))), IF(ABS($B$134:$B$291-B259)&lt;&gt;0, ABS($B$134:$B$291-B259)), 0)),5)</f>
        <v>0.361</v>
      </c>
      <c r="K259" s="75">
        <v>-4.8533999999999997</v>
      </c>
      <c r="L259" s="81">
        <v>985.36</v>
      </c>
      <c r="M259" s="13">
        <v>7.7999999999999996E-3</v>
      </c>
      <c r="N259" s="12">
        <v>-7.4739999999999999E-6</v>
      </c>
      <c r="O259" s="93">
        <v>0.25109999999999999</v>
      </c>
      <c r="P259" s="94">
        <v>0.254</v>
      </c>
      <c r="Q259" s="95">
        <v>0.28570000000000001</v>
      </c>
      <c r="R259" s="111">
        <v>23.529</v>
      </c>
      <c r="S259" s="118">
        <v>-3250</v>
      </c>
      <c r="T259" s="125">
        <v>-5.0976999999999997</v>
      </c>
      <c r="U259" s="14">
        <v>0</v>
      </c>
      <c r="V259" s="30">
        <v>0</v>
      </c>
      <c r="W259" s="138">
        <v>216.19800000000001</v>
      </c>
      <c r="X259" s="13">
        <v>0.67915000000000003</v>
      </c>
      <c r="Y259" s="14">
        <v>-1.7775E-3</v>
      </c>
      <c r="Z259" s="30">
        <v>2.4766999999999999E-6</v>
      </c>
      <c r="AA259" s="77">
        <v>0.16309999999999999</v>
      </c>
      <c r="AB259" s="5">
        <v>-7.5517000000000002E-5</v>
      </c>
      <c r="AC259" s="15">
        <v>-1.8790999999999999E-7</v>
      </c>
      <c r="AD259" s="146">
        <v>61.999000000000002</v>
      </c>
      <c r="AE259" s="147">
        <v>0.38</v>
      </c>
      <c r="AF259" s="150">
        <v>51.712000000000003</v>
      </c>
      <c r="AG259" s="152">
        <v>1.2222</v>
      </c>
    </row>
    <row r="260" spans="1:33" x14ac:dyDescent="0.2">
      <c r="A260" s="27">
        <v>11</v>
      </c>
      <c r="B260" s="69">
        <v>8.1246057900000004</v>
      </c>
      <c r="C260" s="28">
        <f t="shared" si="17"/>
        <v>0.45460730348362816</v>
      </c>
      <c r="D260" s="31">
        <v>156.31200000000001</v>
      </c>
      <c r="E260" s="59">
        <v>638.85</v>
      </c>
      <c r="F260" s="62" t="str" cm="1">
        <f t="array" ref="F260">LEFT(INDEX($F$134:$F$291, MATCH(MIN(IF(ABS($B$134:$B$291-B260)&lt;&gt;0, ABS($B$134:$B$291-B260))), IF(ABS($B$134:$B$291-B260)&lt;&gt;0, ABS($B$134:$B$291-B260)), 0)),5)</f>
        <v>19.95</v>
      </c>
      <c r="G260" s="67" t="str" cm="1">
        <f t="array" ref="G260">LEFT(INDEX($G$134:$G$291, MATCH(MIN(IF(ABS($B$134:$B$291-B260)&lt;&gt;0, ABS($B$134:$B$291-B260))), IF(ABS($B$134:$B$291-B260)&lt;&gt;0, ABS($B$134:$B$291-B260)), 0)),8)</f>
        <v>0.000628</v>
      </c>
      <c r="H260" s="46">
        <f t="shared" si="18"/>
        <v>248.90445859872614</v>
      </c>
      <c r="I260" s="54">
        <f t="shared" si="19"/>
        <v>0.23588136074660102</v>
      </c>
      <c r="J260" s="63" t="str" cm="1">
        <f t="array" ref="J260">LEFT(INDEX($J$134:$J$291, MATCH(MIN(IF(ABS($B$134:$B$291-B260)&lt;&gt;0, ABS($B$134:$B$291-B260))), IF(ABS($B$134:$B$291-B260)&lt;&gt;0, ABS($B$134:$B$291-B260)), 0)),5)</f>
        <v>0.391</v>
      </c>
      <c r="K260" s="76">
        <v>-4.9661</v>
      </c>
      <c r="L260" s="82">
        <v>990.22</v>
      </c>
      <c r="M260" s="85">
        <v>8.3000000000000001E-3</v>
      </c>
      <c r="N260" s="4">
        <v>-7.977E-6</v>
      </c>
      <c r="O260" s="96">
        <v>0.2487</v>
      </c>
      <c r="P260" s="97">
        <v>0.25490000000000002</v>
      </c>
      <c r="Q260" s="98">
        <v>0.28570000000000001</v>
      </c>
      <c r="R260" s="113" t="str" cm="1">
        <f t="array" ref="R260">LEFT(INDEX($R$134:$R$291, MATCH(MIN(IF(ABS($B$134:$B$291-B260)&lt;&gt;0, ABS($B$134:$B$291-B260))), IF(ABS($B$134:$B$291-B260)&lt;&gt;0, ABS($B$134:$B$291-B260)), 0)),7)</f>
        <v>23.865</v>
      </c>
      <c r="S260" s="119" cm="1">
        <f t="array" ref="S260">INDEX($S$134:$S$291, MATCH(MIN(IF(ABS($B$134:$B$291-B260)&lt;&gt;0, ABS($B$134:$B$291-B260))), IF(ABS($B$134:$B$291-B260)&lt;&gt;0, ABS($B$134:$B$291-B260)), 0))</f>
        <v>-3289.2</v>
      </c>
      <c r="T260" s="126" cm="1">
        <f t="array" ref="T260">INDEX($T$134:$T$291, MATCH(MIN(IF(ABS($B$134:$B$291-B260)&lt;&gt;0, ABS($B$134:$B$291-B260))), IF(ABS($B$134:$B$291-B260)&lt;&gt;0, ABS($B$134:$B$291-B260)), 0))</f>
        <v>-5.1879999999999997</v>
      </c>
      <c r="U260" s="37" cm="1">
        <f t="array" ref="U260">INDEX($U$134:$U$291, MATCH(MIN(IF(ABS($B$134:$B$291-B260)&lt;&gt;0, ABS($B$134:$B$291-B260))), IF(ABS($B$134:$B$291-B260)&lt;&gt;0, ABS($B$134:$B$291-B260)), 0))</f>
        <v>0</v>
      </c>
      <c r="V260" s="133" cm="1">
        <f t="array" ref="V260">INDEX($V$134:$V$291, MATCH(MIN(IF(ABS($B$134:$B$291-B260)&lt;&gt;0, ABS($B$134:$B$291-B260))), IF(ABS($B$134:$B$291-B260)&lt;&gt;0, ABS($B$134:$B$291-B260)), 0))</f>
        <v>0</v>
      </c>
      <c r="W260" s="139">
        <v>209.15299999999999</v>
      </c>
      <c r="X260" s="7">
        <v>0.76390000000000002</v>
      </c>
      <c r="Y260" s="8">
        <v>-2.0238999999999999E-3</v>
      </c>
      <c r="Z260" s="33">
        <v>2.7489999999999999E-6</v>
      </c>
      <c r="AA260" s="141">
        <v>0.16309999999999999</v>
      </c>
      <c r="AB260" s="9">
        <v>-7.1532000000000006E-5</v>
      </c>
      <c r="AC260" s="10">
        <v>-2.0008999999999999E-7</v>
      </c>
      <c r="AD260" s="146">
        <v>62.506999999999998</v>
      </c>
      <c r="AE260" s="147">
        <v>0.38</v>
      </c>
      <c r="AF260" s="150">
        <v>51.808999999999997</v>
      </c>
      <c r="AG260" s="152">
        <v>1.2222</v>
      </c>
    </row>
    <row r="261" spans="1:33" x14ac:dyDescent="0.2">
      <c r="A261" s="27">
        <v>11</v>
      </c>
      <c r="B261" s="69">
        <v>9.8795670300000005</v>
      </c>
      <c r="C261" s="28">
        <f t="shared" si="17"/>
        <v>0.57022490684416027</v>
      </c>
      <c r="D261" s="31">
        <v>156.31200000000001</v>
      </c>
      <c r="E261" s="59">
        <v>615.04</v>
      </c>
      <c r="F261" s="62" t="str" cm="1">
        <f t="array" ref="F261">LEFT(INDEX($F$134:$F$291, MATCH(MIN(IF(ABS($B$134:$B$291-B261)&lt;&gt;0, ABS($B$134:$B$291-B261))), IF(ABS($B$134:$B$291-B261)&lt;&gt;0, ABS($B$134:$B$291-B261)), 0)),5)</f>
        <v>19.95</v>
      </c>
      <c r="G261" s="67" t="str" cm="1">
        <f t="array" ref="G261">LEFT(INDEX($G$134:$G$291, MATCH(MIN(IF(ABS($B$134:$B$291-B261)&lt;&gt;0, ABS($B$134:$B$291-B261))), IF(ABS($B$134:$B$291-B261)&lt;&gt;0, ABS($B$134:$B$291-B261)), 0)),8)</f>
        <v>0.000628</v>
      </c>
      <c r="H261" s="46">
        <f t="shared" si="18"/>
        <v>248.90445859872614</v>
      </c>
      <c r="I261" s="54">
        <f t="shared" si="19"/>
        <v>0.24501301917430751</v>
      </c>
      <c r="J261" s="63" t="str" cm="1">
        <f t="array" ref="J261">LEFT(INDEX($J$134:$J$291, MATCH(MIN(IF(ABS($B$134:$B$291-B261)&lt;&gt;0, ABS($B$134:$B$291-B261))), IF(ABS($B$134:$B$291-B261)&lt;&gt;0, ABS($B$134:$B$291-B261)), 0)),5)</f>
        <v>0.391</v>
      </c>
      <c r="K261" s="76">
        <v>-4.5183999999999997</v>
      </c>
      <c r="L261" s="82">
        <v>892.69</v>
      </c>
      <c r="M261" s="85">
        <v>7.6E-3</v>
      </c>
      <c r="N261" s="4">
        <v>-7.8692000000000008E-6</v>
      </c>
      <c r="O261" s="96">
        <v>0.2487</v>
      </c>
      <c r="P261" s="97">
        <v>0.26600000000000001</v>
      </c>
      <c r="Q261" s="98">
        <v>0.28570000000000001</v>
      </c>
      <c r="R261" s="113" t="str" cm="1">
        <f t="array" ref="R261">LEFT(INDEX($R$134:$R$291, MATCH(MIN(IF(ABS($B$134:$B$291-B261)&lt;&gt;0, ABS($B$134:$B$291-B261))), IF(ABS($B$134:$B$291-B261)&lt;&gt;0, ABS($B$134:$B$291-B261)), 0)),7)</f>
        <v>24.559</v>
      </c>
      <c r="S261" s="119" cm="1">
        <f t="array" ref="S261">INDEX($S$134:$S$291, MATCH(MIN(IF(ABS($B$134:$B$291-B261)&lt;&gt;0, ABS($B$134:$B$291-B261))), IF(ABS($B$134:$B$291-B261)&lt;&gt;0, ABS($B$134:$B$291-B261)), 0))</f>
        <v>-3229.7</v>
      </c>
      <c r="T261" s="126" cm="1">
        <f t="array" ref="T261">INDEX($T$134:$T$291, MATCH(MIN(IF(ABS($B$134:$B$291-B261)&lt;&gt;0, ABS($B$134:$B$291-B261))), IF(ABS($B$134:$B$291-B261)&lt;&gt;0, ABS($B$134:$B$291-B261)), 0))</f>
        <v>-5.4329999999999998</v>
      </c>
      <c r="U261" s="37" cm="1">
        <f t="array" ref="U261">INDEX($U$134:$U$291, MATCH(MIN(IF(ABS($B$134:$B$291-B261)&lt;&gt;0, ABS($B$134:$B$291-B261))), IF(ABS($B$134:$B$291-B261)&lt;&gt;0, ABS($B$134:$B$291-B261)), 0))</f>
        <v>0</v>
      </c>
      <c r="V261" s="133" cm="1">
        <f t="array" ref="V261">INDEX($V$134:$V$291, MATCH(MIN(IF(ABS($B$134:$B$291-B261)&lt;&gt;0, ABS($B$134:$B$291-B261))), IF(ABS($B$134:$B$291-B261)&lt;&gt;0, ABS($B$134:$B$291-B261)), 0))</f>
        <v>0</v>
      </c>
      <c r="W261" s="139">
        <v>204.07400000000001</v>
      </c>
      <c r="X261" s="7">
        <v>0.80269000000000001</v>
      </c>
      <c r="Y261" s="8">
        <v>-2.1906999999999999E-3</v>
      </c>
      <c r="Z261" s="33">
        <v>3.0126000000000002E-6</v>
      </c>
      <c r="AA261" s="141">
        <v>0.16270000000000001</v>
      </c>
      <c r="AB261" s="9">
        <v>-7.3291E-5</v>
      </c>
      <c r="AC261" s="10">
        <v>-2.1610999999999999E-7</v>
      </c>
      <c r="AD261" s="146">
        <v>60.066000000000003</v>
      </c>
      <c r="AE261" s="147">
        <v>0.38</v>
      </c>
      <c r="AF261" s="150">
        <v>51.125</v>
      </c>
      <c r="AG261" s="152">
        <v>1.2222</v>
      </c>
    </row>
    <row r="262" spans="1:33" x14ac:dyDescent="0.2">
      <c r="A262" s="27">
        <v>11</v>
      </c>
      <c r="B262" s="69">
        <v>7.9014094449999996</v>
      </c>
      <c r="C262" s="28">
        <f t="shared" ref="C262:C291" si="20">(B262-MIN($B$134:$B$291))/(MAX($B$134:$B$291)-MIN($B$134:$B$291))</f>
        <v>0.43990303201622488</v>
      </c>
      <c r="D262" s="31">
        <v>156.31200000000001</v>
      </c>
      <c r="E262" s="59">
        <v>634.64</v>
      </c>
      <c r="F262" s="62" t="str" cm="1">
        <f t="array" ref="F262">LEFT(INDEX($F$134:$F$291, MATCH(MIN(IF(ABS($B$134:$B$291-B262)&lt;&gt;0, ABS($B$134:$B$291-B262))), IF(ABS($B$134:$B$291-B262)&lt;&gt;0, ABS($B$134:$B$291-B262)), 0)),5)</f>
        <v>19.81</v>
      </c>
      <c r="G262" s="67" t="str" cm="1">
        <f t="array" ref="G262">LEFT(INDEX($G$134:$G$291, MATCH(MIN(IF(ABS($B$134:$B$291-B262)&lt;&gt;0, ABS($B$134:$B$291-B262))), IF(ABS($B$134:$B$291-B262)&lt;&gt;0, ABS($B$134:$B$291-B262)), 0)),8)</f>
        <v>0.000634</v>
      </c>
      <c r="H262" s="46">
        <f t="shared" si="18"/>
        <v>246.54889589905366</v>
      </c>
      <c r="I262" s="54">
        <f t="shared" si="19"/>
        <v>0.23803250769820772</v>
      </c>
      <c r="J262" s="63" t="str" cm="1">
        <f t="array" aca="1" ref="J262" ca="1">LEFT(INDEX($J$134:$J$291, MATCH(MIN(IF(ABS($B$134:$B$291-B262)&lt;&gt;0, ABS($B$134:$B$291-B262))), IF(ABS($B$134:$B$291-B262)&lt;&gt;0, ABS($B$134:$B$291-B262)), 0)),5)</f>
        <v>0.449</v>
      </c>
      <c r="K262" s="76">
        <v>-4.9042000000000003</v>
      </c>
      <c r="L262" s="82">
        <v>975.33</v>
      </c>
      <c r="M262" s="85">
        <v>8.2000000000000007E-3</v>
      </c>
      <c r="N262" s="4">
        <v>-7.9847E-6</v>
      </c>
      <c r="O262" s="96">
        <v>0.2487</v>
      </c>
      <c r="P262" s="97">
        <v>0.25430000000000003</v>
      </c>
      <c r="Q262" s="98">
        <v>0.28570000000000001</v>
      </c>
      <c r="R262" s="113" t="str" cm="1">
        <f t="array" ref="R262">LEFT(INDEX($R$134:$R$291, MATCH(MIN(IF(ABS($B$134:$B$291-B262)&lt;&gt;0, ABS($B$134:$B$291-B262))), IF(ABS($B$134:$B$291-B262)&lt;&gt;0, ABS($B$134:$B$291-B262)), 0)),7)</f>
        <v>24.55</v>
      </c>
      <c r="S262" s="119" cm="1">
        <f t="array" ref="S262">INDEX($S$134:$S$291, MATCH(MIN(IF(ABS($B$134:$B$291-B262)&lt;&gt;0, ABS($B$134:$B$291-B262))), IF(ABS($B$134:$B$291-B262)&lt;&gt;0, ABS($B$134:$B$291-B262)), 0))</f>
        <v>-3298.3</v>
      </c>
      <c r="T262" s="126" cm="1">
        <f t="array" ref="T262">INDEX($T$134:$T$291, MATCH(MIN(IF(ABS($B$134:$B$291-B262)&lt;&gt;0, ABS($B$134:$B$291-B262))), IF(ABS($B$134:$B$291-B262)&lt;&gt;0, ABS($B$134:$B$291-B262)), 0))</f>
        <v>-5.4012000000000002</v>
      </c>
      <c r="U262" s="37" cm="1">
        <f t="array" ref="U262">INDEX($U$134:$U$291, MATCH(MIN(IF(ABS($B$134:$B$291-B262)&lt;&gt;0, ABS($B$134:$B$291-B262))), IF(ABS($B$134:$B$291-B262)&lt;&gt;0, ABS($B$134:$B$291-B262)), 0))</f>
        <v>0</v>
      </c>
      <c r="V262" s="133" cm="1">
        <f t="array" ref="V262">INDEX($V$134:$V$291, MATCH(MIN(IF(ABS($B$134:$B$291-B262)&lt;&gt;0, ABS($B$134:$B$291-B262))), IF(ABS($B$134:$B$291-B262)&lt;&gt;0, ABS($B$134:$B$291-B262)), 0))</f>
        <v>0</v>
      </c>
      <c r="W262" s="139">
        <v>207.24199999999999</v>
      </c>
      <c r="X262" s="7">
        <v>0.77812999999999999</v>
      </c>
      <c r="Y262" s="8">
        <v>-2.075E-3</v>
      </c>
      <c r="Z262" s="33">
        <v>2.8235000000000002E-6</v>
      </c>
      <c r="AA262" s="141">
        <v>0.16300000000000001</v>
      </c>
      <c r="AB262" s="9">
        <v>-7.1840000000000003E-5</v>
      </c>
      <c r="AC262" s="10">
        <v>-2.0277999999999999E-7</v>
      </c>
      <c r="AD262" s="146">
        <v>62.076000000000001</v>
      </c>
      <c r="AE262" s="147">
        <v>0.38</v>
      </c>
      <c r="AF262" s="150">
        <v>51.69</v>
      </c>
      <c r="AG262" s="152">
        <v>1.2222</v>
      </c>
    </row>
    <row r="263" spans="1:33" x14ac:dyDescent="0.2">
      <c r="A263" s="27">
        <v>11</v>
      </c>
      <c r="B263" s="69">
        <v>10.54268057</v>
      </c>
      <c r="C263" s="28">
        <f t="shared" si="20"/>
        <v>0.61391111284305644</v>
      </c>
      <c r="D263" s="31">
        <v>156.31200000000001</v>
      </c>
      <c r="E263" s="59">
        <v>636</v>
      </c>
      <c r="F263" s="62" t="str" cm="1">
        <f t="array" ref="F263">LEFT(INDEX($F$134:$F$291, MATCH(MIN(IF(ABS($B$134:$B$291-B263)&lt;&gt;0, ABS($B$134:$B$291-B263))), IF(ABS($B$134:$B$291-B263)&lt;&gt;0, ABS($B$134:$B$291-B263)), 0)),5)</f>
        <v>20</v>
      </c>
      <c r="G263" s="67" t="str" cm="1">
        <f t="array" ref="G263">LEFT(INDEX($G$134:$G$291, MATCH(MIN(IF(ABS($B$134:$B$291-B263)&lt;&gt;0, ABS($B$134:$B$291-B263))), IF(ABS($B$134:$B$291-B263)&lt;&gt;0, ABS($B$134:$B$291-B263)), 0)),8)</f>
        <v>0.000629</v>
      </c>
      <c r="H263" s="46">
        <f t="shared" si="18"/>
        <v>248.50874403815584</v>
      </c>
      <c r="I263" s="54">
        <f t="shared" si="19"/>
        <v>0.23791044279331824</v>
      </c>
      <c r="J263" s="63" t="str" cm="1">
        <f t="array" ref="J263">LEFT(INDEX($J$134:$J$291, MATCH(MIN(IF(ABS($B$134:$B$291-B263)&lt;&gt;0, ABS($B$134:$B$291-B263))), IF(ABS($B$134:$B$291-B263)&lt;&gt;0, ABS($B$134:$B$291-B263)), 0)),5)</f>
        <v>0.361</v>
      </c>
      <c r="K263" s="76">
        <v>-4.6062000000000003</v>
      </c>
      <c r="L263" s="82">
        <v>935.13</v>
      </c>
      <c r="M263" s="85">
        <v>7.4000000000000003E-3</v>
      </c>
      <c r="N263" s="4">
        <v>-7.3309000000000004E-6</v>
      </c>
      <c r="O263" s="96">
        <v>0.24829999999999999</v>
      </c>
      <c r="P263" s="97">
        <v>0.25979999999999998</v>
      </c>
      <c r="Q263" s="98">
        <v>0.28570000000000001</v>
      </c>
      <c r="R263" s="113" t="str" cm="1">
        <f t="array" ref="R263">LEFT(INDEX($R$134:$R$291, MATCH(MIN(IF(ABS($B$134:$B$291-B263)&lt;&gt;0, ABS($B$134:$B$291-B263))), IF(ABS($B$134:$B$291-B263)&lt;&gt;0, ABS($B$134:$B$291-B263)), 0)),7)</f>
        <v>23.757</v>
      </c>
      <c r="S263" s="119" cm="1">
        <f t="array" ref="S263">INDEX($S$134:$S$291, MATCH(MIN(IF(ABS($B$134:$B$291-B263)&lt;&gt;0, ABS($B$134:$B$291-B263))), IF(ABS($B$134:$B$291-B263)&lt;&gt;0, ABS($B$134:$B$291-B263)), 0))</f>
        <v>-3224.2</v>
      </c>
      <c r="T263" s="126" cm="1">
        <f t="array" ref="T263">INDEX($T$134:$T$291, MATCH(MIN(IF(ABS($B$134:$B$291-B263)&lt;&gt;0, ABS($B$134:$B$291-B263))), IF(ABS($B$134:$B$291-B263)&lt;&gt;0, ABS($B$134:$B$291-B263)), 0))</f>
        <v>-5.1806000000000001</v>
      </c>
      <c r="U263" s="37" cm="1">
        <f t="array" ref="U263">INDEX($U$134:$U$291, MATCH(MIN(IF(ABS($B$134:$B$291-B263)&lt;&gt;0, ABS($B$134:$B$291-B263))), IF(ABS($B$134:$B$291-B263)&lt;&gt;0, ABS($B$134:$B$291-B263)), 0))</f>
        <v>0</v>
      </c>
      <c r="V263" s="133" cm="1">
        <f t="array" ref="V263">INDEX($V$134:$V$291, MATCH(MIN(IF(ABS($B$134:$B$291-B263)&lt;&gt;0, ABS($B$134:$B$291-B263))), IF(ABS($B$134:$B$291-B263)&lt;&gt;0, ABS($B$134:$B$291-B263)), 0))</f>
        <v>0</v>
      </c>
      <c r="W263" s="139">
        <v>196.69499999999999</v>
      </c>
      <c r="X263" s="7">
        <v>0.82416999999999996</v>
      </c>
      <c r="Y263" s="8">
        <v>-2.1519E-3</v>
      </c>
      <c r="Z263" s="33">
        <v>2.8184E-6</v>
      </c>
      <c r="AA263" s="141">
        <v>0.15939999999999999</v>
      </c>
      <c r="AB263" s="9">
        <v>-6.2408000000000003E-5</v>
      </c>
      <c r="AC263" s="10">
        <v>-2.0856000000000001E-7</v>
      </c>
      <c r="AD263" s="146">
        <v>60.814</v>
      </c>
      <c r="AE263" s="147">
        <v>0.38</v>
      </c>
      <c r="AF263" s="150">
        <v>51.284999999999997</v>
      </c>
      <c r="AG263" s="152">
        <v>1.2222</v>
      </c>
    </row>
    <row r="264" spans="1:33" x14ac:dyDescent="0.2">
      <c r="A264" s="27">
        <v>11</v>
      </c>
      <c r="B264" s="69">
        <v>8.6704278675000008</v>
      </c>
      <c r="C264" s="28">
        <f t="shared" si="20"/>
        <v>0.4905662973482543</v>
      </c>
      <c r="D264" s="31">
        <v>156.31200000000001</v>
      </c>
      <c r="E264" s="59">
        <v>652.91999999999996</v>
      </c>
      <c r="F264" s="62" t="str" cm="1">
        <f t="array" ref="F264">LEFT(INDEX($F$134:$F$291, MATCH(MIN(IF(ABS($B$134:$B$291-B264)&lt;&gt;0, ABS($B$134:$B$291-B264))), IF(ABS($B$134:$B$291-B264)&lt;&gt;0, ABS($B$134:$B$291-B264)), 0)),5)</f>
        <v>19.95</v>
      </c>
      <c r="G264" s="67" t="str" cm="1">
        <f t="array" ref="G264">LEFT(INDEX($G$134:$G$291, MATCH(MIN(IF(ABS($B$134:$B$291-B264)&lt;&gt;0, ABS($B$134:$B$291-B264))), IF(ABS($B$134:$B$291-B264)&lt;&gt;0, ABS($B$134:$B$291-B264)), 0)),8)</f>
        <v>0.000628</v>
      </c>
      <c r="H264" s="46">
        <f t="shared" si="18"/>
        <v>248.90445859872614</v>
      </c>
      <c r="I264" s="54">
        <f t="shared" si="19"/>
        <v>0.23079827132415318</v>
      </c>
      <c r="J264" s="63" t="str" cm="1">
        <f t="array" ref="J264">LEFT(INDEX($J$134:$J$291, MATCH(MIN(IF(ABS($B$134:$B$291-B264)&lt;&gt;0, ABS($B$134:$B$291-B264))), IF(ABS($B$134:$B$291-B264)&lt;&gt;0, ABS($B$134:$B$291-B264)), 0)),5)</f>
        <v>0.391</v>
      </c>
      <c r="K264" s="76">
        <v>-4.8417000000000003</v>
      </c>
      <c r="L264" s="82">
        <v>992.56</v>
      </c>
      <c r="M264" s="85">
        <v>7.7000000000000002E-3</v>
      </c>
      <c r="N264" s="4">
        <v>-7.3116999999999998E-6</v>
      </c>
      <c r="O264" s="96">
        <v>0.24829999999999999</v>
      </c>
      <c r="P264" s="97">
        <v>0.25009999999999999</v>
      </c>
      <c r="Q264" s="98">
        <v>0.28570000000000001</v>
      </c>
      <c r="R264" s="113" t="str" cm="1">
        <f t="array" ref="R264">LEFT(INDEX($R$134:$R$291, MATCH(MIN(IF(ABS($B$134:$B$291-B264)&lt;&gt;0, ABS($B$134:$B$291-B264))), IF(ABS($B$134:$B$291-B264)&lt;&gt;0, ABS($B$134:$B$291-B264)), 0)),7)</f>
        <v>23.388</v>
      </c>
      <c r="S264" s="119" cm="1">
        <f t="array" ref="S264">INDEX($S$134:$S$291, MATCH(MIN(IF(ABS($B$134:$B$291-B264)&lt;&gt;0, ABS($B$134:$B$291-B264))), IF(ABS($B$134:$B$291-B264)&lt;&gt;0, ABS($B$134:$B$291-B264)), 0))</f>
        <v>-3257.4</v>
      </c>
      <c r="T264" s="126" cm="1">
        <f t="array" ref="T264">INDEX($T$134:$T$291, MATCH(MIN(IF(ABS($B$134:$B$291-B264)&lt;&gt;0, ABS($B$134:$B$291-B264))), IF(ABS($B$134:$B$291-B264)&lt;&gt;0, ABS($B$134:$B$291-B264)), 0))</f>
        <v>-5.0506000000000002</v>
      </c>
      <c r="U264" s="37" cm="1">
        <f t="array" ref="U264">INDEX($U$134:$U$291, MATCH(MIN(IF(ABS($B$134:$B$291-B264)&lt;&gt;0, ABS($B$134:$B$291-B264))), IF(ABS($B$134:$B$291-B264)&lt;&gt;0, ABS($B$134:$B$291-B264)), 0))</f>
        <v>0</v>
      </c>
      <c r="V264" s="133" cm="1">
        <f t="array" ref="V264">INDEX($V$134:$V$291, MATCH(MIN(IF(ABS($B$134:$B$291-B264)&lt;&gt;0, ABS($B$134:$B$291-B264))), IF(ABS($B$134:$B$291-B264)&lt;&gt;0, ABS($B$134:$B$291-B264)), 0))</f>
        <v>0</v>
      </c>
      <c r="W264" s="139">
        <v>199.52600000000001</v>
      </c>
      <c r="X264" s="7">
        <v>0.80196999999999996</v>
      </c>
      <c r="Y264" s="8">
        <v>-2.0541999999999999E-3</v>
      </c>
      <c r="Z264" s="33">
        <v>2.6674999999999999E-6</v>
      </c>
      <c r="AA264" s="141">
        <v>0.15970000000000001</v>
      </c>
      <c r="AB264" s="9">
        <v>-6.1740000000000002E-5</v>
      </c>
      <c r="AC264" s="10">
        <v>-1.9746E-7</v>
      </c>
      <c r="AD264" s="146">
        <v>62.512</v>
      </c>
      <c r="AE264" s="147">
        <v>0.38</v>
      </c>
      <c r="AF264" s="150">
        <v>51.758000000000003</v>
      </c>
      <c r="AG264" s="152">
        <v>1.2222</v>
      </c>
    </row>
    <row r="265" spans="1:33" x14ac:dyDescent="0.2">
      <c r="A265" s="27">
        <v>11</v>
      </c>
      <c r="B265" s="69">
        <v>7.4246825187500001</v>
      </c>
      <c r="C265" s="28">
        <f t="shared" si="20"/>
        <v>0.40849605651489818</v>
      </c>
      <c r="D265" s="31">
        <v>156.31200000000001</v>
      </c>
      <c r="E265" s="59">
        <v>626.44000000000005</v>
      </c>
      <c r="F265" s="62" t="str" cm="1">
        <f t="array" ref="F265">LEFT(INDEX($F$134:$F$291, MATCH(MIN(IF(ABS($B$134:$B$291-B265)&lt;&gt;0, ABS($B$134:$B$291-B265))), IF(ABS($B$134:$B$291-B265)&lt;&gt;0, ABS($B$134:$B$291-B265)), 0)),5)</f>
        <v>19.89</v>
      </c>
      <c r="G265" s="67" t="str" cm="1">
        <f t="array" ref="G265">LEFT(INDEX($G$134:$G$291, MATCH(MIN(IF(ABS($B$134:$B$291-B265)&lt;&gt;0, ABS($B$134:$B$291-B265))), IF(ABS($B$134:$B$291-B265)&lt;&gt;0, ABS($B$134:$B$291-B265)), 0)),8)</f>
        <v>0.000627</v>
      </c>
      <c r="H265" s="46">
        <f t="shared" si="18"/>
        <v>249.30143540669857</v>
      </c>
      <c r="I265" s="54">
        <f t="shared" si="19"/>
        <v>0.23944888710354087</v>
      </c>
      <c r="J265" s="63" t="str" cm="1">
        <f t="array" ref="J265">LEFT(INDEX($J$134:$J$291, MATCH(MIN(IF(ABS($B$134:$B$291-B265)&lt;&gt;0, ABS($B$134:$B$291-B265))), IF(ABS($B$134:$B$291-B265)&lt;&gt;0, ABS($B$134:$B$291-B265)), 0)),5)</f>
        <v>0.421</v>
      </c>
      <c r="K265" s="76">
        <v>-5.0984999999999996</v>
      </c>
      <c r="L265" s="82">
        <v>990.4</v>
      </c>
      <c r="M265" s="85">
        <v>8.8000000000000005E-3</v>
      </c>
      <c r="N265" s="4">
        <v>-8.6639000000000002E-6</v>
      </c>
      <c r="O265" s="96">
        <v>0.24909999999999999</v>
      </c>
      <c r="P265" s="97">
        <v>0.25979999999999998</v>
      </c>
      <c r="Q265" s="98">
        <v>0.28570000000000001</v>
      </c>
      <c r="R265" s="113" t="str" cm="1">
        <f t="array" ref="R265">LEFT(INDEX($R$134:$R$291, MATCH(MIN(IF(ABS($B$134:$B$291-B265)&lt;&gt;0, ABS($B$134:$B$291-B265))), IF(ABS($B$134:$B$291-B265)&lt;&gt;0, ABS($B$134:$B$291-B265)), 0)),7)</f>
        <v>24.44</v>
      </c>
      <c r="S265" s="119" cm="1">
        <f t="array" ref="S265">INDEX($S$134:$S$291, MATCH(MIN(IF(ABS($B$134:$B$291-B265)&lt;&gt;0, ABS($B$134:$B$291-B265))), IF(ABS($B$134:$B$291-B265)&lt;&gt;0, ABS($B$134:$B$291-B265)), 0))</f>
        <v>-3313.4</v>
      </c>
      <c r="T265" s="126" cm="1">
        <f t="array" ref="T265">INDEX($T$134:$T$291, MATCH(MIN(IF(ABS($B$134:$B$291-B265)&lt;&gt;0, ABS($B$134:$B$291-B265))), IF(ABS($B$134:$B$291-B265)&lt;&gt;0, ABS($B$134:$B$291-B265)), 0))</f>
        <v>-5.3596000000000004</v>
      </c>
      <c r="U265" s="37" cm="1">
        <f t="array" ref="U265">INDEX($U$134:$U$291, MATCH(MIN(IF(ABS($B$134:$B$291-B265)&lt;&gt;0, ABS($B$134:$B$291-B265))), IF(ABS($B$134:$B$291-B265)&lt;&gt;0, ABS($B$134:$B$291-B265)), 0))</f>
        <v>0</v>
      </c>
      <c r="V265" s="133" cm="1">
        <f t="array" ref="V265">INDEX($V$134:$V$291, MATCH(MIN(IF(ABS($B$134:$B$291-B265)&lt;&gt;0, ABS($B$134:$B$291-B265))), IF(ABS($B$134:$B$291-B265)&lt;&gt;0, ABS($B$134:$B$291-B265)), 0))</f>
        <v>0</v>
      </c>
      <c r="W265" s="139">
        <v>219.49199999999999</v>
      </c>
      <c r="X265" s="7">
        <v>0.71975</v>
      </c>
      <c r="Y265" s="8">
        <v>-1.9751999999999999E-3</v>
      </c>
      <c r="Z265" s="33">
        <v>2.8107999999999998E-6</v>
      </c>
      <c r="AA265" s="141">
        <v>0.1663</v>
      </c>
      <c r="AB265" s="9">
        <v>-8.1401000000000002E-5</v>
      </c>
      <c r="AC265" s="10">
        <v>-2.0188999999999999E-7</v>
      </c>
      <c r="AD265" s="146">
        <v>62.637</v>
      </c>
      <c r="AE265" s="147">
        <v>0.38</v>
      </c>
      <c r="AF265" s="150">
        <v>51.908000000000001</v>
      </c>
      <c r="AG265" s="152">
        <v>1.2222</v>
      </c>
    </row>
    <row r="266" spans="1:33" x14ac:dyDescent="0.2">
      <c r="A266" s="27">
        <v>11</v>
      </c>
      <c r="B266" s="69">
        <v>8.7194393587499999</v>
      </c>
      <c r="C266" s="28">
        <f t="shared" si="20"/>
        <v>0.4937951955291911</v>
      </c>
      <c r="D266" s="31">
        <v>156.31200000000001</v>
      </c>
      <c r="E266" s="59">
        <v>629.04</v>
      </c>
      <c r="F266" s="62" t="str" cm="1">
        <f t="array" aca="1" ref="F266" ca="1">LEFT(INDEX($F$134:$F$291, MATCH(MIN(IF(ABS($B$134:$B$291-B266)&lt;&gt;0, ABS($B$134:$B$291-B266))), IF(ABS($B$134:$B$291-B266)&lt;&gt;0, ABS($B$134:$B$291-B266)), 0)),5)</f>
        <v>19.81</v>
      </c>
      <c r="G266" s="67" t="str" cm="1">
        <f t="array" aca="1" ref="G266" ca="1">LEFT(INDEX($G$134:$G$291, MATCH(MIN(IF(ABS($B$134:$B$291-B266)&lt;&gt;0, ABS($B$134:$B$291-B266))), IF(ABS($B$134:$B$291-B266)&lt;&gt;0, ABS($B$134:$B$291-B266)), 0)),8)</f>
        <v>0.000634</v>
      </c>
      <c r="H266" s="46">
        <f t="shared" ca="1" si="18"/>
        <v>246.54889589905366</v>
      </c>
      <c r="I266" s="54">
        <f t="shared" ca="1" si="19"/>
        <v>0.24015158127557953</v>
      </c>
      <c r="J266" s="63" t="str" cm="1">
        <f t="array" aca="1" ref="J266" ca="1">LEFT(INDEX($J$134:$J$291, MATCH(MIN(IF(ABS($B$134:$B$291-B266)&lt;&gt;0, ABS($B$134:$B$291-B266))), IF(ABS($B$134:$B$291-B266)&lt;&gt;0, ABS($B$134:$B$291-B266)), 0)),5)</f>
        <v>0.333</v>
      </c>
      <c r="K266" s="76">
        <v>-4.8116000000000003</v>
      </c>
      <c r="L266" s="82">
        <v>954.09</v>
      </c>
      <c r="M266" s="85">
        <v>8.0999999999999996E-3</v>
      </c>
      <c r="N266" s="4">
        <v>-7.9796999999999992E-6</v>
      </c>
      <c r="O266" s="96">
        <v>0.2487</v>
      </c>
      <c r="P266" s="97">
        <v>0.25929999999999997</v>
      </c>
      <c r="Q266" s="98">
        <v>0.28570000000000001</v>
      </c>
      <c r="R266" s="113" t="str" cm="1">
        <f t="array" ref="R266">LEFT(INDEX($R$134:$R$291, MATCH(MIN(IF(ABS($B$134:$B$291-B266)&lt;&gt;0, ABS($B$134:$B$291-B266))), IF(ABS($B$134:$B$291-B266)&lt;&gt;0, ABS($B$134:$B$291-B266)), 0)),7)</f>
        <v>24.292</v>
      </c>
      <c r="S266" s="119" cm="1">
        <f t="array" ref="S266">INDEX($S$134:$S$291, MATCH(MIN(IF(ABS($B$134:$B$291-B266)&lt;&gt;0, ABS($B$134:$B$291-B266))), IF(ABS($B$134:$B$291-B266)&lt;&gt;0, ABS($B$134:$B$291-B266)), 0))</f>
        <v>-3251.9</v>
      </c>
      <c r="T266" s="126" cm="1">
        <f t="array" ref="T266">INDEX($T$134:$T$291, MATCH(MIN(IF(ABS($B$134:$B$291-B266)&lt;&gt;0, ABS($B$134:$B$291-B266))), IF(ABS($B$134:$B$291-B266)&lt;&gt;0, ABS($B$134:$B$291-B266)), 0))</f>
        <v>-5.3384999999999998</v>
      </c>
      <c r="U266" s="37" cm="1">
        <f t="array" ref="U266">INDEX($U$134:$U$291, MATCH(MIN(IF(ABS($B$134:$B$291-B266)&lt;&gt;0, ABS($B$134:$B$291-B266))), IF(ABS($B$134:$B$291-B266)&lt;&gt;0, ABS($B$134:$B$291-B266)), 0))</f>
        <v>0</v>
      </c>
      <c r="V266" s="133" cm="1">
        <f t="array" ref="V266">INDEX($V$134:$V$291, MATCH(MIN(IF(ABS($B$134:$B$291-B266)&lt;&gt;0, ABS($B$134:$B$291-B266))), IF(ABS($B$134:$B$291-B266)&lt;&gt;0, ABS($B$134:$B$291-B266)), 0))</f>
        <v>0</v>
      </c>
      <c r="W266" s="139">
        <v>207.10300000000001</v>
      </c>
      <c r="X266" s="7">
        <v>0.77927999999999997</v>
      </c>
      <c r="Y266" s="8">
        <v>-2.0896999999999999E-3</v>
      </c>
      <c r="Z266" s="33">
        <v>2.8528999999999998E-6</v>
      </c>
      <c r="AA266" s="141">
        <v>0.16289999999999999</v>
      </c>
      <c r="AB266" s="9">
        <v>-7.2254000000000003E-5</v>
      </c>
      <c r="AC266" s="10">
        <v>-2.0645E-7</v>
      </c>
      <c r="AD266" s="146">
        <v>61.502000000000002</v>
      </c>
      <c r="AE266" s="147">
        <v>0.38</v>
      </c>
      <c r="AF266" s="150">
        <v>51.529000000000003</v>
      </c>
      <c r="AG266" s="152">
        <v>1.2222</v>
      </c>
    </row>
    <row r="267" spans="1:33" x14ac:dyDescent="0.2">
      <c r="A267" s="27">
        <v>11</v>
      </c>
      <c r="B267" s="69">
        <v>8.2720629237499992</v>
      </c>
      <c r="C267" s="28">
        <f t="shared" si="20"/>
        <v>0.46432184304952095</v>
      </c>
      <c r="D267" s="31">
        <v>156.31200000000001</v>
      </c>
      <c r="E267" s="59">
        <v>622.21</v>
      </c>
      <c r="F267" s="43">
        <v>19.809999999999999</v>
      </c>
      <c r="G267" s="40">
        <v>6.3400000000000001E-4</v>
      </c>
      <c r="H267" s="61">
        <f t="shared" ref="H267:H322" si="21">1/LEFT(G267,8)*D267/1000</f>
        <v>246.54889589905366</v>
      </c>
      <c r="I267" s="29">
        <f t="shared" ref="I267:I322" si="22">LEFT(F267,5)*100000/(H267*8.314/(D267/1000)*E267)</f>
        <v>0.2427877255035929</v>
      </c>
      <c r="J267" s="63" t="str" cm="1">
        <f t="array" aca="1" ref="J267" ca="1">LEFT(INDEX($J$134:$J$291, MATCH(MIN(IF(ABS($B$134:$B$291-B267)&lt;&gt;0, ABS($B$134:$B$291-B267))), IF(ABS($B$134:$B$291-B267)&lt;&gt;0, ABS($B$134:$B$291-B267)), 0)),5)</f>
        <v>0.333</v>
      </c>
      <c r="K267" s="76">
        <v>-4.9249999999999998</v>
      </c>
      <c r="L267" s="82">
        <v>960.72</v>
      </c>
      <c r="M267" s="85">
        <v>8.5000000000000006E-3</v>
      </c>
      <c r="N267" s="4">
        <v>-8.4786000000000004E-6</v>
      </c>
      <c r="O267" s="96">
        <v>0.24640000000000001</v>
      </c>
      <c r="P267" s="97">
        <v>0.26800000000000002</v>
      </c>
      <c r="Q267" s="98">
        <v>0.28570000000000001</v>
      </c>
      <c r="R267" s="112">
        <v>52.9709</v>
      </c>
      <c r="S267" s="118">
        <v>-4517.8</v>
      </c>
      <c r="T267" s="125">
        <v>-15.3622</v>
      </c>
      <c r="U267" s="14">
        <v>-3.6264999999999998E-7</v>
      </c>
      <c r="V267" s="30">
        <v>3.6534E-6</v>
      </c>
      <c r="W267" s="139">
        <v>202.34800000000001</v>
      </c>
      <c r="X267" s="7">
        <v>0.84806999999999999</v>
      </c>
      <c r="Y267" s="8">
        <v>-2.2839000000000002E-3</v>
      </c>
      <c r="Z267" s="33">
        <v>3.0437000000000002E-6</v>
      </c>
      <c r="AA267" s="141">
        <v>0.16270000000000001</v>
      </c>
      <c r="AB267" s="9">
        <v>-6.7292000000000006E-5</v>
      </c>
      <c r="AC267" s="10">
        <v>-2.1920999999999999E-7</v>
      </c>
      <c r="AD267" s="146">
        <v>62.143999999999998</v>
      </c>
      <c r="AE267" s="147">
        <v>0.38</v>
      </c>
      <c r="AF267" s="150">
        <v>51.677</v>
      </c>
      <c r="AG267" s="152">
        <v>1.2222</v>
      </c>
    </row>
    <row r="268" spans="1:33" x14ac:dyDescent="0.2">
      <c r="A268" s="27">
        <v>11</v>
      </c>
      <c r="B268" s="69">
        <v>7.8674544024999999</v>
      </c>
      <c r="C268" s="28">
        <f t="shared" si="20"/>
        <v>0.43766605917239454</v>
      </c>
      <c r="D268" s="31">
        <v>156.31200000000001</v>
      </c>
      <c r="E268" s="59">
        <v>618.03</v>
      </c>
      <c r="F268" s="62" t="str" cm="1">
        <f t="array" ref="F268">LEFT(INDEX($F$134:$F$291, MATCH(MIN(IF(ABS($B$134:$B$291-B268)&lt;&gt;0, ABS($B$134:$B$291-B268))), IF(ABS($B$134:$B$291-B268)&lt;&gt;0, ABS($B$134:$B$291-B268)), 0)),5)</f>
        <v>19.81</v>
      </c>
      <c r="G268" s="67" t="str" cm="1">
        <f t="array" ref="G268">LEFT(INDEX($G$134:$G$291, MATCH(MIN(IF(ABS($B$134:$B$291-B268)&lt;&gt;0, ABS($B$134:$B$291-B268))), IF(ABS($B$134:$B$291-B268)&lt;&gt;0, ABS($B$134:$B$291-B268)), 0)),8)</f>
        <v>0.000634</v>
      </c>
      <c r="H268" s="46">
        <f t="shared" si="21"/>
        <v>246.54889589905366</v>
      </c>
      <c r="I268" s="54">
        <f t="shared" si="22"/>
        <v>0.24442980225165534</v>
      </c>
      <c r="J268" s="63" t="str" cm="1">
        <f t="array" aca="1" ref="J268" ca="1">LEFT(INDEX($J$134:$J$291, MATCH(MIN(IF(ABS($B$134:$B$291-B268)&lt;&gt;0, ABS($B$134:$B$291-B268))), IF(ABS($B$134:$B$291-B268)&lt;&gt;0, ABS($B$134:$B$291-B268)), 0)),5)</f>
        <v>0.449</v>
      </c>
      <c r="K268" s="76">
        <v>-4.8385999999999996</v>
      </c>
      <c r="L268" s="82">
        <v>942.42</v>
      </c>
      <c r="M268" s="85">
        <v>8.3000000000000001E-3</v>
      </c>
      <c r="N268" s="4">
        <v>-8.4538000000000003E-6</v>
      </c>
      <c r="O268" s="96">
        <v>0.24640000000000001</v>
      </c>
      <c r="P268" s="97">
        <v>0.26579999999999998</v>
      </c>
      <c r="Q268" s="98">
        <v>0.28570000000000001</v>
      </c>
      <c r="R268" s="113" t="str" cm="1">
        <f t="array" ref="R268">LEFT(INDEX($R$134:$R$291, MATCH(MIN(IF(ABS($B$134:$B$291-B268)&lt;&gt;0, ABS($B$134:$B$291-B268))), IF(ABS($B$134:$B$291-B268)&lt;&gt;0, ABS($B$134:$B$291-B268)), 0)),7)</f>
        <v>24.55</v>
      </c>
      <c r="S268" s="119" cm="1">
        <f t="array" ref="S268">INDEX($S$134:$S$291, MATCH(MIN(IF(ABS($B$134:$B$291-B268)&lt;&gt;0, ABS($B$134:$B$291-B268))), IF(ABS($B$134:$B$291-B268)&lt;&gt;0, ABS($B$134:$B$291-B268)), 0))</f>
        <v>-3298.3</v>
      </c>
      <c r="T268" s="126" cm="1">
        <f t="array" ref="T268">INDEX($T$134:$T$291, MATCH(MIN(IF(ABS($B$134:$B$291-B268)&lt;&gt;0, ABS($B$134:$B$291-B268))), IF(ABS($B$134:$B$291-B268)&lt;&gt;0, ABS($B$134:$B$291-B268)), 0))</f>
        <v>-5.4012000000000002</v>
      </c>
      <c r="U268" s="37" cm="1">
        <f t="array" ref="U268">INDEX($U$134:$U$291, MATCH(MIN(IF(ABS($B$134:$B$291-B268)&lt;&gt;0, ABS($B$134:$B$291-B268))), IF(ABS($B$134:$B$291-B268)&lt;&gt;0, ABS($B$134:$B$291-B268)), 0))</f>
        <v>0</v>
      </c>
      <c r="V268" s="133" cm="1">
        <f t="array" ref="V268">INDEX($V$134:$V$291, MATCH(MIN(IF(ABS($B$134:$B$291-B268)&lt;&gt;0, ABS($B$134:$B$291-B268))), IF(ABS($B$134:$B$291-B268)&lt;&gt;0, ABS($B$134:$B$291-B268)), 0))</f>
        <v>0</v>
      </c>
      <c r="W268" s="139">
        <v>199.41</v>
      </c>
      <c r="X268" s="7">
        <v>0.87051999999999996</v>
      </c>
      <c r="Y268" s="8">
        <v>-2.3611999999999999E-3</v>
      </c>
      <c r="Z268" s="33">
        <v>3.1514E-6</v>
      </c>
      <c r="AA268" s="141">
        <v>0.16259999999999999</v>
      </c>
      <c r="AB268" s="9">
        <v>-6.7516999999999997E-5</v>
      </c>
      <c r="AC268" s="10">
        <v>-2.2226999999999999E-7</v>
      </c>
      <c r="AD268" s="146">
        <v>61.707000000000001</v>
      </c>
      <c r="AE268" s="147">
        <v>0.38</v>
      </c>
      <c r="AF268" s="150">
        <v>51.555</v>
      </c>
      <c r="AG268" s="152">
        <v>1.2222</v>
      </c>
    </row>
    <row r="269" spans="1:33" x14ac:dyDescent="0.2">
      <c r="A269" s="27">
        <v>11</v>
      </c>
      <c r="B269" s="69">
        <v>6.8003835287500003</v>
      </c>
      <c r="C269" s="28">
        <f t="shared" si="20"/>
        <v>0.36736696980971217</v>
      </c>
      <c r="D269" s="31">
        <v>156.31200000000001</v>
      </c>
      <c r="E269" s="59">
        <v>625.29</v>
      </c>
      <c r="F269" s="43">
        <v>19.75</v>
      </c>
      <c r="G269" s="40">
        <v>6.3299999999999999E-4</v>
      </c>
      <c r="H269" s="61">
        <f t="shared" si="21"/>
        <v>246.93838862559244</v>
      </c>
      <c r="I269" s="29">
        <f t="shared" si="22"/>
        <v>0.24048019010494981</v>
      </c>
      <c r="J269" s="63" t="str" cm="1">
        <f t="array" ref="J269">LEFT(INDEX($J$134:$J$291, MATCH(MIN(IF(ABS($B$134:$B$291-B269)&lt;&gt;0, ABS($B$134:$B$291-B269))), IF(ABS($B$134:$B$291-B269)&lt;&gt;0, ABS($B$134:$B$291-B269)), 0)),5)</f>
        <v>0.419</v>
      </c>
      <c r="K269" s="76">
        <v>-5.3181000000000003</v>
      </c>
      <c r="L269" s="82">
        <v>1020.2</v>
      </c>
      <c r="M269" s="85">
        <v>9.4000000000000004E-3</v>
      </c>
      <c r="N269" s="4">
        <v>-9.1826999999999993E-6</v>
      </c>
      <c r="O269" s="96">
        <v>0.2467</v>
      </c>
      <c r="P269" s="97">
        <v>0.26619999999999999</v>
      </c>
      <c r="Q269" s="98">
        <v>0.28570000000000001</v>
      </c>
      <c r="R269" s="113" t="str" cm="1">
        <f t="array" ref="R269">LEFT(INDEX($R$134:$R$291, MATCH(MIN(IF(ABS($B$134:$B$291-B269)&lt;&gt;0, ABS($B$134:$B$291-B269))), IF(ABS($B$134:$B$291-B269)&lt;&gt;0, ABS($B$134:$B$291-B269)), 0)),7)</f>
        <v>24.462</v>
      </c>
      <c r="S269" s="119" cm="1">
        <f t="array" ref="S269">INDEX($S$134:$S$291, MATCH(MIN(IF(ABS($B$134:$B$291-B269)&lt;&gt;0, ABS($B$134:$B$291-B269))), IF(ABS($B$134:$B$291-B269)&lt;&gt;0, ABS($B$134:$B$291-B269)), 0))</f>
        <v>-3305.8</v>
      </c>
      <c r="T269" s="126" cm="1">
        <f t="array" ref="T269">INDEX($T$134:$T$291, MATCH(MIN(IF(ABS($B$134:$B$291-B269)&lt;&gt;0, ABS($B$134:$B$291-B269))), IF(ABS($B$134:$B$291-B269)&lt;&gt;0, ABS($B$134:$B$291-B269)), 0))</f>
        <v>-5.3701999999999996</v>
      </c>
      <c r="U269" s="37" cm="1">
        <f t="array" ref="U269">INDEX($U$134:$U$291, MATCH(MIN(IF(ABS($B$134:$B$291-B269)&lt;&gt;0, ABS($B$134:$B$291-B269))), IF(ABS($B$134:$B$291-B269)&lt;&gt;0, ABS($B$134:$B$291-B269)), 0))</f>
        <v>0</v>
      </c>
      <c r="V269" s="133" cm="1">
        <f t="array" ref="V269">INDEX($V$134:$V$291, MATCH(MIN(IF(ABS($B$134:$B$291-B269)&lt;&gt;0, ABS($B$134:$B$291-B269))), IF(ABS($B$134:$B$291-B269)&lt;&gt;0, ABS($B$134:$B$291-B269)), 0))</f>
        <v>0</v>
      </c>
      <c r="W269" s="139">
        <v>216.989</v>
      </c>
      <c r="X269" s="7">
        <v>0.77171000000000001</v>
      </c>
      <c r="Y269" s="8">
        <v>-2.1099999999999999E-3</v>
      </c>
      <c r="Z269" s="33">
        <v>2.9202999999999998E-6</v>
      </c>
      <c r="AA269" s="141">
        <v>0.16639999999999999</v>
      </c>
      <c r="AB269" s="9">
        <v>-7.6706999999999996E-5</v>
      </c>
      <c r="AC269" s="10">
        <v>-2.1007E-7</v>
      </c>
      <c r="AD269" s="146">
        <v>63.886000000000003</v>
      </c>
      <c r="AE269" s="147">
        <v>0.38</v>
      </c>
      <c r="AF269" s="150">
        <v>52.23</v>
      </c>
      <c r="AG269" s="152">
        <v>1.2222</v>
      </c>
    </row>
    <row r="270" spans="1:33" x14ac:dyDescent="0.2">
      <c r="A270" s="27">
        <v>11</v>
      </c>
      <c r="B270" s="69">
        <v>6.1116571275</v>
      </c>
      <c r="C270" s="28">
        <f t="shared" si="20"/>
        <v>0.32199337746550216</v>
      </c>
      <c r="D270" s="31">
        <v>156.31200000000001</v>
      </c>
      <c r="E270" s="59">
        <v>626.66999999999996</v>
      </c>
      <c r="F270" s="43">
        <v>19.75</v>
      </c>
      <c r="G270" s="40">
        <v>6.3299999999999999E-4</v>
      </c>
      <c r="H270" s="61">
        <f t="shared" si="21"/>
        <v>246.93838862559244</v>
      </c>
      <c r="I270" s="29">
        <f t="shared" si="22"/>
        <v>0.23995062484357649</v>
      </c>
      <c r="J270" s="63" t="str" cm="1">
        <f t="array" ref="J270">LEFT(INDEX($J$134:$J$291, MATCH(MIN(IF(ABS($B$134:$B$291-B270)&lt;&gt;0, ABS($B$134:$B$291-B270))), IF(ABS($B$134:$B$291-B270)&lt;&gt;0, ABS($B$134:$B$291-B270)), 0)),5)</f>
        <v>0.449</v>
      </c>
      <c r="K270" s="76">
        <v>-5.3402000000000003</v>
      </c>
      <c r="L270" s="82">
        <v>1025.4000000000001</v>
      </c>
      <c r="M270" s="85">
        <v>9.4000000000000004E-3</v>
      </c>
      <c r="N270" s="4">
        <v>-9.1779999999999992E-6</v>
      </c>
      <c r="O270" s="96">
        <v>0.2467</v>
      </c>
      <c r="P270" s="97">
        <v>0.26379999999999998</v>
      </c>
      <c r="Q270" s="98">
        <v>0.28570000000000001</v>
      </c>
      <c r="R270" s="113" t="str" cm="1">
        <f t="array" ref="R270">LEFT(INDEX($R$134:$R$291, MATCH(MIN(IF(ABS($B$134:$B$291-B270)&lt;&gt;0, ABS($B$134:$B$291-B270))), IF(ABS($B$134:$B$291-B270)&lt;&gt;0, ABS($B$134:$B$291-B270)), 0)),7)</f>
        <v>24.875</v>
      </c>
      <c r="S270" s="119" cm="1">
        <f t="array" ref="S270">INDEX($S$134:$S$291, MATCH(MIN(IF(ABS($B$134:$B$291-B270)&lt;&gt;0, ABS($B$134:$B$291-B270))), IF(ABS($B$134:$B$291-B270)&lt;&gt;0, ABS($B$134:$B$291-B270)), 0))</f>
        <v>-3345</v>
      </c>
      <c r="T270" s="126" cm="1">
        <f t="array" ref="T270">INDEX($T$134:$T$291, MATCH(MIN(IF(ABS($B$134:$B$291-B270)&lt;&gt;0, ABS($B$134:$B$291-B270))), IF(ABS($B$134:$B$291-B270)&lt;&gt;0, ABS($B$134:$B$291-B270)), 0))</f>
        <v>-5.4844999999999997</v>
      </c>
      <c r="U270" s="37" cm="1">
        <f t="array" ref="U270">INDEX($U$134:$U$291, MATCH(MIN(IF(ABS($B$134:$B$291-B270)&lt;&gt;0, ABS($B$134:$B$291-B270))), IF(ABS($B$134:$B$291-B270)&lt;&gt;0, ABS($B$134:$B$291-B270)), 0))</f>
        <v>0</v>
      </c>
      <c r="V270" s="133" cm="1">
        <f t="array" ref="V270">INDEX($V$134:$V$291, MATCH(MIN(IF(ABS($B$134:$B$291-B270)&lt;&gt;0, ABS($B$134:$B$291-B270))), IF(ABS($B$134:$B$291-B270)&lt;&gt;0, ABS($B$134:$B$291-B270)), 0))</f>
        <v>0</v>
      </c>
      <c r="W270" s="139">
        <v>216.54900000000001</v>
      </c>
      <c r="X270" s="7">
        <v>0.77512999999999999</v>
      </c>
      <c r="Y270" s="8">
        <v>-2.1178E-3</v>
      </c>
      <c r="Z270" s="33">
        <v>2.9280000000000002E-6</v>
      </c>
      <c r="AA270" s="141">
        <v>0.16639999999999999</v>
      </c>
      <c r="AB270" s="9">
        <v>-7.6582000000000006E-5</v>
      </c>
      <c r="AC270" s="10">
        <v>-2.0914999999999999E-7</v>
      </c>
      <c r="AD270" s="146">
        <v>64.034000000000006</v>
      </c>
      <c r="AE270" s="147">
        <v>0.38</v>
      </c>
      <c r="AF270" s="150">
        <v>52.27</v>
      </c>
      <c r="AG270" s="152">
        <v>1.2222</v>
      </c>
    </row>
    <row r="271" spans="1:33" x14ac:dyDescent="0.2">
      <c r="A271" s="27">
        <v>11</v>
      </c>
      <c r="B271" s="69">
        <v>6.1211427199999999</v>
      </c>
      <c r="C271" s="28">
        <f t="shared" si="20"/>
        <v>0.3226182923902926</v>
      </c>
      <c r="D271" s="31">
        <v>156.31200000000001</v>
      </c>
      <c r="E271" s="59">
        <v>621.14</v>
      </c>
      <c r="F271" s="45" t="str" cm="1">
        <f t="array" ref="F271">LEFT(INDEX($F$134:$F$291, MATCH(MIN(IF(ABS($B$134:$B$291-B271)&lt;&gt;0, ABS($B$134:$B$291-B271))), IF(ABS($B$134:$B$291-B271)&lt;&gt;0, ABS($B$134:$B$291-B271)), 0)),5)</f>
        <v>19.75</v>
      </c>
      <c r="G271" s="36" t="str" cm="1">
        <f t="array" ref="G271">LEFT(INDEX($G$134:$G$291, MATCH(MIN(IF(ABS($B$134:$B$291-B271)&lt;&gt;0, ABS($B$134:$B$291-B271))), IF(ABS($B$134:$B$291-B271)&lt;&gt;0, ABS($B$134:$B$291-B271)), 0)),8)</f>
        <v>0.000633</v>
      </c>
      <c r="H271" s="46">
        <f t="shared" si="21"/>
        <v>246.93838862559244</v>
      </c>
      <c r="I271" s="54">
        <f t="shared" si="22"/>
        <v>0.24208690161754848</v>
      </c>
      <c r="J271" s="63" t="str" cm="1">
        <f t="array" ref="J271">LEFT(INDEX($J$134:$J$291, MATCH(MIN(IF(ABS($B$134:$B$291-B271)&lt;&gt;0, ABS($B$134:$B$291-B271))), IF(ABS($B$134:$B$291-B271)&lt;&gt;0, ABS($B$134:$B$291-B271)), 0)),5)</f>
        <v>0.449</v>
      </c>
      <c r="K271" s="76">
        <v>-5.2465999999999999</v>
      </c>
      <c r="L271" s="82">
        <v>1003.8</v>
      </c>
      <c r="M271" s="85">
        <v>9.2999999999999992E-3</v>
      </c>
      <c r="N271" s="4">
        <v>-9.1893000000000003E-6</v>
      </c>
      <c r="O271" s="96">
        <v>0.2467</v>
      </c>
      <c r="P271" s="97">
        <v>0.26329999999999998</v>
      </c>
      <c r="Q271" s="98">
        <v>0.28570000000000001</v>
      </c>
      <c r="R271" s="113" t="str" cm="1">
        <f t="array" ref="R271">LEFT(INDEX($R$134:$R$291, MATCH(MIN(IF(ABS($B$134:$B$291-B271)&lt;&gt;0, ABS($B$134:$B$291-B271))), IF(ABS($B$134:$B$291-B271)&lt;&gt;0, ABS($B$134:$B$291-B271)), 0)),7)</f>
        <v>25.057</v>
      </c>
      <c r="S271" s="119" cm="1">
        <f t="array" ref="S271">INDEX($S$134:$S$291, MATCH(MIN(IF(ABS($B$134:$B$291-B271)&lt;&gt;0, ABS($B$134:$B$291-B271))), IF(ABS($B$134:$B$291-B271)&lt;&gt;0, ABS($B$134:$B$291-B271)), 0))</f>
        <v>-3329.7</v>
      </c>
      <c r="T271" s="126" cm="1">
        <f t="array" ref="T271">INDEX($T$134:$T$291, MATCH(MIN(IF(ABS($B$134:$B$291-B271)&lt;&gt;0, ABS($B$134:$B$291-B271))), IF(ABS($B$134:$B$291-B271)&lt;&gt;0, ABS($B$134:$B$291-B271)), 0))</f>
        <v>-5.5487000000000002</v>
      </c>
      <c r="U271" s="37" cm="1">
        <f t="array" ref="U271">INDEX($U$134:$U$291, MATCH(MIN(IF(ABS($B$134:$B$291-B271)&lt;&gt;0, ABS($B$134:$B$291-B271))), IF(ABS($B$134:$B$291-B271)&lt;&gt;0, ABS($B$134:$B$291-B271)), 0))</f>
        <v>0</v>
      </c>
      <c r="V271" s="133" cm="1">
        <f t="array" ref="V271">INDEX($V$134:$V$291, MATCH(MIN(IF(ABS($B$134:$B$291-B271)&lt;&gt;0, ABS($B$134:$B$291-B271))), IF(ABS($B$134:$B$291-B271)&lt;&gt;0, ABS($B$134:$B$291-B271)), 0))</f>
        <v>0</v>
      </c>
      <c r="W271" s="139">
        <v>214.10400000000001</v>
      </c>
      <c r="X271" s="7">
        <v>0.79339999999999999</v>
      </c>
      <c r="Y271" s="8">
        <v>-2.1863E-3</v>
      </c>
      <c r="Z271" s="33">
        <v>3.0303999999999998E-6</v>
      </c>
      <c r="AA271" s="141">
        <v>0.16639999999999999</v>
      </c>
      <c r="AB271" s="9">
        <v>-7.7082000000000005E-5</v>
      </c>
      <c r="AC271" s="10">
        <v>-2.1288000000000001E-7</v>
      </c>
      <c r="AD271" s="146">
        <v>63.442</v>
      </c>
      <c r="AE271" s="147">
        <v>0.38</v>
      </c>
      <c r="AF271" s="150">
        <v>52.107999999999997</v>
      </c>
      <c r="AG271" s="152">
        <v>1.2222</v>
      </c>
    </row>
    <row r="272" spans="1:33" x14ac:dyDescent="0.2">
      <c r="A272" s="27">
        <v>11</v>
      </c>
      <c r="B272" s="69">
        <v>7.7875120687499999</v>
      </c>
      <c r="C272" s="28">
        <f t="shared" si="20"/>
        <v>0.43239942374788631</v>
      </c>
      <c r="D272" s="31">
        <v>156.31200000000001</v>
      </c>
      <c r="E272" s="59">
        <v>629.16999999999996</v>
      </c>
      <c r="F272" s="45" t="str" cm="1">
        <f t="array" aca="1" ref="F272" ca="1">LEFT(INDEX($F$134:$F$291, MATCH(MIN(IF(ABS($B$134:$B$291-B272)&lt;&gt;0, ABS($B$134:$B$291-B272))), IF(ABS($B$134:$B$291-B272)&lt;&gt;0, ABS($B$134:$B$291-B272)), 0)),5)</f>
        <v>19.75</v>
      </c>
      <c r="G272" s="36" t="str" cm="1">
        <f t="array" aca="1" ref="G272" ca="1">LEFT(INDEX($G$134:$G$291, MATCH(MIN(IF(ABS($B$134:$B$291-B272)&lt;&gt;0, ABS($B$134:$B$291-B272))), IF(ABS($B$134:$B$291-B272)&lt;&gt;0, ABS($B$134:$B$291-B272)), 0)),8)</f>
        <v>6.33E-04</v>
      </c>
      <c r="H272" s="46">
        <f t="shared" ca="1" si="21"/>
        <v>246.93838862559244</v>
      </c>
      <c r="I272" s="54">
        <f t="shared" ca="1" si="22"/>
        <v>0.23899718370348882</v>
      </c>
      <c r="J272" s="63" t="str" cm="1">
        <f t="array" aca="1" ref="J272" ca="1">LEFT(INDEX($J$134:$J$291, MATCH(MIN(IF(ABS($B$134:$B$291-B272)&lt;&gt;0, ABS($B$134:$B$291-B272))), IF(ABS($B$134:$B$291-B272)&lt;&gt;0, ABS($B$134:$B$291-B272)), 0)),5)</f>
        <v>0.333</v>
      </c>
      <c r="K272" s="76">
        <v>-5.0506000000000002</v>
      </c>
      <c r="L272" s="82">
        <v>988.76</v>
      </c>
      <c r="M272" s="85">
        <v>8.6999999999999994E-3</v>
      </c>
      <c r="N272" s="4">
        <v>-8.4909000000000003E-6</v>
      </c>
      <c r="O272" s="96">
        <v>0.24640000000000001</v>
      </c>
      <c r="P272" s="97">
        <v>0.26329999999999998</v>
      </c>
      <c r="Q272" s="98">
        <v>0.28570000000000001</v>
      </c>
      <c r="R272" s="113" t="str" cm="1">
        <f t="array" ref="R272">LEFT(INDEX($R$134:$R$291, MATCH(MIN(IF(ABS($B$134:$B$291-B272)&lt;&gt;0, ABS($B$134:$B$291-B272))), IF(ABS($B$134:$B$291-B272)&lt;&gt;0, ABS($B$134:$B$291-B272)), 0)),7)</f>
        <v>23.783</v>
      </c>
      <c r="S272" s="119" cm="1">
        <f t="array" ref="S272">INDEX($S$134:$S$291, MATCH(MIN(IF(ABS($B$134:$B$291-B272)&lt;&gt;0, ABS($B$134:$B$291-B272))), IF(ABS($B$134:$B$291-B272)&lt;&gt;0, ABS($B$134:$B$291-B272)), 0))</f>
        <v>-3296.7</v>
      </c>
      <c r="T272" s="126" cm="1">
        <f t="array" ref="T272">INDEX($T$134:$T$291, MATCH(MIN(IF(ABS($B$134:$B$291-B272)&lt;&gt;0, ABS($B$134:$B$291-B272))), IF(ABS($B$134:$B$291-B272)&lt;&gt;0, ABS($B$134:$B$291-B272)), 0))</f>
        <v>-5.1589</v>
      </c>
      <c r="U272" s="37" cm="1">
        <f t="array" ref="U272">INDEX($U$134:$U$291, MATCH(MIN(IF(ABS($B$134:$B$291-B272)&lt;&gt;0, ABS($B$134:$B$291-B272))), IF(ABS($B$134:$B$291-B272)&lt;&gt;0, ABS($B$134:$B$291-B272)), 0))</f>
        <v>0</v>
      </c>
      <c r="V272" s="133" cm="1">
        <f t="array" ref="V272">INDEX($V$134:$V$291, MATCH(MIN(IF(ABS($B$134:$B$291-B272)&lt;&gt;0, ABS($B$134:$B$291-B272))), IF(ABS($B$134:$B$291-B272)&lt;&gt;0, ABS($B$134:$B$291-B272)), 0))</f>
        <v>0</v>
      </c>
      <c r="W272" s="139">
        <v>203.38300000000001</v>
      </c>
      <c r="X272" s="7">
        <v>0.83994999999999997</v>
      </c>
      <c r="Y272" s="8">
        <v>-2.2445E-3</v>
      </c>
      <c r="Z272" s="33">
        <v>2.9797999999999998E-6</v>
      </c>
      <c r="AA272" s="141">
        <v>0.1628</v>
      </c>
      <c r="AB272" s="9">
        <v>-6.6913000000000001E-5</v>
      </c>
      <c r="AC272" s="10">
        <v>-2.1425E-7</v>
      </c>
      <c r="AD272" s="146">
        <v>62.872999999999998</v>
      </c>
      <c r="AE272" s="147">
        <v>0.38</v>
      </c>
      <c r="AF272" s="150">
        <v>51.878999999999998</v>
      </c>
      <c r="AG272" s="152">
        <v>1.2222</v>
      </c>
    </row>
    <row r="273" spans="1:33" x14ac:dyDescent="0.2">
      <c r="A273" s="27">
        <v>11</v>
      </c>
      <c r="B273" s="69">
        <v>6.1166795924999997</v>
      </c>
      <c r="C273" s="28">
        <f t="shared" si="20"/>
        <v>0.32232425962576122</v>
      </c>
      <c r="D273" s="31">
        <v>156.31200000000001</v>
      </c>
      <c r="E273" s="59">
        <v>622.52</v>
      </c>
      <c r="F273" s="45" t="str" cm="1">
        <f t="array" ref="F273">LEFT(INDEX($F$134:$F$291, MATCH(MIN(IF(ABS($B$134:$B$291-B273)&lt;&gt;0, ABS($B$134:$B$291-B273))), IF(ABS($B$134:$B$291-B273)&lt;&gt;0, ABS($B$134:$B$291-B273)), 0)),5)</f>
        <v>19.75</v>
      </c>
      <c r="G273" s="36" t="str" cm="1">
        <f t="array" ref="G273">LEFT(INDEX($G$134:$G$291, MATCH(MIN(IF(ABS($B$134:$B$291-B273)&lt;&gt;0, ABS($B$134:$B$291-B273))), IF(ABS($B$134:$B$291-B273)&lt;&gt;0, ABS($B$134:$B$291-B273)), 0)),8)</f>
        <v>0.000633</v>
      </c>
      <c r="H273" s="46">
        <f t="shared" si="21"/>
        <v>246.93838862559244</v>
      </c>
      <c r="I273" s="54">
        <f t="shared" si="22"/>
        <v>0.24155024428247135</v>
      </c>
      <c r="J273" s="63" t="str" cm="1">
        <f t="array" ref="J273">LEFT(INDEX($J$134:$J$291, MATCH(MIN(IF(ABS($B$134:$B$291-B273)&lt;&gt;0, ABS($B$134:$B$291-B273))), IF(ABS($B$134:$B$291-B273)&lt;&gt;0, ABS($B$134:$B$291-B273)), 0)),5)</f>
        <v>0.449</v>
      </c>
      <c r="K273" s="76">
        <v>-5.2713000000000001</v>
      </c>
      <c r="L273" s="82">
        <v>1009.4</v>
      </c>
      <c r="M273" s="85">
        <v>9.2999999999999992E-3</v>
      </c>
      <c r="N273" s="4">
        <v>-9.1884E-6</v>
      </c>
      <c r="O273" s="96">
        <v>0.2467</v>
      </c>
      <c r="P273" s="97">
        <v>0.26340000000000002</v>
      </c>
      <c r="Q273" s="98">
        <v>0.28570000000000001</v>
      </c>
      <c r="R273" s="113" t="str" cm="1">
        <f t="array" ref="R273">LEFT(INDEX($R$134:$R$291, MATCH(MIN(IF(ABS($B$134:$B$291-B273)&lt;&gt;0, ABS($B$134:$B$291-B273))), IF(ABS($B$134:$B$291-B273)&lt;&gt;0, ABS($B$134:$B$291-B273)), 0)),7)</f>
        <v>24.875</v>
      </c>
      <c r="S273" s="119" cm="1">
        <f t="array" ref="S273">INDEX($S$134:$S$291, MATCH(MIN(IF(ABS($B$134:$B$291-B273)&lt;&gt;0, ABS($B$134:$B$291-B273))), IF(ABS($B$134:$B$291-B273)&lt;&gt;0, ABS($B$134:$B$291-B273)), 0))</f>
        <v>-3345</v>
      </c>
      <c r="T273" s="126" cm="1">
        <f t="array" ref="T273">INDEX($T$134:$T$291, MATCH(MIN(IF(ABS($B$134:$B$291-B273)&lt;&gt;0, ABS($B$134:$B$291-B273))), IF(ABS($B$134:$B$291-B273)&lt;&gt;0, ABS($B$134:$B$291-B273)), 0))</f>
        <v>-5.4844999999999997</v>
      </c>
      <c r="U273" s="37" cm="1">
        <f t="array" ref="U273">INDEX($U$134:$U$291, MATCH(MIN(IF(ABS($B$134:$B$291-B273)&lt;&gt;0, ABS($B$134:$B$291-B273))), IF(ABS($B$134:$B$291-B273)&lt;&gt;0, ABS($B$134:$B$291-B273)), 0))</f>
        <v>0</v>
      </c>
      <c r="V273" s="133" cm="1">
        <f t="array" ref="V273">INDEX($V$134:$V$291, MATCH(MIN(IF(ABS($B$134:$B$291-B273)&lt;&gt;0, ABS($B$134:$B$291-B273))), IF(ABS($B$134:$B$291-B273)&lt;&gt;0, ABS($B$134:$B$291-B273)), 0))</f>
        <v>0</v>
      </c>
      <c r="W273" s="139">
        <v>214.72200000000001</v>
      </c>
      <c r="X273" s="7">
        <v>0.78876000000000002</v>
      </c>
      <c r="Y273" s="8">
        <v>-2.1689000000000001E-3</v>
      </c>
      <c r="Z273" s="33">
        <v>3.0043000000000002E-6</v>
      </c>
      <c r="AA273" s="141">
        <v>0.16639999999999999</v>
      </c>
      <c r="AB273" s="9">
        <v>-7.6957000000000002E-5</v>
      </c>
      <c r="AC273" s="10">
        <v>-2.1194E-7</v>
      </c>
      <c r="AD273" s="146">
        <v>63.59</v>
      </c>
      <c r="AE273" s="147">
        <v>0.38</v>
      </c>
      <c r="AF273" s="150">
        <v>52.149000000000001</v>
      </c>
      <c r="AG273" s="152">
        <v>1.2222</v>
      </c>
    </row>
    <row r="274" spans="1:33" x14ac:dyDescent="0.2">
      <c r="A274" s="27">
        <v>11</v>
      </c>
      <c r="B274" s="69">
        <v>6.4174752362499996</v>
      </c>
      <c r="C274" s="28">
        <f t="shared" si="20"/>
        <v>0.34214080636138222</v>
      </c>
      <c r="D274" s="31">
        <v>156.31200000000001</v>
      </c>
      <c r="E274" s="59">
        <v>618.37</v>
      </c>
      <c r="F274" s="43">
        <v>19.75</v>
      </c>
      <c r="G274" s="40">
        <v>6.3299999999999999E-4</v>
      </c>
      <c r="H274" s="61">
        <f t="shared" si="21"/>
        <v>246.93838862559244</v>
      </c>
      <c r="I274" s="29">
        <f t="shared" si="22"/>
        <v>0.243171334428779</v>
      </c>
      <c r="J274" s="63" t="str" cm="1">
        <f t="array" ref="J274">LEFT(INDEX($J$134:$J$291, MATCH(MIN(IF(ABS($B$134:$B$291-B274)&lt;&gt;0, ABS($B$134:$B$291-B274))), IF(ABS($B$134:$B$291-B274)&lt;&gt;0, ABS($B$134:$B$291-B274)), 0)),5)</f>
        <v>0.449</v>
      </c>
      <c r="K274" s="76">
        <v>-5.1944999999999997</v>
      </c>
      <c r="L274" s="82">
        <v>992.21</v>
      </c>
      <c r="M274" s="85">
        <v>9.1999999999999998E-3</v>
      </c>
      <c r="N274" s="4">
        <v>-9.1866999999999996E-6</v>
      </c>
      <c r="O274" s="96">
        <v>0.2467</v>
      </c>
      <c r="P274" s="97">
        <v>0.26569999999999999</v>
      </c>
      <c r="Q274" s="98">
        <v>0.28570000000000001</v>
      </c>
      <c r="R274" s="113" t="str" cm="1">
        <f t="array" ref="R274">LEFT(INDEX($R$134:$R$291, MATCH(MIN(IF(ABS($B$134:$B$291-B274)&lt;&gt;0, ABS($B$134:$B$291-B274))), IF(ABS($B$134:$B$291-B274)&lt;&gt;0, ABS($B$134:$B$291-B274)), 0)),7)</f>
        <v>25.149</v>
      </c>
      <c r="S274" s="119" cm="1">
        <f t="array" ref="S274">INDEX($S$134:$S$291, MATCH(MIN(IF(ABS($B$134:$B$291-B274)&lt;&gt;0, ABS($B$134:$B$291-B274))), IF(ABS($B$134:$B$291-B274)&lt;&gt;0, ABS($B$134:$B$291-B274)), 0))</f>
        <v>-3322.1</v>
      </c>
      <c r="T274" s="126" cm="1">
        <f t="array" ref="T274">INDEX($T$134:$T$291, MATCH(MIN(IF(ABS($B$134:$B$291-B274)&lt;&gt;0, ABS($B$134:$B$291-B274))), IF(ABS($B$134:$B$291-B274)&lt;&gt;0, ABS($B$134:$B$291-B274)), 0))</f>
        <v>-5.5812999999999997</v>
      </c>
      <c r="U274" s="37" cm="1">
        <f t="array" ref="U274">INDEX($U$134:$U$291, MATCH(MIN(IF(ABS($B$134:$B$291-B274)&lt;&gt;0, ABS($B$134:$B$291-B274))), IF(ABS($B$134:$B$291-B274)&lt;&gt;0, ABS($B$134:$B$291-B274)), 0))</f>
        <v>0</v>
      </c>
      <c r="V274" s="133" cm="1">
        <f t="array" ref="V274">INDEX($V$134:$V$291, MATCH(MIN(IF(ABS($B$134:$B$291-B274)&lt;&gt;0, ABS($B$134:$B$291-B274))), IF(ABS($B$134:$B$291-B274)&lt;&gt;0, ABS($B$134:$B$291-B274)), 0))</f>
        <v>0</v>
      </c>
      <c r="W274" s="139">
        <v>213.94300000000001</v>
      </c>
      <c r="X274" s="7">
        <v>0.79451000000000005</v>
      </c>
      <c r="Y274" s="8">
        <v>-2.1957000000000001E-3</v>
      </c>
      <c r="Z274" s="33">
        <v>3.0485000000000001E-6</v>
      </c>
      <c r="AA274" s="141">
        <v>0.1663</v>
      </c>
      <c r="AB274" s="9">
        <v>-7.7333E-5</v>
      </c>
      <c r="AC274" s="10">
        <v>-2.1479000000000001E-7</v>
      </c>
      <c r="AD274" s="146">
        <v>63.146000000000001</v>
      </c>
      <c r="AE274" s="147">
        <v>0.38</v>
      </c>
      <c r="AF274" s="150">
        <v>52.027000000000001</v>
      </c>
      <c r="AG274" s="152">
        <v>1.2222</v>
      </c>
    </row>
    <row r="275" spans="1:33" x14ac:dyDescent="0.2">
      <c r="A275" s="27">
        <v>11</v>
      </c>
      <c r="B275" s="69">
        <v>8.2699169900000005</v>
      </c>
      <c r="C275" s="28">
        <f t="shared" si="20"/>
        <v>0.46418046800858542</v>
      </c>
      <c r="D275" s="31">
        <v>156.31200000000001</v>
      </c>
      <c r="E275" s="59">
        <v>618.03</v>
      </c>
      <c r="F275" s="45" t="str" cm="1">
        <f t="array" ref="F275">LEFT(INDEX($F$134:$F$291, MATCH(MIN(IF(ABS($B$134:$B$291-B275)&lt;&gt;0, ABS($B$134:$B$291-B275))), IF(ABS($B$134:$B$291-B275)&lt;&gt;0, ABS($B$134:$B$291-B275)), 0)),5)</f>
        <v>19.81</v>
      </c>
      <c r="G275" s="36" t="str" cm="1">
        <f t="array" ref="G275">LEFT(INDEX($G$134:$G$291, MATCH(MIN(IF(ABS($B$134:$B$291-B275)&lt;&gt;0, ABS($B$134:$B$291-B275))), IF(ABS($B$134:$B$291-B275)&lt;&gt;0, ABS($B$134:$B$291-B275)), 0)),8)</f>
        <v>0.000634</v>
      </c>
      <c r="H275" s="46">
        <f t="shared" si="21"/>
        <v>246.54889589905366</v>
      </c>
      <c r="I275" s="54">
        <f t="shared" si="22"/>
        <v>0.24442980225165534</v>
      </c>
      <c r="J275" s="63" t="str" cm="1">
        <f t="array" aca="1" ref="J275" ca="1">LEFT(INDEX($J$134:$J$291, MATCH(MIN(IF(ABS($B$134:$B$291-B275)&lt;&gt;0, ABS($B$134:$B$291-B275))), IF(ABS($B$134:$B$291-B275)&lt;&gt;0, ABS($B$134:$B$291-B275)), 0)),5)</f>
        <v>0.333</v>
      </c>
      <c r="K275" s="76">
        <v>-4.8385999999999996</v>
      </c>
      <c r="L275" s="82">
        <v>942.42</v>
      </c>
      <c r="M275" s="85">
        <v>8.3000000000000001E-3</v>
      </c>
      <c r="N275" s="4">
        <v>-8.4538000000000003E-6</v>
      </c>
      <c r="O275" s="96">
        <v>0.24640000000000001</v>
      </c>
      <c r="P275" s="97">
        <v>0.2676</v>
      </c>
      <c r="Q275" s="98">
        <v>0.28570000000000001</v>
      </c>
      <c r="R275" s="113" t="str" cm="1">
        <f t="array" ref="R275">LEFT(INDEX($R$134:$R$291, MATCH(MIN(IF(ABS($B$134:$B$291-B275)&lt;&gt;0, ABS($B$134:$B$291-B275))), IF(ABS($B$134:$B$291-B275)&lt;&gt;0, ABS($B$134:$B$291-B275)), 0)),7)</f>
        <v>52.9709</v>
      </c>
      <c r="S275" s="119" cm="1">
        <f t="array" ref="S275">INDEX($S$134:$S$291, MATCH(MIN(IF(ABS($B$134:$B$291-B275)&lt;&gt;0, ABS($B$134:$B$291-B275))), IF(ABS($B$134:$B$291-B275)&lt;&gt;0, ABS($B$134:$B$291-B275)), 0))</f>
        <v>-4517.8</v>
      </c>
      <c r="T275" s="126" cm="1">
        <f t="array" ref="T275">INDEX($T$134:$T$291, MATCH(MIN(IF(ABS($B$134:$B$291-B275)&lt;&gt;0, ABS($B$134:$B$291-B275))), IF(ABS($B$134:$B$291-B275)&lt;&gt;0, ABS($B$134:$B$291-B275)), 0))</f>
        <v>-15.3622</v>
      </c>
      <c r="U275" s="37" cm="1">
        <f t="array" ref="U275">INDEX($U$134:$U$291, MATCH(MIN(IF(ABS($B$134:$B$291-B275)&lt;&gt;0, ABS($B$134:$B$291-B275))), IF(ABS($B$134:$B$291-B275)&lt;&gt;0, ABS($B$134:$B$291-B275)), 0))</f>
        <v>-3.6264999999999998E-7</v>
      </c>
      <c r="V275" s="133" cm="1">
        <f t="array" ref="V275">INDEX($V$134:$V$291, MATCH(MIN(IF(ABS($B$134:$B$291-B275)&lt;&gt;0, ABS($B$134:$B$291-B275))), IF(ABS($B$134:$B$291-B275)&lt;&gt;0, ABS($B$134:$B$291-B275)), 0))</f>
        <v>3.6534E-6</v>
      </c>
      <c r="W275" s="139">
        <v>200.23400000000001</v>
      </c>
      <c r="X275" s="7">
        <v>0.86429</v>
      </c>
      <c r="Y275" s="8">
        <v>-2.3422999999999999E-3</v>
      </c>
      <c r="Z275" s="33">
        <v>3.1271000000000001E-6</v>
      </c>
      <c r="AA275" s="141">
        <v>0.16259999999999999</v>
      </c>
      <c r="AB275" s="9">
        <v>-6.7516999999999997E-5</v>
      </c>
      <c r="AC275" s="10">
        <v>-2.2226999999999999E-7</v>
      </c>
      <c r="AD275" s="146">
        <v>61.707000000000001</v>
      </c>
      <c r="AE275" s="147">
        <v>0.38</v>
      </c>
      <c r="AF275" s="150">
        <v>51.555</v>
      </c>
      <c r="AG275" s="152">
        <v>1.2222</v>
      </c>
    </row>
    <row r="276" spans="1:33" x14ac:dyDescent="0.2">
      <c r="A276" s="27">
        <v>11</v>
      </c>
      <c r="B276" s="69">
        <v>6.7007523725000002</v>
      </c>
      <c r="C276" s="28">
        <f t="shared" si="20"/>
        <v>0.36080322626762473</v>
      </c>
      <c r="D276" s="31">
        <v>156.31200000000001</v>
      </c>
      <c r="E276" s="47">
        <v>631.95000000000005</v>
      </c>
      <c r="F276" s="45" t="str" cm="1">
        <f t="array" aca="1" ref="F276" ca="1">LEFT(INDEX($F$134:$F$291, MATCH(MIN(IF(ABS($B$134:$B$291-B276)&lt;&gt;0, ABS($B$134:$B$291-B276))), IF(ABS($B$134:$B$291-B276)&lt;&gt;0, ABS($B$134:$B$291-B276)), 0)),5)</f>
        <v>19.81</v>
      </c>
      <c r="G276" s="36" t="str" cm="1">
        <f t="array" aca="1" ref="G276" ca="1">LEFT(INDEX($G$134:$G$291, MATCH(MIN(IF(ABS($B$134:$B$291-B276)&lt;&gt;0, ABS($B$134:$B$291-B276))), IF(ABS($B$134:$B$291-B276)&lt;&gt;0, ABS($B$134:$B$291-B276)), 0)),8)</f>
        <v>6.34E-04</v>
      </c>
      <c r="H276" s="46">
        <f t="shared" ca="1" si="21"/>
        <v>246.54889589905366</v>
      </c>
      <c r="I276" s="54">
        <f t="shared" ca="1" si="22"/>
        <v>0.23904573255097797</v>
      </c>
      <c r="J276" s="63" t="str" cm="1">
        <f t="array" aca="1" ref="J276" ca="1">LEFT(INDEX($J$134:$J$291, MATCH(MIN(IF(ABS($B$134:$B$291-B276)&lt;&gt;0, ABS($B$134:$B$291-B276))), IF(ABS($B$134:$B$291-B276)&lt;&gt;0, ABS($B$134:$B$291-B276)), 0)),5)</f>
        <v>0.333</v>
      </c>
      <c r="K276" s="75">
        <v>-5.0952000000000002</v>
      </c>
      <c r="L276" s="81">
        <v>999.2</v>
      </c>
      <c r="M276" s="13">
        <v>8.6999999999999994E-3</v>
      </c>
      <c r="N276" s="12">
        <v>-8.4870000000000002E-6</v>
      </c>
      <c r="O276" s="93">
        <v>0.24640000000000001</v>
      </c>
      <c r="P276" s="94">
        <v>0.25840000000000002</v>
      </c>
      <c r="Q276" s="95">
        <v>0.28570000000000001</v>
      </c>
      <c r="R276" s="111">
        <v>24.332000000000001</v>
      </c>
      <c r="S276" s="118">
        <v>-3317.2</v>
      </c>
      <c r="T276" s="125">
        <v>-5.3242000000000003</v>
      </c>
      <c r="U276" s="14">
        <v>0</v>
      </c>
      <c r="V276" s="30">
        <v>0</v>
      </c>
      <c r="W276" s="138">
        <v>202.38800000000001</v>
      </c>
      <c r="X276" s="13">
        <v>0.84730000000000005</v>
      </c>
      <c r="Y276" s="14">
        <v>-2.2606000000000002E-3</v>
      </c>
      <c r="Z276" s="30">
        <v>2.9952999999999999E-6</v>
      </c>
      <c r="AA276" s="77">
        <v>0.16289999999999999</v>
      </c>
      <c r="AB276" s="5">
        <v>-6.6761000000000007E-5</v>
      </c>
      <c r="AC276" s="15">
        <v>-2.1232000000000001E-7</v>
      </c>
      <c r="AD276" s="146">
        <v>63.164999999999999</v>
      </c>
      <c r="AE276" s="147">
        <v>0.38</v>
      </c>
      <c r="AF276" s="150">
        <v>51.959000000000003</v>
      </c>
      <c r="AG276" s="152">
        <v>1.2222</v>
      </c>
    </row>
    <row r="277" spans="1:33" x14ac:dyDescent="0.2">
      <c r="A277" s="27">
        <v>11</v>
      </c>
      <c r="B277" s="69">
        <v>5.8140859000000003</v>
      </c>
      <c r="C277" s="28">
        <f t="shared" si="20"/>
        <v>0.30238925666303845</v>
      </c>
      <c r="D277" s="31">
        <v>156.31200000000001</v>
      </c>
      <c r="E277" s="47">
        <v>626.66999999999996</v>
      </c>
      <c r="F277" s="45" t="str" cm="1">
        <f t="array" ref="F277">LEFT(INDEX($F$134:$F$291, MATCH(MIN(IF(ABS($B$134:$B$291-B277)&lt;&gt;0, ABS($B$134:$B$291-B277))), IF(ABS($B$134:$B$291-B277)&lt;&gt;0, ABS($B$134:$B$291-B277)), 0)),5)</f>
        <v>19.75</v>
      </c>
      <c r="G277" s="36" t="str" cm="1">
        <f t="array" ref="G277">LEFT(INDEX($G$134:$G$291, MATCH(MIN(IF(ABS($B$134:$B$291-B277)&lt;&gt;0, ABS($B$134:$B$291-B277))), IF(ABS($B$134:$B$291-B277)&lt;&gt;0, ABS($B$134:$B$291-B277)), 0)),8)</f>
        <v>0.000633</v>
      </c>
      <c r="H277" s="46">
        <f t="shared" si="21"/>
        <v>246.93838862559244</v>
      </c>
      <c r="I277" s="54">
        <f t="shared" si="22"/>
        <v>0.23995062484357649</v>
      </c>
      <c r="J277" s="63" t="str" cm="1">
        <f t="array" ref="J277">LEFT(INDEX($J$134:$J$291, MATCH(MIN(IF(ABS($B$134:$B$291-B277)&lt;&gt;0, ABS($B$134:$B$291-B277))), IF(ABS($B$134:$B$291-B277)&lt;&gt;0, ABS($B$134:$B$291-B277)), 0)),5)</f>
        <v>0.449</v>
      </c>
      <c r="K277" s="75">
        <v>-5.3402000000000003</v>
      </c>
      <c r="L277" s="81">
        <v>1025.4000000000001</v>
      </c>
      <c r="M277" s="13">
        <v>9.4000000000000004E-3</v>
      </c>
      <c r="N277" s="12">
        <v>-9.1779999999999992E-6</v>
      </c>
      <c r="O277" s="93">
        <v>0.2467</v>
      </c>
      <c r="P277" s="94">
        <v>0.2611</v>
      </c>
      <c r="Q277" s="95">
        <v>0.28570000000000001</v>
      </c>
      <c r="R277" s="111">
        <v>24.698</v>
      </c>
      <c r="S277" s="118">
        <v>-3360.3</v>
      </c>
      <c r="T277" s="125">
        <v>-5.4218000000000002</v>
      </c>
      <c r="U277" s="14">
        <v>0</v>
      </c>
      <c r="V277" s="30">
        <v>0</v>
      </c>
      <c r="W277" s="138">
        <v>215.46299999999999</v>
      </c>
      <c r="X277" s="13">
        <v>0.78335999999999995</v>
      </c>
      <c r="Y277" s="14">
        <v>-2.1434000000000002E-3</v>
      </c>
      <c r="Z277" s="30">
        <v>2.9621E-6</v>
      </c>
      <c r="AA277" s="77">
        <v>0.16639999999999999</v>
      </c>
      <c r="AB277" s="5">
        <v>-7.6582000000000006E-5</v>
      </c>
      <c r="AC277" s="15">
        <v>-2.0914999999999999E-7</v>
      </c>
      <c r="AD277" s="146">
        <v>64.034000000000006</v>
      </c>
      <c r="AE277" s="147">
        <v>0.38</v>
      </c>
      <c r="AF277" s="150">
        <v>52.27</v>
      </c>
      <c r="AG277" s="152">
        <v>1.2222</v>
      </c>
    </row>
    <row r="278" spans="1:33" x14ac:dyDescent="0.2">
      <c r="A278" s="27">
        <v>11</v>
      </c>
      <c r="B278" s="69">
        <v>7.3845426962499996</v>
      </c>
      <c r="C278" s="28">
        <f t="shared" si="20"/>
        <v>0.40585162769733224</v>
      </c>
      <c r="D278" s="31">
        <v>156.31200000000001</v>
      </c>
      <c r="E278" s="47">
        <v>633.34</v>
      </c>
      <c r="F278" s="45" t="str" cm="1">
        <f t="array" ref="F278">LEFT(INDEX($F$134:$F$291, MATCH(MIN(IF(ABS($B$134:$B$291-B278)&lt;&gt;0, ABS($B$134:$B$291-B278))), IF(ABS($B$134:$B$291-B278)&lt;&gt;0, ABS($B$134:$B$291-B278)), 0)),5)</f>
        <v>19.89</v>
      </c>
      <c r="G278" s="36" t="str" cm="1">
        <f t="array" ref="G278">LEFT(INDEX($G$134:$G$291, MATCH(MIN(IF(ABS($B$134:$B$291-B278)&lt;&gt;0, ABS($B$134:$B$291-B278))), IF(ABS($B$134:$B$291-B278)&lt;&gt;0, ABS($B$134:$B$291-B278)), 0)),8)</f>
        <v>0.000627</v>
      </c>
      <c r="H278" s="46">
        <f t="shared" si="21"/>
        <v>249.30143540669857</v>
      </c>
      <c r="I278" s="54">
        <f t="shared" si="22"/>
        <v>0.23684018195146708</v>
      </c>
      <c r="J278" s="63" t="str" cm="1">
        <f t="array" ref="J278">LEFT(INDEX($J$134:$J$291, MATCH(MIN(IF(ABS($B$134:$B$291-B278)&lt;&gt;0, ABS($B$134:$B$291-B278))), IF(ABS($B$134:$B$291-B278)&lt;&gt;0, ABS($B$134:$B$291-B278)), 0)),5)</f>
        <v>0.421</v>
      </c>
      <c r="K278" s="75">
        <v>-5.1162999999999998</v>
      </c>
      <c r="L278" s="81">
        <v>1004.3</v>
      </c>
      <c r="M278" s="13">
        <v>8.6999999999999994E-3</v>
      </c>
      <c r="N278" s="12">
        <v>-8.4834000000000008E-6</v>
      </c>
      <c r="O278" s="93">
        <v>0.24640000000000001</v>
      </c>
      <c r="P278" s="94">
        <v>0.2611</v>
      </c>
      <c r="Q278" s="95">
        <v>0.28570000000000001</v>
      </c>
      <c r="R278" s="111">
        <v>24.29</v>
      </c>
      <c r="S278" s="118">
        <v>-3320.9</v>
      </c>
      <c r="T278" s="125">
        <v>-5.3090999999999999</v>
      </c>
      <c r="U278" s="14">
        <v>0</v>
      </c>
      <c r="V278" s="30">
        <v>0</v>
      </c>
      <c r="W278" s="138">
        <v>204.256</v>
      </c>
      <c r="X278" s="13">
        <v>0.83328000000000002</v>
      </c>
      <c r="Y278" s="14">
        <v>-2.2157000000000001E-3</v>
      </c>
      <c r="Z278" s="30">
        <v>2.9351999999999999E-6</v>
      </c>
      <c r="AA278" s="77">
        <v>0.16289999999999999</v>
      </c>
      <c r="AB278" s="5">
        <v>-6.6684000000000001E-5</v>
      </c>
      <c r="AC278" s="15">
        <v>-2.1136000000000001E-7</v>
      </c>
      <c r="AD278" s="146">
        <v>63.311</v>
      </c>
      <c r="AE278" s="147">
        <v>0.38</v>
      </c>
      <c r="AF278" s="150">
        <v>51.999000000000002</v>
      </c>
      <c r="AG278" s="152">
        <v>1.2222</v>
      </c>
    </row>
    <row r="279" spans="1:33" x14ac:dyDescent="0.2">
      <c r="A279" s="27">
        <v>11</v>
      </c>
      <c r="B279" s="69">
        <v>8.2737285024999991</v>
      </c>
      <c r="C279" s="28">
        <f t="shared" si="20"/>
        <v>0.46443157209589192</v>
      </c>
      <c r="D279" s="31">
        <v>156.31200000000001</v>
      </c>
      <c r="E279" s="47">
        <v>618.73</v>
      </c>
      <c r="F279" s="45" t="str" cm="1">
        <f t="array" ref="F279">LEFT(INDEX($F$134:$F$291, MATCH(MIN(IF(ABS($B$134:$B$291-B279)&lt;&gt;0, ABS($B$134:$B$291-B279))), IF(ABS($B$134:$B$291-B279)&lt;&gt;0, ABS($B$134:$B$291-B279)), 0)),5)</f>
        <v>19.81</v>
      </c>
      <c r="G279" s="36" t="str" cm="1">
        <f t="array" ref="G279">LEFT(INDEX($G$134:$G$291, MATCH(MIN(IF(ABS($B$134:$B$291-B279)&lt;&gt;0, ABS($B$134:$B$291-B279))), IF(ABS($B$134:$B$291-B279)&lt;&gt;0, ABS($B$134:$B$291-B279)), 0)),8)</f>
        <v>0.000634</v>
      </c>
      <c r="H279" s="46">
        <f t="shared" si="21"/>
        <v>246.54889589905366</v>
      </c>
      <c r="I279" s="54">
        <f t="shared" si="22"/>
        <v>0.24415326666815984</v>
      </c>
      <c r="J279" s="63" t="str" cm="1">
        <f t="array" aca="1" ref="J279" ca="1">LEFT(INDEX($J$134:$J$291, MATCH(MIN(IF(ABS($B$134:$B$291-B279)&lt;&gt;0, ABS($B$134:$B$291-B279))), IF(ABS($B$134:$B$291-B279)&lt;&gt;0, ABS($B$134:$B$291-B279)), 0)),5)</f>
        <v>0.333</v>
      </c>
      <c r="K279" s="75">
        <v>-4.8536999999999999</v>
      </c>
      <c r="L279" s="81">
        <v>945.55</v>
      </c>
      <c r="M279" s="13">
        <v>8.3999999999999995E-3</v>
      </c>
      <c r="N279" s="12">
        <v>-8.4588999999999996E-6</v>
      </c>
      <c r="O279" s="93">
        <v>0.24640000000000001</v>
      </c>
      <c r="P279" s="94">
        <v>0.26769999999999999</v>
      </c>
      <c r="Q279" s="95">
        <v>0.28570000000000001</v>
      </c>
      <c r="R279" s="111">
        <v>24.751999999999999</v>
      </c>
      <c r="S279" s="118">
        <v>-3281.4</v>
      </c>
      <c r="T279" s="125">
        <v>-5.4724000000000004</v>
      </c>
      <c r="U279" s="14">
        <v>0</v>
      </c>
      <c r="V279" s="30">
        <v>0</v>
      </c>
      <c r="W279" s="138">
        <v>200.607</v>
      </c>
      <c r="X279" s="13">
        <v>0.86143000000000003</v>
      </c>
      <c r="Y279" s="14">
        <v>-2.3319999999999999E-3</v>
      </c>
      <c r="Z279" s="30">
        <v>3.1124000000000001E-6</v>
      </c>
      <c r="AA279" s="77">
        <v>0.16259999999999999</v>
      </c>
      <c r="AB279" s="5">
        <v>-6.7478999999999995E-5</v>
      </c>
      <c r="AC279" s="15">
        <v>-2.2176E-7</v>
      </c>
      <c r="AD279" s="146">
        <v>61.78</v>
      </c>
      <c r="AE279" s="147">
        <v>0.38</v>
      </c>
      <c r="AF279" s="150">
        <v>51.576000000000001</v>
      </c>
      <c r="AG279" s="152">
        <v>1.2222</v>
      </c>
    </row>
    <row r="280" spans="1:33" x14ac:dyDescent="0.2">
      <c r="A280" s="27">
        <v>11</v>
      </c>
      <c r="B280" s="69">
        <v>6.7010102500000004</v>
      </c>
      <c r="C280" s="28">
        <f t="shared" si="20"/>
        <v>0.36082021534854058</v>
      </c>
      <c r="D280" s="31">
        <v>156.31200000000001</v>
      </c>
      <c r="E280" s="47">
        <v>633.34</v>
      </c>
      <c r="F280" s="45" t="str" cm="1">
        <f t="array" aca="1" ref="F280" ca="1">LEFT(INDEX($F$134:$F$291, MATCH(MIN(IF(ABS($B$134:$B$291-B280)&lt;&gt;0, ABS($B$134:$B$291-B280))), IF(ABS($B$134:$B$291-B280)&lt;&gt;0, ABS($B$134:$B$291-B280)), 0)),5)</f>
        <v>19.81</v>
      </c>
      <c r="G280" s="36" t="str" cm="1">
        <f t="array" aca="1" ref="G280" ca="1">LEFT(INDEX($G$134:$G$291, MATCH(MIN(IF(ABS($B$134:$B$291-B280)&lt;&gt;0, ABS($B$134:$B$291-B280))), IF(ABS($B$134:$B$291-B280)&lt;&gt;0, ABS($B$134:$B$291-B280)), 0)),8)</f>
        <v>6.34E-04</v>
      </c>
      <c r="H280" s="46">
        <f t="shared" ca="1" si="21"/>
        <v>246.54889589905366</v>
      </c>
      <c r="I280" s="54">
        <f t="shared" ca="1" si="22"/>
        <v>0.23852109559729456</v>
      </c>
      <c r="J280" s="63" t="str" cm="1">
        <f t="array" aca="1" ref="J280" ca="1">LEFT(INDEX($J$134:$J$291, MATCH(MIN(IF(ABS($B$134:$B$291-B280)&lt;&gt;0, ABS($B$134:$B$291-B280))), IF(ABS($B$134:$B$291-B280)&lt;&gt;0, ABS($B$134:$B$291-B280)), 0)),5)</f>
        <v>0.333</v>
      </c>
      <c r="K280" s="75">
        <v>-5.1162999999999998</v>
      </c>
      <c r="L280" s="81">
        <v>1004.3</v>
      </c>
      <c r="M280" s="13">
        <v>8.6999999999999994E-3</v>
      </c>
      <c r="N280" s="12">
        <v>-8.4834000000000008E-6</v>
      </c>
      <c r="O280" s="93">
        <v>0.24640000000000001</v>
      </c>
      <c r="P280" s="94">
        <v>0.25850000000000001</v>
      </c>
      <c r="Q280" s="95">
        <v>0.28570000000000001</v>
      </c>
      <c r="R280" s="111">
        <v>24.29</v>
      </c>
      <c r="S280" s="118">
        <v>-3320.9</v>
      </c>
      <c r="T280" s="125">
        <v>-5.3090999999999999</v>
      </c>
      <c r="U280" s="14">
        <v>0</v>
      </c>
      <c r="V280" s="30">
        <v>0</v>
      </c>
      <c r="W280" s="138">
        <v>203.06100000000001</v>
      </c>
      <c r="X280" s="13">
        <v>0.84221999999999997</v>
      </c>
      <c r="Y280" s="14">
        <v>-2.2423999999999999E-3</v>
      </c>
      <c r="Z280" s="30">
        <v>2.9693999999999999E-6</v>
      </c>
      <c r="AA280" s="77">
        <v>0.16289999999999999</v>
      </c>
      <c r="AB280" s="5">
        <v>-6.6684000000000001E-5</v>
      </c>
      <c r="AC280" s="15">
        <v>-2.1136000000000001E-7</v>
      </c>
      <c r="AD280" s="146">
        <v>63.311</v>
      </c>
      <c r="AE280" s="147">
        <v>0.38</v>
      </c>
      <c r="AF280" s="150">
        <v>51.999000000000002</v>
      </c>
      <c r="AG280" s="152">
        <v>1.2222</v>
      </c>
    </row>
    <row r="281" spans="1:33" x14ac:dyDescent="0.2">
      <c r="A281" s="27">
        <v>11</v>
      </c>
      <c r="B281" s="69">
        <v>8.9561732200000002</v>
      </c>
      <c r="C281" s="28">
        <f t="shared" si="20"/>
        <v>0.50939132440552437</v>
      </c>
      <c r="D281" s="31">
        <v>156.31200000000001</v>
      </c>
      <c r="E281" s="47">
        <v>616.64</v>
      </c>
      <c r="F281" s="45" t="str" cm="1">
        <f t="array" ref="F281">LEFT(INDEX($F$134:$F$291, MATCH(MIN(IF(ABS($B$134:$B$291-B281)&lt;&gt;0, ABS($B$134:$B$291-B281))), IF(ABS($B$134:$B$291-B281)&lt;&gt;0, ABS($B$134:$B$291-B281)), 0)),5)</f>
        <v>19.95</v>
      </c>
      <c r="G281" s="36" t="str" cm="1">
        <f t="array" ref="G281">LEFT(INDEX($G$134:$G$291, MATCH(MIN(IF(ABS($B$134:$B$291-B281)&lt;&gt;0, ABS($B$134:$B$291-B281))), IF(ABS($B$134:$B$291-B281)&lt;&gt;0, ABS($B$134:$B$291-B281)), 0)),8)</f>
        <v>0.000628</v>
      </c>
      <c r="H281" s="46">
        <f t="shared" si="21"/>
        <v>248.90445859872614</v>
      </c>
      <c r="I281" s="54">
        <f t="shared" si="22"/>
        <v>0.24437728222782512</v>
      </c>
      <c r="J281" s="63" t="str" cm="1">
        <f t="array" ref="J281">LEFT(INDEX($J$134:$J$291, MATCH(MIN(IF(ABS($B$134:$B$291-B281)&lt;&gt;0, ABS($B$134:$B$291-B281))), IF(ABS($B$134:$B$291-B281)&lt;&gt;0, ABS($B$134:$B$291-B281)), 0)),5)</f>
        <v>0.391</v>
      </c>
      <c r="K281" s="75">
        <v>-4.8078000000000003</v>
      </c>
      <c r="L281" s="81">
        <v>936.04</v>
      </c>
      <c r="M281" s="13">
        <v>8.3000000000000001E-3</v>
      </c>
      <c r="N281" s="12">
        <v>-8.4422000000000002E-6</v>
      </c>
      <c r="O281" s="93">
        <v>0.24640000000000001</v>
      </c>
      <c r="P281" s="94">
        <v>0.26979999999999998</v>
      </c>
      <c r="Q281" s="95">
        <v>0.28570000000000001</v>
      </c>
      <c r="R281" s="111">
        <v>24.82</v>
      </c>
      <c r="S281" s="118">
        <v>-3275.8</v>
      </c>
      <c r="T281" s="125">
        <v>-5.4965999999999999</v>
      </c>
      <c r="U281" s="14">
        <v>0</v>
      </c>
      <c r="V281" s="30">
        <v>0</v>
      </c>
      <c r="W281" s="138">
        <v>200.59899999999999</v>
      </c>
      <c r="X281" s="13">
        <v>0.86165000000000003</v>
      </c>
      <c r="Y281" s="14">
        <v>-2.3373999999999999E-3</v>
      </c>
      <c r="Z281" s="30">
        <v>3.1234999999999998E-6</v>
      </c>
      <c r="AA281" s="77">
        <v>0.16259999999999999</v>
      </c>
      <c r="AB281" s="5">
        <v>-6.7590999999999997E-5</v>
      </c>
      <c r="AC281" s="15">
        <v>-2.2331000000000001E-7</v>
      </c>
      <c r="AD281" s="146">
        <v>61.561999999999998</v>
      </c>
      <c r="AE281" s="147">
        <v>0.38</v>
      </c>
      <c r="AF281" s="150">
        <v>51.515000000000001</v>
      </c>
      <c r="AG281" s="152">
        <v>1.2222</v>
      </c>
    </row>
    <row r="282" spans="1:33" x14ac:dyDescent="0.2">
      <c r="A282" s="27">
        <v>11</v>
      </c>
      <c r="B282" s="69">
        <v>6.6933753850000004</v>
      </c>
      <c r="C282" s="28">
        <f t="shared" si="20"/>
        <v>0.36031722714962106</v>
      </c>
      <c r="D282" s="31">
        <v>156.31200000000001</v>
      </c>
      <c r="E282" s="47">
        <v>630.55999999999995</v>
      </c>
      <c r="F282" s="45" t="str" cm="1">
        <f t="array" aca="1" ref="F282" ca="1">LEFT(INDEX($F$134:$F$291, MATCH(MIN(IF(ABS($B$134:$B$291-B282)&lt;&gt;0, ABS($B$134:$B$291-B282))), IF(ABS($B$134:$B$291-B282)&lt;&gt;0, ABS($B$134:$B$291-B282)), 0)),5)</f>
        <v>19.81</v>
      </c>
      <c r="G282" s="36" t="str" cm="1">
        <f t="array" aca="1" ref="G282" ca="1">LEFT(INDEX($G$134:$G$291, MATCH(MIN(IF(ABS($B$134:$B$291-B282)&lt;&gt;0, ABS($B$134:$B$291-B282))), IF(ABS($B$134:$B$291-B282)&lt;&gt;0, ABS($B$134:$B$291-B282)), 0)),8)</f>
        <v>6.34E-04</v>
      </c>
      <c r="H282" s="46">
        <f t="shared" ca="1" si="21"/>
        <v>246.54889589905366</v>
      </c>
      <c r="I282" s="54">
        <f t="shared" ca="1" si="22"/>
        <v>0.23957268251330649</v>
      </c>
      <c r="J282" s="63" t="str" cm="1">
        <f t="array" aca="1" ref="J282" ca="1">LEFT(INDEX($J$134:$J$291, MATCH(MIN(IF(ABS($B$134:$B$291-B282)&lt;&gt;0, ABS($B$134:$B$291-B282))), IF(ABS($B$134:$B$291-B282)&lt;&gt;0, ABS($B$134:$B$291-B282)), 0)),5)</f>
        <v>0.333</v>
      </c>
      <c r="K282" s="75">
        <v>-5.0732999999999997</v>
      </c>
      <c r="L282" s="81">
        <v>994.03</v>
      </c>
      <c r="M282" s="13">
        <v>8.6999999999999994E-3</v>
      </c>
      <c r="N282" s="12">
        <v>-8.4896000000000008E-6</v>
      </c>
      <c r="O282" s="93">
        <v>0.24640000000000001</v>
      </c>
      <c r="P282" s="94">
        <v>0.25829999999999997</v>
      </c>
      <c r="Q282" s="95">
        <v>0.28570000000000001</v>
      </c>
      <c r="R282" s="111">
        <v>24.376000000000001</v>
      </c>
      <c r="S282" s="118">
        <v>-3313.4</v>
      </c>
      <c r="T282" s="125">
        <v>-5.3395000000000001</v>
      </c>
      <c r="U282" s="14">
        <v>0</v>
      </c>
      <c r="V282" s="30">
        <v>0</v>
      </c>
      <c r="W282" s="138">
        <v>201.72900000000001</v>
      </c>
      <c r="X282" s="13">
        <v>0.85229999999999995</v>
      </c>
      <c r="Y282" s="14">
        <v>-2.2786E-3</v>
      </c>
      <c r="Z282" s="30">
        <v>3.0209000000000002E-6</v>
      </c>
      <c r="AA282" s="77">
        <v>0.16289999999999999</v>
      </c>
      <c r="AB282" s="5">
        <v>-6.6836999999999997E-5</v>
      </c>
      <c r="AC282" s="15">
        <v>-2.1327999999999999E-7</v>
      </c>
      <c r="AD282" s="146">
        <v>63.018999999999998</v>
      </c>
      <c r="AE282" s="147">
        <v>0.38</v>
      </c>
      <c r="AF282" s="150">
        <v>51.918999999999997</v>
      </c>
      <c r="AG282" s="152">
        <v>1.2222</v>
      </c>
    </row>
    <row r="283" spans="1:33" x14ac:dyDescent="0.2">
      <c r="A283" s="27">
        <v>11</v>
      </c>
      <c r="B283" s="69">
        <v>7.1827388675000003</v>
      </c>
      <c r="C283" s="28">
        <f t="shared" si="20"/>
        <v>0.3925567044265173</v>
      </c>
      <c r="D283" s="31">
        <v>156.31200000000001</v>
      </c>
      <c r="E283" s="47">
        <v>616.64</v>
      </c>
      <c r="F283" s="45" t="str" cm="1">
        <f t="array" aca="1" ref="F283" ca="1">LEFT(INDEX($F$134:$F$291, MATCH(MIN(IF(ABS($B$134:$B$291-B283)&lt;&gt;0, ABS($B$134:$B$291-B283))), IF(ABS($B$134:$B$291-B283)&lt;&gt;0, ABS($B$134:$B$291-B283)), 0)),5)</f>
        <v>19.81</v>
      </c>
      <c r="G283" s="36" t="str" cm="1">
        <f t="array" aca="1" ref="G283" ca="1">LEFT(INDEX($G$134:$G$291, MATCH(MIN(IF(ABS($B$134:$B$291-B283)&lt;&gt;0, ABS($B$134:$B$291-B283))), IF(ABS($B$134:$B$291-B283)&lt;&gt;0, ABS($B$134:$B$291-B283)), 0)),8)</f>
        <v>6.34E-04</v>
      </c>
      <c r="H283" s="46">
        <f t="shared" ca="1" si="21"/>
        <v>246.54889589905366</v>
      </c>
      <c r="I283" s="54">
        <f t="shared" ca="1" si="22"/>
        <v>0.24498078406459284</v>
      </c>
      <c r="J283" s="63" t="str" cm="1">
        <f t="array" aca="1" ref="J283" ca="1">LEFT(INDEX($J$134:$J$291, MATCH(MIN(IF(ABS($B$134:$B$291-B283)&lt;&gt;0, ABS($B$134:$B$291-B283))), IF(ABS($B$134:$B$291-B283)&lt;&gt;0, ABS($B$134:$B$291-B283)), 0)),5)</f>
        <v>0.333</v>
      </c>
      <c r="K283" s="75">
        <v>-4.8078000000000003</v>
      </c>
      <c r="L283" s="81">
        <v>936.04</v>
      </c>
      <c r="M283" s="13">
        <v>8.3000000000000001E-3</v>
      </c>
      <c r="N283" s="12">
        <v>-8.4422000000000002E-6</v>
      </c>
      <c r="O283" s="93">
        <v>0.24640000000000001</v>
      </c>
      <c r="P283" s="94">
        <v>0.26200000000000001</v>
      </c>
      <c r="Q283" s="95">
        <v>0.28570000000000001</v>
      </c>
      <c r="R283" s="111">
        <v>24.82</v>
      </c>
      <c r="S283" s="118">
        <v>-3275.8</v>
      </c>
      <c r="T283" s="125">
        <v>-5.4965999999999999</v>
      </c>
      <c r="U283" s="14">
        <v>0</v>
      </c>
      <c r="V283" s="30">
        <v>0</v>
      </c>
      <c r="W283" s="138">
        <v>197.006</v>
      </c>
      <c r="X283" s="13">
        <v>0.88885000000000003</v>
      </c>
      <c r="Y283" s="14">
        <v>-2.4201000000000001E-3</v>
      </c>
      <c r="Z283" s="30">
        <v>3.2302E-6</v>
      </c>
      <c r="AA283" s="77">
        <v>0.16259999999999999</v>
      </c>
      <c r="AB283" s="5">
        <v>-6.7590999999999997E-5</v>
      </c>
      <c r="AC283" s="15">
        <v>-2.2331000000000001E-7</v>
      </c>
      <c r="AD283" s="146">
        <v>61.561999999999998</v>
      </c>
      <c r="AE283" s="147">
        <v>0.38</v>
      </c>
      <c r="AF283" s="150">
        <v>51.515000000000001</v>
      </c>
      <c r="AG283" s="152">
        <v>1.2222</v>
      </c>
    </row>
    <row r="284" spans="1:33" x14ac:dyDescent="0.2">
      <c r="A284" s="27">
        <v>11</v>
      </c>
      <c r="B284" s="69">
        <v>5.4318513499999996</v>
      </c>
      <c r="C284" s="28">
        <f t="shared" si="20"/>
        <v>0.2772074796611762</v>
      </c>
      <c r="D284" s="31">
        <v>156.31200000000001</v>
      </c>
      <c r="E284" s="47">
        <v>625.29</v>
      </c>
      <c r="F284" s="45" t="str" cm="1">
        <f t="array" ref="F284">LEFT(INDEX($F$134:$F$291, MATCH(MIN(IF(ABS($B$134:$B$291-B284)&lt;&gt;0, ABS($B$134:$B$291-B284))), IF(ABS($B$134:$B$291-B284)&lt;&gt;0, ABS($B$134:$B$291-B284)), 0)),5)</f>
        <v>19.75</v>
      </c>
      <c r="G284" s="36" t="str" cm="1">
        <f t="array" ref="G284">LEFT(INDEX($G$134:$G$291, MATCH(MIN(IF(ABS($B$134:$B$291-B284)&lt;&gt;0, ABS($B$134:$B$291-B284))), IF(ABS($B$134:$B$291-B284)&lt;&gt;0, ABS($B$134:$B$291-B284)), 0)),8)</f>
        <v>0.000633</v>
      </c>
      <c r="H284" s="46">
        <f t="shared" si="21"/>
        <v>246.93838862559244</v>
      </c>
      <c r="I284" s="54">
        <f t="shared" si="22"/>
        <v>0.24048019010494981</v>
      </c>
      <c r="J284" s="63" t="str" cm="1">
        <f t="array" ref="J284">LEFT(INDEX($J$134:$J$291, MATCH(MIN(IF(ABS($B$134:$B$291-B284)&lt;&gt;0, ABS($B$134:$B$291-B284))), IF(ABS($B$134:$B$291-B284)&lt;&gt;0, ABS($B$134:$B$291-B284)), 0)),5)</f>
        <v>0.449</v>
      </c>
      <c r="K284" s="75">
        <v>-5.3181000000000003</v>
      </c>
      <c r="L284" s="81">
        <v>1020.2</v>
      </c>
      <c r="M284" s="13">
        <v>9.4000000000000004E-3</v>
      </c>
      <c r="N284" s="12">
        <v>-9.1826999999999993E-6</v>
      </c>
      <c r="O284" s="93">
        <v>0.2467</v>
      </c>
      <c r="P284" s="94">
        <v>0.2611</v>
      </c>
      <c r="Q284" s="95">
        <v>0.28570000000000001</v>
      </c>
      <c r="R284" s="111">
        <v>24.742000000000001</v>
      </c>
      <c r="S284" s="118">
        <v>-3356.5</v>
      </c>
      <c r="T284" s="125">
        <v>-5.4374000000000002</v>
      </c>
      <c r="U284" s="14">
        <v>0</v>
      </c>
      <c r="V284" s="30">
        <v>0</v>
      </c>
      <c r="W284" s="138">
        <v>214.87100000000001</v>
      </c>
      <c r="X284" s="13">
        <v>0.78778000000000004</v>
      </c>
      <c r="Y284" s="14">
        <v>-2.16E-3</v>
      </c>
      <c r="Z284" s="30">
        <v>2.9869999999999999E-6</v>
      </c>
      <c r="AA284" s="77">
        <v>0.16639999999999999</v>
      </c>
      <c r="AB284" s="5">
        <v>-7.6706999999999996E-5</v>
      </c>
      <c r="AC284" s="15">
        <v>-2.1007E-7</v>
      </c>
      <c r="AD284" s="146">
        <v>63.886000000000003</v>
      </c>
      <c r="AE284" s="147">
        <v>0.38</v>
      </c>
      <c r="AF284" s="150">
        <v>52.23</v>
      </c>
      <c r="AG284" s="152">
        <v>1.2222</v>
      </c>
    </row>
    <row r="285" spans="1:33" x14ac:dyDescent="0.2">
      <c r="A285" s="27">
        <v>11</v>
      </c>
      <c r="B285" s="69">
        <v>7.1888758724999997</v>
      </c>
      <c r="C285" s="28">
        <f t="shared" si="20"/>
        <v>0.39296101296264857</v>
      </c>
      <c r="D285" s="31">
        <v>156.31200000000001</v>
      </c>
      <c r="E285" s="47">
        <v>622.21</v>
      </c>
      <c r="F285" s="45" t="str" cm="1">
        <f t="array" aca="1" ref="F285" ca="1">LEFT(INDEX($F$134:$F$291, MATCH(MIN(IF(ABS($B$134:$B$291-B285)&lt;&gt;0, ABS($B$134:$B$291-B285))), IF(ABS($B$134:$B$291-B285)&lt;&gt;0, ABS($B$134:$B$291-B285)), 0)),5)</f>
        <v>19.81</v>
      </c>
      <c r="G285" s="36" t="str" cm="1">
        <f t="array" aca="1" ref="G285" ca="1">LEFT(INDEX($G$134:$G$291, MATCH(MIN(IF(ABS($B$134:$B$291-B285)&lt;&gt;0, ABS($B$134:$B$291-B285))), IF(ABS($B$134:$B$291-B285)&lt;&gt;0, ABS($B$134:$B$291-B285)), 0)),8)</f>
        <v>6.34E-04</v>
      </c>
      <c r="H285" s="46">
        <f t="shared" ca="1" si="21"/>
        <v>246.54889589905366</v>
      </c>
      <c r="I285" s="54">
        <f t="shared" ca="1" si="22"/>
        <v>0.2427877255035929</v>
      </c>
      <c r="J285" s="63" t="str" cm="1">
        <f t="array" aca="1" ref="J285" ca="1">LEFT(INDEX($J$134:$J$291, MATCH(MIN(IF(ABS($B$134:$B$291-B285)&lt;&gt;0, ABS($B$134:$B$291-B285))), IF(ABS($B$134:$B$291-B285)&lt;&gt;0, ABS($B$134:$B$291-B285)), 0)),5)</f>
        <v>0.333</v>
      </c>
      <c r="K285" s="75">
        <v>-4.9249999999999998</v>
      </c>
      <c r="L285" s="81">
        <v>960.72</v>
      </c>
      <c r="M285" s="13">
        <v>8.5000000000000006E-3</v>
      </c>
      <c r="N285" s="12">
        <v>-8.4786000000000004E-6</v>
      </c>
      <c r="O285" s="93">
        <v>0.24640000000000001</v>
      </c>
      <c r="P285" s="94">
        <v>0.26269999999999999</v>
      </c>
      <c r="Q285" s="95">
        <v>0.28570000000000001</v>
      </c>
      <c r="R285" s="111">
        <v>24.638999999999999</v>
      </c>
      <c r="S285" s="118">
        <v>-3290.7</v>
      </c>
      <c r="T285" s="125">
        <v>-5.4325999999999999</v>
      </c>
      <c r="U285" s="14">
        <v>0</v>
      </c>
      <c r="V285" s="30">
        <v>0</v>
      </c>
      <c r="W285" s="138">
        <v>199.96199999999999</v>
      </c>
      <c r="X285" s="13">
        <v>0.86604000000000003</v>
      </c>
      <c r="Y285" s="14">
        <v>-2.3381999999999999E-3</v>
      </c>
      <c r="Z285" s="30">
        <v>3.1136000000000001E-6</v>
      </c>
      <c r="AA285" s="77">
        <v>0.16270000000000001</v>
      </c>
      <c r="AB285" s="5">
        <v>-6.7292000000000006E-5</v>
      </c>
      <c r="AC285" s="15">
        <v>-2.1920999999999999E-7</v>
      </c>
      <c r="AD285" s="146">
        <v>62.143999999999998</v>
      </c>
      <c r="AE285" s="147">
        <v>0.38</v>
      </c>
      <c r="AF285" s="150">
        <v>51.677</v>
      </c>
      <c r="AG285" s="152">
        <v>1.2222</v>
      </c>
    </row>
    <row r="286" spans="1:33" x14ac:dyDescent="0.2">
      <c r="A286" s="27">
        <v>11</v>
      </c>
      <c r="B286" s="69">
        <v>7.1851184300000002</v>
      </c>
      <c r="C286" s="28">
        <f t="shared" si="20"/>
        <v>0.392713471030261</v>
      </c>
      <c r="D286" s="31">
        <v>156.31200000000001</v>
      </c>
      <c r="E286" s="47">
        <v>626.38</v>
      </c>
      <c r="F286" s="45" t="str" cm="1">
        <f t="array" aca="1" ref="F286" ca="1">LEFT(INDEX($F$134:$F$291, MATCH(MIN(IF(ABS($B$134:$B$291-B286)&lt;&gt;0, ABS($B$134:$B$291-B286))), IF(ABS($B$134:$B$291-B286)&lt;&gt;0, ABS($B$134:$B$291-B286)), 0)),5)</f>
        <v>19.81</v>
      </c>
      <c r="G286" s="36" t="str" cm="1">
        <f t="array" aca="1" ref="G286" ca="1">LEFT(INDEX($G$134:$G$291, MATCH(MIN(IF(ABS($B$134:$B$291-B286)&lt;&gt;0, ABS($B$134:$B$291-B286))), IF(ABS($B$134:$B$291-B286)&lt;&gt;0, ABS($B$134:$B$291-B286)), 0)),8)</f>
        <v>6.34E-04</v>
      </c>
      <c r="H286" s="46">
        <f t="shared" ca="1" si="21"/>
        <v>246.54889589905366</v>
      </c>
      <c r="I286" s="54">
        <f t="shared" ca="1" si="22"/>
        <v>0.2411714146134783</v>
      </c>
      <c r="J286" s="63" t="str" cm="1">
        <f t="array" aca="1" ref="J286" ca="1">LEFT(INDEX($J$134:$J$291, MATCH(MIN(IF(ABS($B$134:$B$291-B286)&lt;&gt;0, ABS($B$134:$B$291-B286))), IF(ABS($B$134:$B$291-B286)&lt;&gt;0, ABS($B$134:$B$291-B286)), 0)),5)</f>
        <v>0.333</v>
      </c>
      <c r="K286" s="75">
        <v>-5.0030000000000001</v>
      </c>
      <c r="L286" s="81">
        <v>977.89</v>
      </c>
      <c r="M286" s="13">
        <v>8.6E-3</v>
      </c>
      <c r="N286" s="12">
        <v>-8.49E-6</v>
      </c>
      <c r="O286" s="93">
        <v>0.24640000000000001</v>
      </c>
      <c r="P286" s="94">
        <v>0.26319999999999999</v>
      </c>
      <c r="Q286" s="95">
        <v>0.28570000000000001</v>
      </c>
      <c r="R286" s="111">
        <v>24.506</v>
      </c>
      <c r="S286" s="118">
        <v>-3302</v>
      </c>
      <c r="T286" s="125">
        <v>-5.3856000000000002</v>
      </c>
      <c r="U286" s="14">
        <v>0</v>
      </c>
      <c r="V286" s="30">
        <v>0</v>
      </c>
      <c r="W286" s="138">
        <v>202.06200000000001</v>
      </c>
      <c r="X286" s="13">
        <v>0.84997999999999996</v>
      </c>
      <c r="Y286" s="14">
        <v>-2.2805999999999998E-3</v>
      </c>
      <c r="Z286" s="30">
        <v>3.0313999999999999E-6</v>
      </c>
      <c r="AA286" s="77">
        <v>0.1628</v>
      </c>
      <c r="AB286" s="5">
        <v>-6.7064999999999996E-5</v>
      </c>
      <c r="AC286" s="15">
        <v>-2.1621E-7</v>
      </c>
      <c r="AD286" s="146">
        <v>62.582000000000001</v>
      </c>
      <c r="AE286" s="147">
        <v>0.38</v>
      </c>
      <c r="AF286" s="150">
        <v>51.798000000000002</v>
      </c>
      <c r="AG286" s="152">
        <v>1.2222</v>
      </c>
    </row>
    <row r="287" spans="1:33" x14ac:dyDescent="0.2">
      <c r="A287" s="27">
        <v>11</v>
      </c>
      <c r="B287" s="69">
        <v>7.1021484800000003</v>
      </c>
      <c r="C287" s="28">
        <f t="shared" si="20"/>
        <v>0.38724737494147038</v>
      </c>
      <c r="D287" s="31">
        <v>156.31200000000001</v>
      </c>
      <c r="E287" s="47">
        <v>614.22</v>
      </c>
      <c r="F287" s="45" t="str" cm="1">
        <f t="array" ref="F287">LEFT(INDEX($F$134:$F$291, MATCH(MIN(IF(ABS($B$134:$B$291-B287)&lt;&gt;0, ABS($B$134:$B$291-B287))), IF(ABS($B$134:$B$291-B287)&lt;&gt;0, ABS($B$134:$B$291-B287)), 0)),5)</f>
        <v>19.81</v>
      </c>
      <c r="G287" s="36" t="str" cm="1">
        <f t="array" ref="G287">LEFT(INDEX($G$134:$G$291, MATCH(MIN(IF(ABS($B$134:$B$291-B287)&lt;&gt;0, ABS($B$134:$B$291-B287))), IF(ABS($B$134:$B$291-B287)&lt;&gt;0, ABS($B$134:$B$291-B287)), 0)),8)</f>
        <v>0.000634</v>
      </c>
      <c r="H287" s="46">
        <f t="shared" si="21"/>
        <v>246.54889589905366</v>
      </c>
      <c r="I287" s="54">
        <f t="shared" si="22"/>
        <v>0.24594599766466499</v>
      </c>
      <c r="J287" s="63" t="str" cm="1">
        <f t="array" ref="J287">LEFT(INDEX($J$134:$J$291, MATCH(MIN(IF(ABS($B$134:$B$291-B287)&lt;&gt;0, ABS($B$134:$B$291-B287))), IF(ABS($B$134:$B$291-B287)&lt;&gt;0, ABS($B$134:$B$291-B287)), 0)),5)</f>
        <v>0.419</v>
      </c>
      <c r="K287" s="75">
        <v>-5.109</v>
      </c>
      <c r="L287" s="81">
        <v>973.88</v>
      </c>
      <c r="M287" s="13">
        <v>9.1000000000000004E-3</v>
      </c>
      <c r="N287" s="12">
        <v>-9.1710999999999993E-6</v>
      </c>
      <c r="O287" s="93">
        <v>0.2467</v>
      </c>
      <c r="P287" s="94">
        <v>0.26950000000000002</v>
      </c>
      <c r="Q287" s="95">
        <v>0.28570000000000001</v>
      </c>
      <c r="R287" s="111">
        <v>25.102</v>
      </c>
      <c r="S287" s="118">
        <v>-3325.9</v>
      </c>
      <c r="T287" s="125">
        <v>-5.5648999999999997</v>
      </c>
      <c r="U287" s="14">
        <v>0</v>
      </c>
      <c r="V287" s="30">
        <v>0</v>
      </c>
      <c r="W287" s="138">
        <v>213.8</v>
      </c>
      <c r="X287" s="13">
        <v>0.79547000000000001</v>
      </c>
      <c r="Y287" s="14">
        <v>-2.2076999999999999E-3</v>
      </c>
      <c r="Z287" s="30">
        <v>3.0730999999999999E-6</v>
      </c>
      <c r="AA287" s="77">
        <v>0.16619999999999999</v>
      </c>
      <c r="AB287" s="5">
        <v>-7.7712000000000004E-5</v>
      </c>
      <c r="AC287" s="15">
        <v>-2.177E-7</v>
      </c>
      <c r="AD287" s="146">
        <v>62.701999999999998</v>
      </c>
      <c r="AE287" s="147">
        <v>0.38</v>
      </c>
      <c r="AF287" s="150">
        <v>51.905000000000001</v>
      </c>
      <c r="AG287" s="152">
        <v>1.2222</v>
      </c>
    </row>
    <row r="288" spans="1:33" x14ac:dyDescent="0.2">
      <c r="A288" s="27">
        <v>11</v>
      </c>
      <c r="B288" s="69">
        <v>7.8666701300000001</v>
      </c>
      <c r="C288" s="28">
        <f t="shared" si="20"/>
        <v>0.43761439096185806</v>
      </c>
      <c r="D288" s="31">
        <v>156.31200000000001</v>
      </c>
      <c r="E288" s="47">
        <v>624.99</v>
      </c>
      <c r="F288" s="43">
        <v>19.809999999999999</v>
      </c>
      <c r="G288" s="40">
        <v>6.3400000000000001E-4</v>
      </c>
      <c r="H288" s="61">
        <f t="shared" si="21"/>
        <v>246.54889589905366</v>
      </c>
      <c r="I288" s="29">
        <f t="shared" si="22"/>
        <v>0.2417077884215596</v>
      </c>
      <c r="J288" s="63" t="str" cm="1">
        <f t="array" aca="1" ref="J288" ca="1">LEFT(INDEX($J$134:$J$291, MATCH(MIN(IF(ABS($B$134:$B$291-B288)&lt;&gt;0, ABS($B$134:$B$291-B288))), IF(ABS($B$134:$B$291-B288)&lt;&gt;0, ABS($B$134:$B$291-B288)), 0)),5)</f>
        <v>0.449</v>
      </c>
      <c r="K288" s="75">
        <v>-4.9779</v>
      </c>
      <c r="L288" s="81">
        <v>972.29</v>
      </c>
      <c r="M288" s="13">
        <v>8.6E-3</v>
      </c>
      <c r="N288" s="12">
        <v>-8.4875999999999998E-6</v>
      </c>
      <c r="O288" s="93">
        <v>0.24640000000000001</v>
      </c>
      <c r="P288" s="94">
        <v>0.2656</v>
      </c>
      <c r="Q288" s="95">
        <v>0.28570000000000001</v>
      </c>
      <c r="R288" s="111">
        <v>24.55</v>
      </c>
      <c r="S288" s="118">
        <v>-3298.3</v>
      </c>
      <c r="T288" s="125">
        <v>-5.4012000000000002</v>
      </c>
      <c r="U288" s="14">
        <v>0</v>
      </c>
      <c r="V288" s="30">
        <v>0</v>
      </c>
      <c r="W288" s="138">
        <v>202.542</v>
      </c>
      <c r="X288" s="13">
        <v>0.84645000000000004</v>
      </c>
      <c r="Y288" s="14">
        <v>-2.2729999999999998E-3</v>
      </c>
      <c r="Z288" s="30">
        <v>3.0243E-6</v>
      </c>
      <c r="AA288" s="77">
        <v>0.1628</v>
      </c>
      <c r="AB288" s="5">
        <v>-6.7141E-5</v>
      </c>
      <c r="AC288" s="15">
        <v>-2.1720000000000001E-7</v>
      </c>
      <c r="AD288" s="146">
        <v>62.436</v>
      </c>
      <c r="AE288" s="147">
        <v>0.38</v>
      </c>
      <c r="AF288" s="150">
        <v>51.758000000000003</v>
      </c>
      <c r="AG288" s="152">
        <v>1.2222</v>
      </c>
    </row>
    <row r="289" spans="1:33" x14ac:dyDescent="0.2">
      <c r="A289" s="27">
        <v>11</v>
      </c>
      <c r="B289" s="69">
        <v>6.1179988574999999</v>
      </c>
      <c r="C289" s="28">
        <f t="shared" si="20"/>
        <v>0.32241117337292613</v>
      </c>
      <c r="D289" s="31">
        <v>156.31200000000001</v>
      </c>
      <c r="E289" s="47">
        <v>623.9</v>
      </c>
      <c r="F289" s="68" t="str" cm="1">
        <f t="array" ref="F289">LEFT(INDEX($F$134:$F$291, MATCH(MIN(IF(ABS($B$134:$B$291-B289)&lt;&gt;0, ABS($B$134:$B$291-B289))), IF(ABS($B$134:$B$291-B289)&lt;&gt;0, ABS($B$134:$B$291-B289)), 0)),5)</f>
        <v>19.75</v>
      </c>
      <c r="G289" s="39" t="str" cm="1">
        <f t="array" ref="G289">LEFT(INDEX($G$134:$G$291, MATCH(MIN(IF(ABS($B$134:$B$291-B289)&lt;&gt;0, ABS($B$134:$B$291-B289))), IF(ABS($B$134:$B$291-B289)&lt;&gt;0, ABS($B$134:$B$291-B289)), 0)),8)</f>
        <v>0.000633</v>
      </c>
      <c r="H289" s="46">
        <f t="shared" si="21"/>
        <v>246.93838862559244</v>
      </c>
      <c r="I289" s="54">
        <f t="shared" si="22"/>
        <v>0.24101596100452649</v>
      </c>
      <c r="J289" s="63" t="str" cm="1">
        <f t="array" ref="J289">LEFT(INDEX($J$134:$J$291, MATCH(MIN(IF(ABS($B$134:$B$291-B289)&lt;&gt;0, ABS($B$134:$B$291-B289))), IF(ABS($B$134:$B$291-B289)&lt;&gt;0, ABS($B$134:$B$291-B289)), 0)),5)</f>
        <v>0.449</v>
      </c>
      <c r="K289" s="75">
        <v>-5.2950999999999997</v>
      </c>
      <c r="L289" s="81">
        <v>1014.8</v>
      </c>
      <c r="M289" s="13">
        <v>9.4000000000000004E-3</v>
      </c>
      <c r="N289" s="12">
        <v>-9.1862000000000002E-6</v>
      </c>
      <c r="O289" s="93">
        <v>0.2467</v>
      </c>
      <c r="P289" s="94">
        <v>0.26350000000000001</v>
      </c>
      <c r="Q289" s="95">
        <v>0.28570000000000001</v>
      </c>
      <c r="R289" s="111">
        <v>24.786000000000001</v>
      </c>
      <c r="S289" s="118">
        <v>-3352.7</v>
      </c>
      <c r="T289" s="125">
        <v>-5.4530000000000003</v>
      </c>
      <c r="U289" s="14">
        <v>0</v>
      </c>
      <c r="V289" s="30">
        <v>0</v>
      </c>
      <c r="W289" s="138">
        <v>215.31800000000001</v>
      </c>
      <c r="X289" s="13">
        <v>0.7843</v>
      </c>
      <c r="Y289" s="14">
        <v>-2.1521000000000001E-3</v>
      </c>
      <c r="Z289" s="30">
        <v>2.9791E-6</v>
      </c>
      <c r="AA289" s="77">
        <v>0.16639999999999999</v>
      </c>
      <c r="AB289" s="5">
        <v>-7.6831999999999999E-5</v>
      </c>
      <c r="AC289" s="15">
        <v>-2.11E-7</v>
      </c>
      <c r="AD289" s="146">
        <v>63.738</v>
      </c>
      <c r="AE289" s="147">
        <v>0.38</v>
      </c>
      <c r="AF289" s="150">
        <v>52.189</v>
      </c>
      <c r="AG289" s="152">
        <v>1.2222</v>
      </c>
    </row>
    <row r="290" spans="1:33" x14ac:dyDescent="0.2">
      <c r="A290" s="27">
        <v>11</v>
      </c>
      <c r="B290" s="69">
        <v>7.8639053212499999</v>
      </c>
      <c r="C290" s="28">
        <f t="shared" si="20"/>
        <v>0.43743224416901771</v>
      </c>
      <c r="D290" s="31">
        <v>156.31200000000001</v>
      </c>
      <c r="E290" s="47">
        <v>619.42999999999995</v>
      </c>
      <c r="F290" s="68" t="str" cm="1">
        <f t="array" ref="F290">LEFT(INDEX($F$134:$F$291, MATCH(MIN(IF(ABS($B$134:$B$291-B290)&lt;&gt;0, ABS($B$134:$B$291-B290))), IF(ABS($B$134:$B$291-B290)&lt;&gt;0, ABS($B$134:$B$291-B290)), 0)),5)</f>
        <v>19.81</v>
      </c>
      <c r="G290" s="39" t="str" cm="1">
        <f t="array" ref="G290">LEFT(INDEX($G$134:$G$291, MATCH(MIN(IF(ABS($B$134:$B$291-B290)&lt;&gt;0, ABS($B$134:$B$291-B290))), IF(ABS($B$134:$B$291-B290)&lt;&gt;0, ABS($B$134:$B$291-B290)), 0)),8)</f>
        <v>0.000634</v>
      </c>
      <c r="H290" s="46">
        <f t="shared" si="21"/>
        <v>246.54889589905366</v>
      </c>
      <c r="I290" s="54">
        <f t="shared" si="22"/>
        <v>0.24387735609445871</v>
      </c>
      <c r="J290" s="63" t="str" cm="1">
        <f t="array" aca="1" ref="J290" ca="1">LEFT(INDEX($J$134:$J$291, MATCH(MIN(IF(ABS($B$134:$B$291-B290)&lt;&gt;0, ABS($B$134:$B$291-B290))), IF(ABS($B$134:$B$291-B290)&lt;&gt;0, ABS($B$134:$B$291-B290)), 0)),5)</f>
        <v>0.449</v>
      </c>
      <c r="K290" s="75">
        <v>-4.8684000000000003</v>
      </c>
      <c r="L290" s="81">
        <v>948.65</v>
      </c>
      <c r="M290" s="13">
        <v>8.3999999999999995E-3</v>
      </c>
      <c r="N290" s="12">
        <v>-8.4637E-6</v>
      </c>
      <c r="O290" s="93">
        <v>0.24640000000000001</v>
      </c>
      <c r="P290" s="94">
        <v>0.2651</v>
      </c>
      <c r="Q290" s="95">
        <v>0.28570000000000001</v>
      </c>
      <c r="R290" s="111">
        <v>24.728999999999999</v>
      </c>
      <c r="S290" s="118">
        <v>-3283.2</v>
      </c>
      <c r="T290" s="125">
        <v>-5.4644000000000004</v>
      </c>
      <c r="U290" s="14">
        <v>0</v>
      </c>
      <c r="V290" s="30">
        <v>0</v>
      </c>
      <c r="W290" s="138">
        <v>199.75899999999999</v>
      </c>
      <c r="X290" s="13">
        <v>0.86777000000000004</v>
      </c>
      <c r="Y290" s="14">
        <v>-2.3497000000000001E-3</v>
      </c>
      <c r="Z290" s="30">
        <v>3.1339000000000002E-6</v>
      </c>
      <c r="AA290" s="77">
        <v>0.16270000000000001</v>
      </c>
      <c r="AB290" s="5">
        <v>-6.7441999999999996E-5</v>
      </c>
      <c r="AC290" s="15">
        <v>-2.2123999999999999E-7</v>
      </c>
      <c r="AD290" s="146">
        <v>61.853000000000002</v>
      </c>
      <c r="AE290" s="147">
        <v>0.38</v>
      </c>
      <c r="AF290" s="150">
        <v>51.595999999999997</v>
      </c>
      <c r="AG290" s="152">
        <v>1.2222</v>
      </c>
    </row>
    <row r="291" spans="1:33" x14ac:dyDescent="0.2">
      <c r="A291" s="27">
        <v>11</v>
      </c>
      <c r="B291" s="69">
        <v>5.1256425024999999</v>
      </c>
      <c r="C291" s="28">
        <f t="shared" si="20"/>
        <v>0.25703430872793065</v>
      </c>
      <c r="D291" s="31">
        <v>156.31200000000001</v>
      </c>
      <c r="E291" s="47">
        <v>628.04999999999995</v>
      </c>
      <c r="F291" s="68" t="str" cm="1">
        <f t="array" ref="F291">LEFT(INDEX($F$134:$F$291, MATCH(MIN(IF(ABS($B$134:$B$291-B291)&lt;&gt;0, ABS($B$134:$B$291-B291))), IF(ABS($B$134:$B$291-B291)&lt;&gt;0, ABS($B$134:$B$291-B291)), 0)),5)</f>
        <v>19.75</v>
      </c>
      <c r="G291" s="39" t="str" cm="1">
        <f t="array" ref="G291">LEFT(INDEX($G$134:$G$291, MATCH(MIN(IF(ABS($B$134:$B$291-B291)&lt;&gt;0, ABS($B$134:$B$291-B291))), IF(ABS($B$134:$B$291-B291)&lt;&gt;0, ABS($B$134:$B$291-B291)), 0)),8)</f>
        <v>0.000633</v>
      </c>
      <c r="H291" s="46">
        <f t="shared" si="21"/>
        <v>246.93838862559244</v>
      </c>
      <c r="I291" s="54">
        <f t="shared" si="22"/>
        <v>0.23942338678564457</v>
      </c>
      <c r="J291" s="63" t="str" cm="1">
        <f t="array" ref="J291">LEFT(INDEX($J$134:$J$291, MATCH(MIN(IF(ABS($B$134:$B$291-B291)&lt;&gt;0, ABS($B$134:$B$291-B291))), IF(ABS($B$134:$B$291-B291)&lt;&gt;0, ABS($B$134:$B$291-B291)), 0)),5)</f>
        <v>0.449</v>
      </c>
      <c r="K291" s="75">
        <v>-5.3615000000000004</v>
      </c>
      <c r="L291" s="81">
        <v>1030.5999999999999</v>
      </c>
      <c r="M291" s="13">
        <v>9.4999999999999998E-3</v>
      </c>
      <c r="N291" s="12">
        <v>-9.1720999999999998E-6</v>
      </c>
      <c r="O291" s="93">
        <v>0.2467</v>
      </c>
      <c r="P291" s="94">
        <v>0.25869999999999999</v>
      </c>
      <c r="Q291" s="95">
        <v>0.28570000000000001</v>
      </c>
      <c r="R291" s="111">
        <v>24.654</v>
      </c>
      <c r="S291" s="118">
        <v>-3364.2</v>
      </c>
      <c r="T291" s="125">
        <v>-5.4063999999999997</v>
      </c>
      <c r="U291" s="14">
        <v>0</v>
      </c>
      <c r="V291" s="30">
        <v>0</v>
      </c>
      <c r="W291" s="138">
        <v>215.011</v>
      </c>
      <c r="X291" s="13">
        <v>0.78688999999999998</v>
      </c>
      <c r="Y291" s="14">
        <v>-2.1515000000000002E-3</v>
      </c>
      <c r="Z291" s="30">
        <v>2.9702E-6</v>
      </c>
      <c r="AA291" s="77">
        <v>0.16639999999999999</v>
      </c>
      <c r="AB291" s="5">
        <v>-7.6458000000000006E-5</v>
      </c>
      <c r="AC291" s="15">
        <v>-2.0823000000000001E-7</v>
      </c>
      <c r="AD291" s="146">
        <v>64.182000000000002</v>
      </c>
      <c r="AE291" s="147">
        <v>0.38</v>
      </c>
      <c r="AF291" s="150">
        <v>52.311</v>
      </c>
      <c r="AG291" s="152">
        <v>1.2222</v>
      </c>
    </row>
    <row r="292" spans="1:33" x14ac:dyDescent="0.2">
      <c r="A292" s="27">
        <v>12</v>
      </c>
      <c r="B292" s="69">
        <v>3.0707979750000001</v>
      </c>
      <c r="C292" s="28">
        <f t="shared" ref="C292:C355" si="23">(B292-MIN($B$292:$B$645))/(MAX($B$292:$B$645)-MIN($B$292:$B$645))</f>
        <v>0.1165489341539863</v>
      </c>
      <c r="D292" s="52">
        <v>170.33799999999999</v>
      </c>
      <c r="E292" s="47">
        <v>644.29</v>
      </c>
      <c r="F292" s="44">
        <v>18.09</v>
      </c>
      <c r="G292" s="11">
        <v>6.9649999999999996E-4</v>
      </c>
      <c r="H292" s="61">
        <f t="shared" si="21"/>
        <v>244.73850574712645</v>
      </c>
      <c r="I292" s="29">
        <f t="shared" si="22"/>
        <v>0.23504791091429833</v>
      </c>
      <c r="J292" s="52">
        <v>0.48899999999999999</v>
      </c>
      <c r="K292" s="75">
        <v>-4.7808999999999999</v>
      </c>
      <c r="L292" s="81">
        <v>906.76</v>
      </c>
      <c r="M292" s="13">
        <v>8.6999999999999994E-3</v>
      </c>
      <c r="N292" s="12">
        <v>-8.7066000000000006E-6</v>
      </c>
      <c r="O292" s="93">
        <v>0.24460000000000001</v>
      </c>
      <c r="P292" s="94">
        <v>0.25369999999999998</v>
      </c>
      <c r="Q292" s="95">
        <v>0.28570000000000001</v>
      </c>
      <c r="R292" s="111">
        <v>25.698</v>
      </c>
      <c r="S292" s="118">
        <v>-3589.6</v>
      </c>
      <c r="T292" s="125">
        <v>-5.6936999999999998</v>
      </c>
      <c r="U292" s="14">
        <v>0</v>
      </c>
      <c r="V292" s="30">
        <v>0</v>
      </c>
      <c r="W292" s="138">
        <v>204.053</v>
      </c>
      <c r="X292" s="13">
        <v>1.0807</v>
      </c>
      <c r="Y292" s="14">
        <v>-2.849E-3</v>
      </c>
      <c r="Z292" s="30">
        <v>3.5358999999999999E-6</v>
      </c>
      <c r="AA292" s="77">
        <v>0.1578</v>
      </c>
      <c r="AB292" s="5">
        <v>-5.2255E-5</v>
      </c>
      <c r="AC292" s="15">
        <v>-2.1457E-7</v>
      </c>
      <c r="AD292" s="146">
        <v>68.366</v>
      </c>
      <c r="AE292" s="147">
        <v>0.38</v>
      </c>
      <c r="AF292" s="150">
        <v>51.926000000000002</v>
      </c>
      <c r="AG292" s="152">
        <v>1.2222</v>
      </c>
    </row>
    <row r="293" spans="1:33" x14ac:dyDescent="0.2">
      <c r="A293" s="27">
        <v>12</v>
      </c>
      <c r="B293" s="69">
        <v>3.0708051150000002</v>
      </c>
      <c r="C293" s="28">
        <f t="shared" si="23"/>
        <v>0.11654938307086753</v>
      </c>
      <c r="D293" s="52">
        <v>170.33799999999999</v>
      </c>
      <c r="E293" s="47">
        <v>651.09</v>
      </c>
      <c r="F293" s="44">
        <v>18.09</v>
      </c>
      <c r="G293" s="11">
        <v>6.9649999999999996E-4</v>
      </c>
      <c r="H293" s="61">
        <f t="shared" si="21"/>
        <v>244.73850574712645</v>
      </c>
      <c r="I293" s="29">
        <f t="shared" si="22"/>
        <v>0.23259306474216046</v>
      </c>
      <c r="J293" s="52">
        <v>0.48899999999999999</v>
      </c>
      <c r="K293" s="75">
        <v>-4.8204000000000002</v>
      </c>
      <c r="L293" s="81">
        <v>923.44</v>
      </c>
      <c r="M293" s="13">
        <v>8.6E-3</v>
      </c>
      <c r="N293" s="12">
        <v>-8.5675000000000006E-6</v>
      </c>
      <c r="O293" s="93">
        <v>0.24460000000000001</v>
      </c>
      <c r="P293" s="94">
        <v>0.25609999999999999</v>
      </c>
      <c r="Q293" s="95">
        <v>0.28570000000000001</v>
      </c>
      <c r="R293" s="111">
        <v>25.478000000000002</v>
      </c>
      <c r="S293" s="118">
        <v>-3608.9</v>
      </c>
      <c r="T293" s="125">
        <v>-5.6162999999999998</v>
      </c>
      <c r="U293" s="14">
        <v>0</v>
      </c>
      <c r="V293" s="30">
        <v>0</v>
      </c>
      <c r="W293" s="138">
        <v>209.24700000000001</v>
      </c>
      <c r="X293" s="13">
        <v>1.0412999999999999</v>
      </c>
      <c r="Y293" s="14">
        <v>-2.7182999999999999E-3</v>
      </c>
      <c r="Z293" s="30">
        <v>3.3643000000000001E-6</v>
      </c>
      <c r="AA293" s="77">
        <v>0.158</v>
      </c>
      <c r="AB293" s="5">
        <v>-5.2151000000000003E-5</v>
      </c>
      <c r="AC293" s="15">
        <v>-2.0989000000000001E-7</v>
      </c>
      <c r="AD293" s="146">
        <v>69.158000000000001</v>
      </c>
      <c r="AE293" s="147">
        <v>0.38</v>
      </c>
      <c r="AF293" s="150">
        <v>52.116999999999997</v>
      </c>
      <c r="AG293" s="152">
        <v>1.2222</v>
      </c>
    </row>
    <row r="294" spans="1:33" x14ac:dyDescent="0.2">
      <c r="A294" s="27">
        <v>12</v>
      </c>
      <c r="B294" s="69">
        <v>2.4409789425000001</v>
      </c>
      <c r="C294" s="28">
        <f t="shared" si="23"/>
        <v>7.6949999167790481E-2</v>
      </c>
      <c r="D294" s="52">
        <v>170.33799999999999</v>
      </c>
      <c r="E294" s="47">
        <v>643.42999999999995</v>
      </c>
      <c r="F294" s="44">
        <v>18.05</v>
      </c>
      <c r="G294" s="11">
        <v>6.9550000000000005E-4</v>
      </c>
      <c r="H294" s="61">
        <f t="shared" si="21"/>
        <v>245.09064748201439</v>
      </c>
      <c r="I294" s="29">
        <f t="shared" si="22"/>
        <v>0.23450423196695966</v>
      </c>
      <c r="J294" s="52">
        <v>0.51900000000000002</v>
      </c>
      <c r="K294" s="75">
        <v>-5.0708000000000002</v>
      </c>
      <c r="L294" s="81">
        <v>946.37</v>
      </c>
      <c r="M294" s="13">
        <v>9.4000000000000004E-3</v>
      </c>
      <c r="N294" s="12">
        <v>-9.3179999999999996E-6</v>
      </c>
      <c r="O294" s="93">
        <v>0.24490000000000001</v>
      </c>
      <c r="P294" s="94">
        <v>0.25719999999999998</v>
      </c>
      <c r="Q294" s="95">
        <v>0.28570000000000001</v>
      </c>
      <c r="R294" s="111">
        <v>25.936</v>
      </c>
      <c r="S294" s="118">
        <v>-3646.6</v>
      </c>
      <c r="T294" s="125">
        <v>-5.7458</v>
      </c>
      <c r="U294" s="14">
        <v>0</v>
      </c>
      <c r="V294" s="30">
        <v>0</v>
      </c>
      <c r="W294" s="138">
        <v>222.81299999999999</v>
      </c>
      <c r="X294" s="13">
        <v>0.97755000000000003</v>
      </c>
      <c r="Y294" s="14">
        <v>-2.6254E-3</v>
      </c>
      <c r="Z294" s="30">
        <v>3.3846000000000002E-6</v>
      </c>
      <c r="AA294" s="77">
        <v>0.16159999999999999</v>
      </c>
      <c r="AB294" s="5">
        <v>-6.2226999999999999E-5</v>
      </c>
      <c r="AC294" s="15">
        <v>-2.0800000000000001E-7</v>
      </c>
      <c r="AD294" s="146">
        <v>69.087999999999994</v>
      </c>
      <c r="AE294" s="147">
        <v>0.38</v>
      </c>
      <c r="AF294" s="150">
        <v>52.389000000000003</v>
      </c>
      <c r="AG294" s="152">
        <v>1.2222</v>
      </c>
    </row>
    <row r="295" spans="1:33" x14ac:dyDescent="0.2">
      <c r="A295" s="27">
        <v>12</v>
      </c>
      <c r="B295" s="69">
        <v>2.4412496849999998</v>
      </c>
      <c r="C295" s="28">
        <f t="shared" si="23"/>
        <v>7.6967021699823099E-2</v>
      </c>
      <c r="D295" s="52">
        <v>170.33799999999999</v>
      </c>
      <c r="E295" s="47">
        <v>636.66</v>
      </c>
      <c r="F295" s="44">
        <v>18.05</v>
      </c>
      <c r="G295" s="11">
        <v>6.9550000000000005E-4</v>
      </c>
      <c r="H295" s="61">
        <f t="shared" si="21"/>
        <v>245.09064748201439</v>
      </c>
      <c r="I295" s="29">
        <f t="shared" si="22"/>
        <v>0.23699786067053191</v>
      </c>
      <c r="J295" s="52">
        <v>0.51900000000000002</v>
      </c>
      <c r="K295" s="75">
        <v>-5.0334000000000003</v>
      </c>
      <c r="L295" s="81">
        <v>929.68</v>
      </c>
      <c r="M295" s="13">
        <v>9.4000000000000004E-3</v>
      </c>
      <c r="N295" s="12">
        <v>-9.4774000000000001E-6</v>
      </c>
      <c r="O295" s="93">
        <v>0.24490000000000001</v>
      </c>
      <c r="P295" s="94">
        <v>0.25690000000000002</v>
      </c>
      <c r="Q295" s="95">
        <v>0.28570000000000001</v>
      </c>
      <c r="R295" s="111">
        <v>26.163</v>
      </c>
      <c r="S295" s="118">
        <v>-3627.2</v>
      </c>
      <c r="T295" s="125">
        <v>-5.8255999999999997</v>
      </c>
      <c r="U295" s="14">
        <v>0</v>
      </c>
      <c r="V295" s="30">
        <v>0</v>
      </c>
      <c r="W295" s="138">
        <v>219.17599999999999</v>
      </c>
      <c r="X295" s="13">
        <v>1.0051000000000001</v>
      </c>
      <c r="Y295" s="14">
        <v>-2.7242E-3</v>
      </c>
      <c r="Z295" s="30">
        <v>3.5234E-6</v>
      </c>
      <c r="AA295" s="77">
        <v>0.1615</v>
      </c>
      <c r="AB295" s="5">
        <v>-6.2578999999999998E-5</v>
      </c>
      <c r="AC295" s="15">
        <v>-2.1253000000000001E-7</v>
      </c>
      <c r="AD295" s="146">
        <v>68.292000000000002</v>
      </c>
      <c r="AE295" s="147">
        <v>0.38</v>
      </c>
      <c r="AF295" s="150">
        <v>52.195</v>
      </c>
      <c r="AG295" s="152">
        <v>1.2222</v>
      </c>
    </row>
    <row r="296" spans="1:33" x14ac:dyDescent="0.2">
      <c r="A296" s="27">
        <v>12</v>
      </c>
      <c r="B296" s="69">
        <v>2.1402919825</v>
      </c>
      <c r="C296" s="28">
        <f t="shared" si="23"/>
        <v>5.8044753746778414E-2</v>
      </c>
      <c r="D296" s="52">
        <v>170.33799999999999</v>
      </c>
      <c r="E296" s="47">
        <v>636.66</v>
      </c>
      <c r="F296" s="44">
        <v>18.05</v>
      </c>
      <c r="G296" s="11">
        <v>6.9550000000000005E-4</v>
      </c>
      <c r="H296" s="61">
        <f t="shared" si="21"/>
        <v>245.09064748201439</v>
      </c>
      <c r="I296" s="29">
        <f t="shared" si="22"/>
        <v>0.23699786067053191</v>
      </c>
      <c r="J296" s="52">
        <v>0.51900000000000002</v>
      </c>
      <c r="K296" s="75">
        <v>-5.0334000000000003</v>
      </c>
      <c r="L296" s="81">
        <v>929.68</v>
      </c>
      <c r="M296" s="13">
        <v>9.4000000000000004E-3</v>
      </c>
      <c r="N296" s="12">
        <v>-9.4774000000000001E-6</v>
      </c>
      <c r="O296" s="93">
        <v>0.24490000000000001</v>
      </c>
      <c r="P296" s="94">
        <v>0.2545</v>
      </c>
      <c r="Q296" s="95">
        <v>0.28570000000000001</v>
      </c>
      <c r="R296" s="111">
        <v>26.163</v>
      </c>
      <c r="S296" s="118">
        <v>-3627.2</v>
      </c>
      <c r="T296" s="125">
        <v>-5.8255999999999997</v>
      </c>
      <c r="U296" s="14">
        <v>0</v>
      </c>
      <c r="V296" s="30">
        <v>0</v>
      </c>
      <c r="W296" s="138">
        <v>217.89500000000001</v>
      </c>
      <c r="X296" s="13">
        <v>1.0148999999999999</v>
      </c>
      <c r="Y296" s="14">
        <v>-2.7539999999999999E-3</v>
      </c>
      <c r="Z296" s="30">
        <v>3.5607000000000001E-6</v>
      </c>
      <c r="AA296" s="77">
        <v>0.1615</v>
      </c>
      <c r="AB296" s="5">
        <v>-6.2578999999999998E-5</v>
      </c>
      <c r="AC296" s="15">
        <v>-2.1253000000000001E-7</v>
      </c>
      <c r="AD296" s="146">
        <v>68.292000000000002</v>
      </c>
      <c r="AE296" s="147">
        <v>0.38</v>
      </c>
      <c r="AF296" s="150">
        <v>52.195</v>
      </c>
      <c r="AG296" s="152">
        <v>1.2222</v>
      </c>
    </row>
    <row r="297" spans="1:33" x14ac:dyDescent="0.2">
      <c r="A297" s="27">
        <v>12</v>
      </c>
      <c r="B297" s="69">
        <v>2.1406870974999999</v>
      </c>
      <c r="C297" s="28">
        <f t="shared" si="23"/>
        <v>5.8069596014778735E-2</v>
      </c>
      <c r="D297" s="52">
        <v>170.33799999999999</v>
      </c>
      <c r="E297" s="47">
        <v>639.37</v>
      </c>
      <c r="F297" s="44">
        <v>18.05</v>
      </c>
      <c r="G297" s="11">
        <v>6.9550000000000005E-4</v>
      </c>
      <c r="H297" s="61">
        <f t="shared" si="21"/>
        <v>245.09064748201439</v>
      </c>
      <c r="I297" s="29">
        <f t="shared" si="22"/>
        <v>0.23599333402333678</v>
      </c>
      <c r="J297" s="52">
        <v>0.51900000000000002</v>
      </c>
      <c r="K297" s="75">
        <v>-5.0492999999999997</v>
      </c>
      <c r="L297" s="81">
        <v>936.5</v>
      </c>
      <c r="M297" s="13">
        <v>9.4000000000000004E-3</v>
      </c>
      <c r="N297" s="12">
        <v>-9.4143999999999992E-6</v>
      </c>
      <c r="O297" s="93">
        <v>0.24490000000000001</v>
      </c>
      <c r="P297" s="94">
        <v>0.25469999999999998</v>
      </c>
      <c r="Q297" s="95">
        <v>0.28570000000000001</v>
      </c>
      <c r="R297" s="111">
        <v>26.071999999999999</v>
      </c>
      <c r="S297" s="118">
        <v>-3634.9</v>
      </c>
      <c r="T297" s="125">
        <v>-5.7934000000000001</v>
      </c>
      <c r="U297" s="14">
        <v>0</v>
      </c>
      <c r="V297" s="30">
        <v>0</v>
      </c>
      <c r="W297" s="138">
        <v>219.423</v>
      </c>
      <c r="X297" s="13">
        <v>1.0033000000000001</v>
      </c>
      <c r="Y297" s="14">
        <v>-2.7123999999999998E-3</v>
      </c>
      <c r="Z297" s="30">
        <v>3.5024000000000001E-6</v>
      </c>
      <c r="AA297" s="77">
        <v>0.1615</v>
      </c>
      <c r="AB297" s="5">
        <v>-6.2438000000000001E-5</v>
      </c>
      <c r="AC297" s="15">
        <v>-2.107E-7</v>
      </c>
      <c r="AD297" s="146">
        <v>68.61</v>
      </c>
      <c r="AE297" s="147">
        <v>0.38</v>
      </c>
      <c r="AF297" s="150">
        <v>52.273000000000003</v>
      </c>
      <c r="AG297" s="152">
        <v>1.2222</v>
      </c>
    </row>
    <row r="298" spans="1:33" x14ac:dyDescent="0.2">
      <c r="A298" s="27">
        <v>12</v>
      </c>
      <c r="B298" s="69">
        <v>8.6252572087499999</v>
      </c>
      <c r="C298" s="28">
        <f t="shared" si="23"/>
        <v>0.46577729774863735</v>
      </c>
      <c r="D298" s="52">
        <v>170.33799999999999</v>
      </c>
      <c r="E298" s="47">
        <v>655.89</v>
      </c>
      <c r="F298" s="44">
        <v>18.39</v>
      </c>
      <c r="G298" s="11">
        <v>6.8550000000000002E-4</v>
      </c>
      <c r="H298" s="61">
        <f t="shared" si="21"/>
        <v>248.66861313868614</v>
      </c>
      <c r="I298" s="29">
        <f t="shared" si="22"/>
        <v>0.2310102611456557</v>
      </c>
      <c r="J298" s="52">
        <v>0.40300000000000002</v>
      </c>
      <c r="K298" s="75">
        <v>-4.8616000000000001</v>
      </c>
      <c r="L298" s="81">
        <v>1010.6</v>
      </c>
      <c r="M298" s="13">
        <v>7.7999999999999996E-3</v>
      </c>
      <c r="N298" s="12">
        <v>-7.3675000000000002E-6</v>
      </c>
      <c r="O298" s="93">
        <v>0.2485</v>
      </c>
      <c r="P298" s="94">
        <v>0.24940000000000001</v>
      </c>
      <c r="Q298" s="95">
        <v>0.28570000000000001</v>
      </c>
      <c r="R298" s="111">
        <v>24.763000000000002</v>
      </c>
      <c r="S298" s="118">
        <v>-3451.3</v>
      </c>
      <c r="T298" s="125">
        <v>-5.4532999999999996</v>
      </c>
      <c r="U298" s="14">
        <v>0</v>
      </c>
      <c r="V298" s="30">
        <v>0</v>
      </c>
      <c r="W298" s="138">
        <v>207.072</v>
      </c>
      <c r="X298" s="13">
        <v>0.95730999999999999</v>
      </c>
      <c r="Y298" s="14">
        <v>-2.4613E-3</v>
      </c>
      <c r="Z298" s="30">
        <v>3.0863999999999998E-6</v>
      </c>
      <c r="AA298" s="77">
        <v>0.15490000000000001</v>
      </c>
      <c r="AB298" s="5">
        <v>-5.3715999999999999E-5</v>
      </c>
      <c r="AC298" s="15">
        <v>-1.9831999999999999E-7</v>
      </c>
      <c r="AD298" s="146">
        <v>67.137</v>
      </c>
      <c r="AE298" s="147">
        <v>0.38</v>
      </c>
      <c r="AF298" s="150">
        <v>51.039000000000001</v>
      </c>
      <c r="AG298" s="152">
        <v>1.2222</v>
      </c>
    </row>
    <row r="299" spans="1:33" x14ac:dyDescent="0.2">
      <c r="A299" s="27">
        <v>12</v>
      </c>
      <c r="B299" s="69">
        <v>7.7531878862500001</v>
      </c>
      <c r="C299" s="28">
        <f t="shared" si="23"/>
        <v>0.41094723605923716</v>
      </c>
      <c r="D299" s="52">
        <v>170.33799999999999</v>
      </c>
      <c r="E299" s="47">
        <v>638.14</v>
      </c>
      <c r="F299" s="44">
        <v>18.34</v>
      </c>
      <c r="G299" s="11">
        <v>6.845E-4</v>
      </c>
      <c r="H299" s="61">
        <f t="shared" si="21"/>
        <v>249.03216374269002</v>
      </c>
      <c r="I299" s="29">
        <f t="shared" si="22"/>
        <v>0.23644462449086476</v>
      </c>
      <c r="J299" s="52">
        <v>0.432</v>
      </c>
      <c r="K299" s="75">
        <v>-4.9080000000000004</v>
      </c>
      <c r="L299" s="81">
        <v>991.48</v>
      </c>
      <c r="M299" s="13">
        <v>8.2000000000000007E-3</v>
      </c>
      <c r="N299" s="12">
        <v>-7.9961999999999998E-6</v>
      </c>
      <c r="O299" s="93">
        <v>0.24890000000000001</v>
      </c>
      <c r="P299" s="94">
        <v>0.25319999999999998</v>
      </c>
      <c r="Q299" s="95">
        <v>0.28570000000000001</v>
      </c>
      <c r="R299" s="111">
        <v>25.535</v>
      </c>
      <c r="S299" s="118">
        <v>-3462.8</v>
      </c>
      <c r="T299" s="125">
        <v>-5.6935000000000002</v>
      </c>
      <c r="U299" s="14">
        <v>0</v>
      </c>
      <c r="V299" s="30">
        <v>0</v>
      </c>
      <c r="W299" s="138">
        <v>216.012</v>
      </c>
      <c r="X299" s="13">
        <v>0.92713000000000001</v>
      </c>
      <c r="Y299" s="14">
        <v>-2.4794999999999999E-3</v>
      </c>
      <c r="Z299" s="30">
        <v>3.2546999999999999E-6</v>
      </c>
      <c r="AA299" s="77">
        <v>0.15809999999999999</v>
      </c>
      <c r="AB299" s="5">
        <v>-6.3723E-5</v>
      </c>
      <c r="AC299" s="15">
        <v>-2.0311E-7</v>
      </c>
      <c r="AD299" s="146">
        <v>65.981999999999999</v>
      </c>
      <c r="AE299" s="147">
        <v>0.38</v>
      </c>
      <c r="AF299" s="150">
        <v>51.01</v>
      </c>
      <c r="AG299" s="152">
        <v>1.2222</v>
      </c>
    </row>
    <row r="300" spans="1:33" x14ac:dyDescent="0.2">
      <c r="A300" s="27">
        <v>12</v>
      </c>
      <c r="B300" s="69">
        <v>6.5913136274999999</v>
      </c>
      <c r="C300" s="28">
        <f t="shared" si="23"/>
        <v>0.33789612000809477</v>
      </c>
      <c r="D300" s="52">
        <v>170.33799999999999</v>
      </c>
      <c r="E300" s="47">
        <v>651.91999999999996</v>
      </c>
      <c r="F300" s="44">
        <v>18.34</v>
      </c>
      <c r="G300" s="11">
        <v>6.845E-4</v>
      </c>
      <c r="H300" s="61">
        <f t="shared" si="21"/>
        <v>249.03216374269002</v>
      </c>
      <c r="I300" s="29">
        <f t="shared" si="22"/>
        <v>0.23144676137041426</v>
      </c>
      <c r="J300" s="52">
        <v>0.432</v>
      </c>
      <c r="K300" s="75">
        <v>-5.1002999999999998</v>
      </c>
      <c r="L300" s="81">
        <v>1039.0999999999999</v>
      </c>
      <c r="M300" s="13">
        <v>8.3999999999999995E-3</v>
      </c>
      <c r="N300" s="12">
        <v>-7.9564000000000006E-6</v>
      </c>
      <c r="O300" s="93">
        <v>0.24890000000000001</v>
      </c>
      <c r="P300" s="94">
        <v>0.24709999999999999</v>
      </c>
      <c r="Q300" s="95">
        <v>0.28570000000000001</v>
      </c>
      <c r="R300" s="111">
        <v>25.088000000000001</v>
      </c>
      <c r="S300" s="118">
        <v>-3499.8</v>
      </c>
      <c r="T300" s="125">
        <v>-5.5365000000000002</v>
      </c>
      <c r="U300" s="14">
        <v>0</v>
      </c>
      <c r="V300" s="30">
        <v>0</v>
      </c>
      <c r="W300" s="138">
        <v>219.38900000000001</v>
      </c>
      <c r="X300" s="13">
        <v>0.90156999999999998</v>
      </c>
      <c r="Y300" s="14">
        <v>-2.3733000000000001E-3</v>
      </c>
      <c r="Z300" s="30">
        <v>3.0925999999999998E-6</v>
      </c>
      <c r="AA300" s="77">
        <v>0.15840000000000001</v>
      </c>
      <c r="AB300" s="5">
        <v>-6.2971000000000004E-5</v>
      </c>
      <c r="AC300" s="15">
        <v>-1.9445E-7</v>
      </c>
      <c r="AD300" s="146">
        <v>67.543999999999997</v>
      </c>
      <c r="AE300" s="147">
        <v>0.38</v>
      </c>
      <c r="AF300" s="150">
        <v>51.393000000000001</v>
      </c>
      <c r="AG300" s="152">
        <v>1.2222</v>
      </c>
    </row>
    <row r="301" spans="1:33" x14ac:dyDescent="0.2">
      <c r="A301" s="27">
        <v>12</v>
      </c>
      <c r="B301" s="69">
        <v>7.9894557400000004</v>
      </c>
      <c r="C301" s="28">
        <f t="shared" si="23"/>
        <v>0.42580222598044809</v>
      </c>
      <c r="D301" s="52">
        <v>170.33799999999999</v>
      </c>
      <c r="E301" s="47">
        <v>638.14</v>
      </c>
      <c r="F301" s="44">
        <v>18.34</v>
      </c>
      <c r="G301" s="11">
        <v>6.845E-4</v>
      </c>
      <c r="H301" s="61">
        <f t="shared" si="21"/>
        <v>249.03216374269002</v>
      </c>
      <c r="I301" s="29">
        <f t="shared" si="22"/>
        <v>0.23644462449086476</v>
      </c>
      <c r="J301" s="52">
        <v>0.432</v>
      </c>
      <c r="K301" s="75">
        <v>-4.9080000000000004</v>
      </c>
      <c r="L301" s="81">
        <v>991.48</v>
      </c>
      <c r="M301" s="13">
        <v>8.2000000000000007E-3</v>
      </c>
      <c r="N301" s="12">
        <v>-7.9961999999999998E-6</v>
      </c>
      <c r="O301" s="93">
        <v>0.24890000000000001</v>
      </c>
      <c r="P301" s="94">
        <v>0.25590000000000002</v>
      </c>
      <c r="Q301" s="95">
        <v>0.28570000000000001</v>
      </c>
      <c r="R301" s="111">
        <v>25.535</v>
      </c>
      <c r="S301" s="118">
        <v>-3462.8</v>
      </c>
      <c r="T301" s="125">
        <v>-5.6935000000000002</v>
      </c>
      <c r="U301" s="14">
        <v>0</v>
      </c>
      <c r="V301" s="30">
        <v>0</v>
      </c>
      <c r="W301" s="138">
        <v>217.38200000000001</v>
      </c>
      <c r="X301" s="13">
        <v>0.91678000000000004</v>
      </c>
      <c r="Y301" s="14">
        <v>-2.4483999999999999E-3</v>
      </c>
      <c r="Z301" s="30">
        <v>3.2152999999999999E-6</v>
      </c>
      <c r="AA301" s="77">
        <v>0.15809999999999999</v>
      </c>
      <c r="AB301" s="5">
        <v>-6.3723E-5</v>
      </c>
      <c r="AC301" s="15">
        <v>-2.0311E-7</v>
      </c>
      <c r="AD301" s="146">
        <v>65.981999999999999</v>
      </c>
      <c r="AE301" s="147">
        <v>0.38</v>
      </c>
      <c r="AF301" s="150">
        <v>51.01</v>
      </c>
      <c r="AG301" s="152">
        <v>1.2222</v>
      </c>
    </row>
    <row r="302" spans="1:33" x14ac:dyDescent="0.2">
      <c r="A302" s="27">
        <v>12</v>
      </c>
      <c r="B302" s="69">
        <v>7.0019322187500004</v>
      </c>
      <c r="C302" s="28">
        <f t="shared" si="23"/>
        <v>0.36371315325094472</v>
      </c>
      <c r="D302" s="52">
        <v>170.33799999999999</v>
      </c>
      <c r="E302" s="47">
        <v>657.43</v>
      </c>
      <c r="F302" s="44">
        <v>18.34</v>
      </c>
      <c r="G302" s="11">
        <v>6.845E-4</v>
      </c>
      <c r="H302" s="61">
        <f t="shared" si="21"/>
        <v>249.03216374269002</v>
      </c>
      <c r="I302" s="29">
        <f t="shared" si="22"/>
        <v>0.22950697819174734</v>
      </c>
      <c r="J302" s="52">
        <v>0.432</v>
      </c>
      <c r="K302" s="75">
        <v>-5.1616999999999997</v>
      </c>
      <c r="L302" s="81">
        <v>1056</v>
      </c>
      <c r="M302" s="13">
        <v>8.5000000000000006E-3</v>
      </c>
      <c r="N302" s="12">
        <v>-7.9187999999999995E-6</v>
      </c>
      <c r="O302" s="93">
        <v>0.24890000000000001</v>
      </c>
      <c r="P302" s="94">
        <v>0.25040000000000001</v>
      </c>
      <c r="Q302" s="95">
        <v>0.28570000000000001</v>
      </c>
      <c r="R302" s="111">
        <v>24.916</v>
      </c>
      <c r="S302" s="118">
        <v>-3514.8</v>
      </c>
      <c r="T302" s="125">
        <v>-5.4760999999999997</v>
      </c>
      <c r="U302" s="14">
        <v>0</v>
      </c>
      <c r="V302" s="30">
        <v>0</v>
      </c>
      <c r="W302" s="138">
        <v>223.47200000000001</v>
      </c>
      <c r="X302" s="13">
        <v>0.87117</v>
      </c>
      <c r="Y302" s="14">
        <v>-2.2721E-3</v>
      </c>
      <c r="Z302" s="30">
        <v>2.9548000000000001E-6</v>
      </c>
      <c r="AA302" s="77">
        <v>0.1585</v>
      </c>
      <c r="AB302" s="5">
        <v>-6.2668000000000004E-5</v>
      </c>
      <c r="AC302" s="15">
        <v>-1.9114999999999999E-7</v>
      </c>
      <c r="AD302" s="146">
        <v>68.168999999999997</v>
      </c>
      <c r="AE302" s="147">
        <v>0.38</v>
      </c>
      <c r="AF302" s="150">
        <v>51.543999999999997</v>
      </c>
      <c r="AG302" s="152">
        <v>1.2222</v>
      </c>
    </row>
    <row r="303" spans="1:33" x14ac:dyDescent="0.2">
      <c r="A303" s="27">
        <v>12</v>
      </c>
      <c r="B303" s="69">
        <v>7.1800603875000002</v>
      </c>
      <c r="C303" s="28">
        <f t="shared" si="23"/>
        <v>0.37491269694453955</v>
      </c>
      <c r="D303" s="52">
        <v>170.33799999999999</v>
      </c>
      <c r="E303" s="47">
        <v>651.91999999999996</v>
      </c>
      <c r="F303" s="44">
        <v>18.34</v>
      </c>
      <c r="G303" s="11">
        <v>6.845E-4</v>
      </c>
      <c r="H303" s="61">
        <f t="shared" si="21"/>
        <v>249.03216374269002</v>
      </c>
      <c r="I303" s="29">
        <f t="shared" si="22"/>
        <v>0.23144676137041426</v>
      </c>
      <c r="J303" s="52">
        <v>0.432</v>
      </c>
      <c r="K303" s="75">
        <v>-5.1002999999999998</v>
      </c>
      <c r="L303" s="81">
        <v>1039.0999999999999</v>
      </c>
      <c r="M303" s="13">
        <v>8.3999999999999995E-3</v>
      </c>
      <c r="N303" s="12">
        <v>-7.9564000000000006E-6</v>
      </c>
      <c r="O303" s="93">
        <v>0.24890000000000001</v>
      </c>
      <c r="P303" s="94">
        <v>0.25230000000000002</v>
      </c>
      <c r="Q303" s="95">
        <v>0.28570000000000001</v>
      </c>
      <c r="R303" s="111">
        <v>25.088000000000001</v>
      </c>
      <c r="S303" s="118">
        <v>-3499.8</v>
      </c>
      <c r="T303" s="125">
        <v>-5.5365000000000002</v>
      </c>
      <c r="U303" s="14">
        <v>0</v>
      </c>
      <c r="V303" s="30">
        <v>0</v>
      </c>
      <c r="W303" s="138">
        <v>221.965</v>
      </c>
      <c r="X303" s="13">
        <v>0.88227</v>
      </c>
      <c r="Y303" s="14">
        <v>-2.3161000000000002E-3</v>
      </c>
      <c r="Z303" s="30">
        <v>3.0205999999999999E-6</v>
      </c>
      <c r="AA303" s="77">
        <v>0.15840000000000001</v>
      </c>
      <c r="AB303" s="5">
        <v>-6.2971000000000004E-5</v>
      </c>
      <c r="AC303" s="15">
        <v>-1.9445E-7</v>
      </c>
      <c r="AD303" s="146">
        <v>67.543999999999997</v>
      </c>
      <c r="AE303" s="147">
        <v>0.38</v>
      </c>
      <c r="AF303" s="150">
        <v>51.393000000000001</v>
      </c>
      <c r="AG303" s="152">
        <v>1.2222</v>
      </c>
    </row>
    <row r="304" spans="1:33" x14ac:dyDescent="0.2">
      <c r="A304" s="27">
        <v>12</v>
      </c>
      <c r="B304" s="69">
        <v>6.7075639200000001</v>
      </c>
      <c r="C304" s="28">
        <f t="shared" si="23"/>
        <v>0.34520518425875912</v>
      </c>
      <c r="D304" s="52">
        <v>170.33799999999999</v>
      </c>
      <c r="E304" s="47">
        <v>634.39</v>
      </c>
      <c r="F304" s="44">
        <v>18.29</v>
      </c>
      <c r="G304" s="11">
        <v>6.8349999999999997E-4</v>
      </c>
      <c r="H304" s="61">
        <f t="shared" si="21"/>
        <v>249.39677891654466</v>
      </c>
      <c r="I304" s="29">
        <f t="shared" si="22"/>
        <v>0.23684709398453727</v>
      </c>
      <c r="J304" s="52">
        <v>0.46200000000000002</v>
      </c>
      <c r="K304" s="75">
        <v>-5.1597999999999997</v>
      </c>
      <c r="L304" s="81">
        <v>1021.3</v>
      </c>
      <c r="M304" s="13">
        <v>8.8999999999999999E-3</v>
      </c>
      <c r="N304" s="12">
        <v>-8.6349999999999995E-6</v>
      </c>
      <c r="O304" s="93">
        <v>0.2492</v>
      </c>
      <c r="P304" s="94">
        <v>0.25619999999999998</v>
      </c>
      <c r="Q304" s="95">
        <v>0.28570000000000001</v>
      </c>
      <c r="R304" s="111">
        <v>25.867999999999999</v>
      </c>
      <c r="S304" s="118">
        <v>-3511</v>
      </c>
      <c r="T304" s="125">
        <v>-5.7793000000000001</v>
      </c>
      <c r="U304" s="14">
        <v>0</v>
      </c>
      <c r="V304" s="30">
        <v>0</v>
      </c>
      <c r="W304" s="138">
        <v>231.08500000000001</v>
      </c>
      <c r="X304" s="13">
        <v>0.84975999999999996</v>
      </c>
      <c r="Y304" s="14">
        <v>-2.3278000000000001E-3</v>
      </c>
      <c r="Z304" s="30">
        <v>3.1841999999999999E-6</v>
      </c>
      <c r="AA304" s="77">
        <v>0.16159999999999999</v>
      </c>
      <c r="AB304" s="5">
        <v>-7.2977000000000003E-5</v>
      </c>
      <c r="AC304" s="15">
        <v>-1.9919E-7</v>
      </c>
      <c r="AD304" s="146">
        <v>66.378</v>
      </c>
      <c r="AE304" s="147">
        <v>0.38</v>
      </c>
      <c r="AF304" s="150">
        <v>51.372999999999998</v>
      </c>
      <c r="AG304" s="152">
        <v>1.2222</v>
      </c>
    </row>
    <row r="305" spans="1:33" x14ac:dyDescent="0.2">
      <c r="A305" s="27">
        <v>12</v>
      </c>
      <c r="B305" s="69">
        <v>7.5408292474999996</v>
      </c>
      <c r="C305" s="28">
        <f t="shared" si="23"/>
        <v>0.39759550247278302</v>
      </c>
      <c r="D305" s="52">
        <v>170.33799999999999</v>
      </c>
      <c r="E305" s="47">
        <v>669.75</v>
      </c>
      <c r="F305" s="44">
        <v>18.39</v>
      </c>
      <c r="G305" s="11">
        <v>6.8550000000000002E-4</v>
      </c>
      <c r="H305" s="61">
        <f t="shared" si="21"/>
        <v>248.66861313868614</v>
      </c>
      <c r="I305" s="29">
        <f t="shared" si="22"/>
        <v>0.22622966805946118</v>
      </c>
      <c r="J305" s="52">
        <v>0.40300000000000002</v>
      </c>
      <c r="K305" s="75">
        <v>-5.0084999999999997</v>
      </c>
      <c r="L305" s="81">
        <v>1051.5</v>
      </c>
      <c r="M305" s="13">
        <v>7.9000000000000008E-3</v>
      </c>
      <c r="N305" s="12">
        <v>-7.2868999999999996E-6</v>
      </c>
      <c r="O305" s="93">
        <v>0.2485</v>
      </c>
      <c r="P305" s="94">
        <v>0.24560000000000001</v>
      </c>
      <c r="Q305" s="95">
        <v>0.28570000000000001</v>
      </c>
      <c r="R305" s="111">
        <v>24.344999999999999</v>
      </c>
      <c r="S305" s="118">
        <v>-3488.2</v>
      </c>
      <c r="T305" s="125">
        <v>-5.3068999999999997</v>
      </c>
      <c r="U305" s="14">
        <v>0</v>
      </c>
      <c r="V305" s="30">
        <v>0</v>
      </c>
      <c r="W305" s="138">
        <v>211.78399999999999</v>
      </c>
      <c r="X305" s="13">
        <v>0.92179</v>
      </c>
      <c r="Y305" s="14">
        <v>-2.3313000000000001E-3</v>
      </c>
      <c r="Z305" s="30">
        <v>2.9042999999999999E-6</v>
      </c>
      <c r="AA305" s="77">
        <v>0.1552</v>
      </c>
      <c r="AB305" s="5">
        <v>-5.3402000000000001E-5</v>
      </c>
      <c r="AC305" s="15">
        <v>-1.8981E-7</v>
      </c>
      <c r="AD305" s="146">
        <v>68.691999999999993</v>
      </c>
      <c r="AE305" s="147">
        <v>0.38</v>
      </c>
      <c r="AF305" s="150">
        <v>51.414000000000001</v>
      </c>
      <c r="AG305" s="152">
        <v>1.2222</v>
      </c>
    </row>
    <row r="306" spans="1:33" x14ac:dyDescent="0.2">
      <c r="A306" s="27">
        <v>12</v>
      </c>
      <c r="B306" s="69">
        <v>9.3640919</v>
      </c>
      <c r="C306" s="28">
        <f t="shared" si="23"/>
        <v>0.51223043014799019</v>
      </c>
      <c r="D306" s="52">
        <v>170.33799999999999</v>
      </c>
      <c r="E306" s="47">
        <v>664.26</v>
      </c>
      <c r="F306" s="44">
        <v>18.47</v>
      </c>
      <c r="G306" s="11">
        <v>6.7849999999999996E-4</v>
      </c>
      <c r="H306" s="61">
        <f t="shared" si="21"/>
        <v>251.23598820058999</v>
      </c>
      <c r="I306" s="29">
        <f t="shared" si="22"/>
        <v>0.22675061204771693</v>
      </c>
      <c r="J306" s="52">
        <v>0.40400000000000003</v>
      </c>
      <c r="K306" s="75">
        <v>-5.0239000000000003</v>
      </c>
      <c r="L306" s="81">
        <v>1045</v>
      </c>
      <c r="M306" s="13">
        <v>8.0000000000000002E-3</v>
      </c>
      <c r="N306" s="12">
        <v>-7.4444000000000002E-6</v>
      </c>
      <c r="O306" s="93">
        <v>0.25109999999999999</v>
      </c>
      <c r="P306" s="94">
        <v>0.24940000000000001</v>
      </c>
      <c r="Q306" s="95">
        <v>0.28570000000000001</v>
      </c>
      <c r="R306" s="111">
        <v>24.53</v>
      </c>
      <c r="S306" s="118">
        <v>-3477.3</v>
      </c>
      <c r="T306" s="125">
        <v>-5.3692000000000002</v>
      </c>
      <c r="U306" s="14">
        <v>0</v>
      </c>
      <c r="V306" s="30">
        <v>0</v>
      </c>
      <c r="W306" s="138">
        <v>231.226</v>
      </c>
      <c r="X306" s="13">
        <v>0.78158000000000005</v>
      </c>
      <c r="Y306" s="14">
        <v>-2.0225E-3</v>
      </c>
      <c r="Z306" s="30">
        <v>2.6958999999999999E-6</v>
      </c>
      <c r="AA306" s="77">
        <v>0.15859999999999999</v>
      </c>
      <c r="AB306" s="5">
        <v>-6.6896000000000005E-5</v>
      </c>
      <c r="AC306" s="15">
        <v>-1.8063E-7</v>
      </c>
      <c r="AD306" s="148">
        <v>68.063999999999993</v>
      </c>
      <c r="AE306" s="147">
        <v>0.38</v>
      </c>
      <c r="AF306" s="150">
        <v>51.369</v>
      </c>
      <c r="AG306" s="152">
        <v>1.2222</v>
      </c>
    </row>
    <row r="307" spans="1:33" x14ac:dyDescent="0.2">
      <c r="A307" s="27">
        <v>12</v>
      </c>
      <c r="B307" s="69">
        <v>5.5793762349999998</v>
      </c>
      <c r="C307" s="28">
        <f t="shared" si="23"/>
        <v>0.27427206143265304</v>
      </c>
      <c r="D307" s="52">
        <v>170.33799999999999</v>
      </c>
      <c r="E307" s="48">
        <v>648.03</v>
      </c>
      <c r="F307" s="48">
        <v>18.22</v>
      </c>
      <c r="G307" s="35">
        <v>6.9050000000000003E-4</v>
      </c>
      <c r="H307" s="61">
        <f t="shared" si="21"/>
        <v>246.86666666666667</v>
      </c>
      <c r="I307" s="29">
        <f t="shared" si="22"/>
        <v>0.23334168602949029</v>
      </c>
      <c r="J307" s="55">
        <v>0.46100000000000002</v>
      </c>
      <c r="K307" s="76">
        <v>-5.2682000000000002</v>
      </c>
      <c r="L307" s="82">
        <v>1058.2</v>
      </c>
      <c r="M307" s="85">
        <v>8.8999999999999999E-3</v>
      </c>
      <c r="N307" s="4">
        <v>-8.4264999999999997E-6</v>
      </c>
      <c r="O307" s="96">
        <v>0.2467</v>
      </c>
      <c r="P307" s="97">
        <v>0.25319999999999998</v>
      </c>
      <c r="Q307" s="98">
        <v>0.28570000000000001</v>
      </c>
      <c r="R307" s="114">
        <v>25.393000000000001</v>
      </c>
      <c r="S307" s="120">
        <v>-3544.7</v>
      </c>
      <c r="T307" s="127">
        <v>-5.6151</v>
      </c>
      <c r="U307" s="14">
        <v>0</v>
      </c>
      <c r="V307" s="14">
        <v>0</v>
      </c>
      <c r="W307" s="139">
        <v>213.798</v>
      </c>
      <c r="X307" s="7">
        <v>0.97553999999999996</v>
      </c>
      <c r="Y307" s="8">
        <v>-2.5676000000000002E-3</v>
      </c>
      <c r="Z307" s="33">
        <v>3.2654000000000001E-6</v>
      </c>
      <c r="AA307" s="141">
        <v>0.15820000000000001</v>
      </c>
      <c r="AB307" s="9">
        <v>-5.7912999999999999E-5</v>
      </c>
      <c r="AC307" s="10">
        <v>-2.0421E-7</v>
      </c>
      <c r="AD307" s="146">
        <v>67.954999999999998</v>
      </c>
      <c r="AE307" s="147">
        <v>0.38</v>
      </c>
      <c r="AF307" s="150">
        <v>51.654000000000003</v>
      </c>
      <c r="AG307" s="152">
        <v>1.2222</v>
      </c>
    </row>
    <row r="308" spans="1:33" x14ac:dyDescent="0.2">
      <c r="A308" s="27">
        <v>12</v>
      </c>
      <c r="B308" s="69">
        <v>7.0742360975</v>
      </c>
      <c r="C308" s="28">
        <f t="shared" si="23"/>
        <v>0.36825915209525723</v>
      </c>
      <c r="D308" s="52">
        <v>170.33799999999999</v>
      </c>
      <c r="E308" s="47">
        <v>642.54999999999995</v>
      </c>
      <c r="F308" s="44">
        <v>18.22</v>
      </c>
      <c r="G308" s="11">
        <v>6.9050000000000003E-4</v>
      </c>
      <c r="H308" s="61">
        <f t="shared" si="21"/>
        <v>246.86666666666667</v>
      </c>
      <c r="I308" s="29">
        <f t="shared" si="22"/>
        <v>0.23533174507460994</v>
      </c>
      <c r="J308" s="52">
        <v>0.46100000000000002</v>
      </c>
      <c r="K308" s="75">
        <v>-5.1977000000000002</v>
      </c>
      <c r="L308" s="81">
        <v>1039.9000000000001</v>
      </c>
      <c r="M308" s="13">
        <v>8.8000000000000005E-3</v>
      </c>
      <c r="N308" s="12">
        <v>-8.4583E-6</v>
      </c>
      <c r="O308" s="93">
        <v>0.2467</v>
      </c>
      <c r="P308" s="94">
        <v>0.26019999999999999</v>
      </c>
      <c r="Q308" s="95">
        <v>0.28570000000000001</v>
      </c>
      <c r="R308" s="111">
        <v>25.571000000000002</v>
      </c>
      <c r="S308" s="118">
        <v>-3529.6</v>
      </c>
      <c r="T308" s="125">
        <v>-5.6776999999999997</v>
      </c>
      <c r="U308" s="14">
        <v>0</v>
      </c>
      <c r="V308" s="30">
        <v>0</v>
      </c>
      <c r="W308" s="138">
        <v>214.75899999999999</v>
      </c>
      <c r="X308" s="13">
        <v>0.96840999999999999</v>
      </c>
      <c r="Y308" s="14">
        <v>-2.5590000000000001E-3</v>
      </c>
      <c r="Z308" s="30">
        <v>3.2661E-6</v>
      </c>
      <c r="AA308" s="77">
        <v>0.15809999999999999</v>
      </c>
      <c r="AB308" s="5">
        <v>-5.8109000000000002E-5</v>
      </c>
      <c r="AC308" s="15">
        <v>-2.0783E-7</v>
      </c>
      <c r="AD308" s="146">
        <v>67.325999999999993</v>
      </c>
      <c r="AE308" s="147">
        <v>0.38</v>
      </c>
      <c r="AF308" s="150">
        <v>51.500999999999998</v>
      </c>
      <c r="AG308" s="152">
        <v>1.2222</v>
      </c>
    </row>
    <row r="309" spans="1:33" x14ac:dyDescent="0.2">
      <c r="A309" s="27">
        <v>12</v>
      </c>
      <c r="B309" s="69">
        <v>6.2568233475000001</v>
      </c>
      <c r="C309" s="28">
        <f t="shared" si="23"/>
        <v>0.31686554111520554</v>
      </c>
      <c r="D309" s="52">
        <v>170.33799999999999</v>
      </c>
      <c r="E309" s="47">
        <v>650.77</v>
      </c>
      <c r="F309" s="44">
        <v>18.22</v>
      </c>
      <c r="G309" s="11">
        <v>6.9050000000000003E-4</v>
      </c>
      <c r="H309" s="61">
        <f t="shared" si="21"/>
        <v>246.86666666666667</v>
      </c>
      <c r="I309" s="29">
        <f t="shared" si="22"/>
        <v>0.23235922491462516</v>
      </c>
      <c r="J309" s="52">
        <v>0.46100000000000002</v>
      </c>
      <c r="K309" s="75">
        <v>-5.3000999999999996</v>
      </c>
      <c r="L309" s="81">
        <v>1066.9000000000001</v>
      </c>
      <c r="M309" s="13">
        <v>8.8999999999999999E-3</v>
      </c>
      <c r="N309" s="12">
        <v>-8.4060000000000005E-6</v>
      </c>
      <c r="O309" s="93">
        <v>0.2467</v>
      </c>
      <c r="P309" s="94">
        <v>0.25600000000000001</v>
      </c>
      <c r="Q309" s="95">
        <v>0.28570000000000001</v>
      </c>
      <c r="R309" s="111">
        <v>25.305</v>
      </c>
      <c r="S309" s="118">
        <v>-3552.3</v>
      </c>
      <c r="T309" s="125">
        <v>-5.5842999999999998</v>
      </c>
      <c r="U309" s="14">
        <v>0</v>
      </c>
      <c r="V309" s="30">
        <v>0</v>
      </c>
      <c r="W309" s="138">
        <v>216.67099999999999</v>
      </c>
      <c r="X309" s="13">
        <v>0.95394000000000001</v>
      </c>
      <c r="Y309" s="14">
        <v>-2.4981999999999999E-3</v>
      </c>
      <c r="Z309" s="30">
        <v>3.1744999999999998E-6</v>
      </c>
      <c r="AA309" s="77">
        <v>0.15820000000000001</v>
      </c>
      <c r="AB309" s="5">
        <v>-5.7812999999999997E-5</v>
      </c>
      <c r="AC309" s="15">
        <v>-2.0244E-7</v>
      </c>
      <c r="AD309" s="146">
        <v>68.27</v>
      </c>
      <c r="AE309" s="147">
        <v>0.38</v>
      </c>
      <c r="AF309" s="150">
        <v>51.73</v>
      </c>
      <c r="AG309" s="152">
        <v>1.2222</v>
      </c>
    </row>
    <row r="310" spans="1:33" x14ac:dyDescent="0.2">
      <c r="A310" s="27">
        <v>12</v>
      </c>
      <c r="B310" s="69">
        <v>6.0600737750000002</v>
      </c>
      <c r="C310" s="28">
        <f t="shared" si="23"/>
        <v>0.30449520435503574</v>
      </c>
      <c r="D310" s="52">
        <v>170.33799999999999</v>
      </c>
      <c r="E310" s="47">
        <v>646.66</v>
      </c>
      <c r="F310" s="44">
        <v>18.22</v>
      </c>
      <c r="G310" s="11">
        <v>6.9050000000000003E-4</v>
      </c>
      <c r="H310" s="61">
        <f t="shared" si="21"/>
        <v>246.86666666666667</v>
      </c>
      <c r="I310" s="29">
        <f t="shared" si="22"/>
        <v>0.23383603871847741</v>
      </c>
      <c r="J310" s="52">
        <v>0.46100000000000002</v>
      </c>
      <c r="K310" s="75">
        <v>-5.2514000000000003</v>
      </c>
      <c r="L310" s="81">
        <v>1053.8</v>
      </c>
      <c r="M310" s="13">
        <v>8.8999999999999999E-3</v>
      </c>
      <c r="N310" s="12">
        <v>-8.4356999999999995E-6</v>
      </c>
      <c r="O310" s="93">
        <v>0.2467</v>
      </c>
      <c r="P310" s="94">
        <v>0.2581</v>
      </c>
      <c r="Q310" s="95">
        <v>0.28570000000000001</v>
      </c>
      <c r="R310" s="111">
        <v>25.437000000000001</v>
      </c>
      <c r="S310" s="118">
        <v>-3540.9</v>
      </c>
      <c r="T310" s="125">
        <v>-5.6306000000000003</v>
      </c>
      <c r="U310" s="14">
        <v>0</v>
      </c>
      <c r="V310" s="30">
        <v>0</v>
      </c>
      <c r="W310" s="138">
        <v>215.739</v>
      </c>
      <c r="X310" s="13">
        <v>0.96094999999999997</v>
      </c>
      <c r="Y310" s="14">
        <v>-2.5278000000000002E-3</v>
      </c>
      <c r="Z310" s="30">
        <v>3.2192999999999998E-6</v>
      </c>
      <c r="AA310" s="77">
        <v>0.15809999999999999</v>
      </c>
      <c r="AB310" s="5">
        <v>-5.7961999999999998E-5</v>
      </c>
      <c r="AC310" s="15">
        <v>-2.051E-7</v>
      </c>
      <c r="AD310" s="146">
        <v>67.798000000000002</v>
      </c>
      <c r="AE310" s="147">
        <v>0.38</v>
      </c>
      <c r="AF310" s="150">
        <v>51.616</v>
      </c>
      <c r="AG310" s="152">
        <v>1.2222</v>
      </c>
    </row>
    <row r="311" spans="1:33" x14ac:dyDescent="0.2">
      <c r="A311" s="27">
        <v>12</v>
      </c>
      <c r="B311" s="69">
        <v>5.9858781675000001</v>
      </c>
      <c r="C311" s="28">
        <f t="shared" si="23"/>
        <v>0.29983026587899214</v>
      </c>
      <c r="D311" s="52">
        <v>170.33799999999999</v>
      </c>
      <c r="E311" s="47">
        <v>645.29</v>
      </c>
      <c r="F311" s="44">
        <v>18.22</v>
      </c>
      <c r="G311" s="11">
        <v>6.9050000000000003E-4</v>
      </c>
      <c r="H311" s="61">
        <f t="shared" si="21"/>
        <v>246.86666666666667</v>
      </c>
      <c r="I311" s="29">
        <f t="shared" si="22"/>
        <v>0.23433249050456478</v>
      </c>
      <c r="J311" s="52">
        <v>0.46100000000000002</v>
      </c>
      <c r="K311" s="75">
        <v>-5.2340999999999998</v>
      </c>
      <c r="L311" s="81">
        <v>1049.3</v>
      </c>
      <c r="M311" s="13">
        <v>8.8999999999999999E-3</v>
      </c>
      <c r="N311" s="12">
        <v>-8.4440000000000008E-6</v>
      </c>
      <c r="O311" s="93">
        <v>0.2467</v>
      </c>
      <c r="P311" s="94">
        <v>0.28139999999999998</v>
      </c>
      <c r="Q311" s="95">
        <v>0.28570000000000001</v>
      </c>
      <c r="R311" s="111">
        <v>25.481000000000002</v>
      </c>
      <c r="S311" s="118">
        <v>-3537.1</v>
      </c>
      <c r="T311" s="125">
        <v>-5.6462000000000003</v>
      </c>
      <c r="U311" s="14">
        <v>0</v>
      </c>
      <c r="V311" s="30">
        <v>0</v>
      </c>
      <c r="W311" s="138">
        <v>226.67400000000001</v>
      </c>
      <c r="X311" s="13">
        <v>0.87943000000000005</v>
      </c>
      <c r="Y311" s="14">
        <v>-2.2926000000000001E-3</v>
      </c>
      <c r="Z311" s="30">
        <v>2.9313000000000002E-6</v>
      </c>
      <c r="AA311" s="77">
        <v>0.15809999999999999</v>
      </c>
      <c r="AB311" s="5">
        <v>-5.8012E-5</v>
      </c>
      <c r="AC311" s="15">
        <v>-2.0601E-7</v>
      </c>
      <c r="AD311" s="146">
        <v>67.641000000000005</v>
      </c>
      <c r="AE311" s="147">
        <v>0.38</v>
      </c>
      <c r="AF311" s="150">
        <v>51.576999999999998</v>
      </c>
      <c r="AG311" s="152">
        <v>1.2222</v>
      </c>
    </row>
    <row r="312" spans="1:33" x14ac:dyDescent="0.2">
      <c r="A312" s="27">
        <v>12</v>
      </c>
      <c r="B312" s="69">
        <v>4.4205413250000003</v>
      </c>
      <c r="C312" s="28">
        <f t="shared" si="23"/>
        <v>0.20141203991397327</v>
      </c>
      <c r="D312" s="52">
        <v>170.33799999999999</v>
      </c>
      <c r="E312" s="48">
        <v>642.97</v>
      </c>
      <c r="F312" s="48">
        <v>18.170000000000002</v>
      </c>
      <c r="G312" s="35">
        <v>6.8950000000000001E-4</v>
      </c>
      <c r="H312" s="61">
        <f t="shared" si="21"/>
        <v>247.22496371552973</v>
      </c>
      <c r="I312" s="29">
        <f t="shared" si="22"/>
        <v>0.23419273536103991</v>
      </c>
      <c r="J312" s="55">
        <v>0.49099999999999999</v>
      </c>
      <c r="K312" s="76">
        <v>-5.5022000000000002</v>
      </c>
      <c r="L312" s="82">
        <v>1083.7</v>
      </c>
      <c r="M312" s="85">
        <v>9.5999999999999992E-3</v>
      </c>
      <c r="N312" s="4">
        <v>-9.0587000000000002E-6</v>
      </c>
      <c r="O312" s="96">
        <v>0.24709999999999999</v>
      </c>
      <c r="P312" s="97">
        <v>0.25600000000000001</v>
      </c>
      <c r="Q312" s="98">
        <v>0.28570000000000001</v>
      </c>
      <c r="R312" s="114">
        <v>25.765000000000001</v>
      </c>
      <c r="S312" s="120">
        <v>-3589.9</v>
      </c>
      <c r="T312" s="127">
        <v>-5.7145000000000001</v>
      </c>
      <c r="U312" s="14">
        <v>0</v>
      </c>
      <c r="V312" s="14">
        <v>0</v>
      </c>
      <c r="W312" s="139">
        <v>228.756</v>
      </c>
      <c r="X312" s="7">
        <v>0.90042</v>
      </c>
      <c r="Y312" s="8">
        <v>-2.4296000000000001E-3</v>
      </c>
      <c r="Z312" s="33">
        <v>3.2182E-6</v>
      </c>
      <c r="AA312" s="141">
        <v>0.16170000000000001</v>
      </c>
      <c r="AB312" s="9">
        <v>-6.7440000000000005E-5</v>
      </c>
      <c r="AC312" s="10">
        <v>-2.0095000000000001E-7</v>
      </c>
      <c r="AD312" s="146">
        <v>68.201999999999998</v>
      </c>
      <c r="AE312" s="147">
        <v>0.38</v>
      </c>
      <c r="AF312" s="150">
        <v>51.991999999999997</v>
      </c>
      <c r="AG312" s="152">
        <v>1.2222</v>
      </c>
    </row>
    <row r="313" spans="1:33" x14ac:dyDescent="0.2">
      <c r="A313" s="27">
        <v>12</v>
      </c>
      <c r="B313" s="69">
        <v>5.4031644200000004</v>
      </c>
      <c r="C313" s="28">
        <f t="shared" si="23"/>
        <v>0.26319300563104142</v>
      </c>
      <c r="D313" s="52">
        <v>170.33799999999999</v>
      </c>
      <c r="E313" s="47">
        <v>636.16</v>
      </c>
      <c r="F313" s="44">
        <v>18.170000000000002</v>
      </c>
      <c r="G313" s="11">
        <v>6.8950000000000001E-4</v>
      </c>
      <c r="H313" s="61">
        <f t="shared" si="21"/>
        <v>247.22496371552973</v>
      </c>
      <c r="I313" s="29">
        <f t="shared" si="22"/>
        <v>0.23669973443015568</v>
      </c>
      <c r="J313" s="52">
        <v>0.49099999999999999</v>
      </c>
      <c r="K313" s="75">
        <v>-5.4128999999999996</v>
      </c>
      <c r="L313" s="81">
        <v>1060.5</v>
      </c>
      <c r="M313" s="13">
        <v>9.4999999999999998E-3</v>
      </c>
      <c r="N313" s="12">
        <v>-9.1087999999999999E-6</v>
      </c>
      <c r="O313" s="93">
        <v>0.24709999999999999</v>
      </c>
      <c r="P313" s="94">
        <v>0.26019999999999999</v>
      </c>
      <c r="Q313" s="95">
        <v>0.28570000000000001</v>
      </c>
      <c r="R313" s="111">
        <v>25.992999999999999</v>
      </c>
      <c r="S313" s="118">
        <v>-3570.7</v>
      </c>
      <c r="T313" s="125">
        <v>-5.7945000000000002</v>
      </c>
      <c r="U313" s="14">
        <v>0</v>
      </c>
      <c r="V313" s="30">
        <v>0</v>
      </c>
      <c r="W313" s="138">
        <v>227.65700000000001</v>
      </c>
      <c r="X313" s="13">
        <v>0.90827000000000002</v>
      </c>
      <c r="Y313" s="14">
        <v>-2.4686999999999999E-3</v>
      </c>
      <c r="Z313" s="30">
        <v>3.2828999999999999E-6</v>
      </c>
      <c r="AA313" s="77">
        <v>0.16159999999999999</v>
      </c>
      <c r="AB313" s="5">
        <v>-6.7917999999999996E-5</v>
      </c>
      <c r="AC313" s="15">
        <v>-2.0529000000000001E-7</v>
      </c>
      <c r="AD313" s="146">
        <v>67.412000000000006</v>
      </c>
      <c r="AE313" s="147">
        <v>0.38</v>
      </c>
      <c r="AF313" s="150">
        <v>51.798000000000002</v>
      </c>
      <c r="AG313" s="152">
        <v>1.2222</v>
      </c>
    </row>
    <row r="314" spans="1:33" x14ac:dyDescent="0.2">
      <c r="A314" s="27">
        <v>12</v>
      </c>
      <c r="B314" s="69">
        <v>6.0606479425000002</v>
      </c>
      <c r="C314" s="28">
        <f t="shared" si="23"/>
        <v>0.30453130428268232</v>
      </c>
      <c r="D314" s="52">
        <v>170.33799999999999</v>
      </c>
      <c r="E314" s="47">
        <v>642.54999999999995</v>
      </c>
      <c r="F314" s="44">
        <v>18.22</v>
      </c>
      <c r="G314" s="11">
        <v>6.9050000000000003E-4</v>
      </c>
      <c r="H314" s="61">
        <f t="shared" si="21"/>
        <v>246.86666666666667</v>
      </c>
      <c r="I314" s="29">
        <f t="shared" si="22"/>
        <v>0.23533174507460994</v>
      </c>
      <c r="J314" s="52">
        <v>0.46100000000000002</v>
      </c>
      <c r="K314" s="75">
        <v>-5.1977000000000002</v>
      </c>
      <c r="L314" s="81">
        <v>1039.9000000000001</v>
      </c>
      <c r="M314" s="13">
        <v>8.8000000000000005E-3</v>
      </c>
      <c r="N314" s="12">
        <v>-8.4583E-6</v>
      </c>
      <c r="O314" s="93">
        <v>0.2467</v>
      </c>
      <c r="P314" s="94">
        <v>0.25779999999999997</v>
      </c>
      <c r="Q314" s="95">
        <v>0.28570000000000001</v>
      </c>
      <c r="R314" s="111">
        <v>25.571000000000002</v>
      </c>
      <c r="S314" s="118">
        <v>-3529.6</v>
      </c>
      <c r="T314" s="125">
        <v>-5.6776999999999997</v>
      </c>
      <c r="U314" s="14">
        <v>0</v>
      </c>
      <c r="V314" s="30">
        <v>0</v>
      </c>
      <c r="W314" s="138">
        <v>213.49</v>
      </c>
      <c r="X314" s="13">
        <v>0.97797000000000001</v>
      </c>
      <c r="Y314" s="14">
        <v>-2.5872E-3</v>
      </c>
      <c r="Z314" s="30">
        <v>3.3009E-6</v>
      </c>
      <c r="AA314" s="77">
        <v>0.15809999999999999</v>
      </c>
      <c r="AB314" s="5">
        <v>-5.8109000000000002E-5</v>
      </c>
      <c r="AC314" s="15">
        <v>-2.0783E-7</v>
      </c>
      <c r="AD314" s="146">
        <v>67.325999999999993</v>
      </c>
      <c r="AE314" s="147">
        <v>0.38</v>
      </c>
      <c r="AF314" s="150">
        <v>51.500999999999998</v>
      </c>
      <c r="AG314" s="152">
        <v>1.2222</v>
      </c>
    </row>
    <row r="315" spans="1:33" x14ac:dyDescent="0.2">
      <c r="A315" s="27">
        <v>12</v>
      </c>
      <c r="B315" s="69">
        <v>5.4027656400000001</v>
      </c>
      <c r="C315" s="28">
        <f t="shared" si="23"/>
        <v>0.26316793293161678</v>
      </c>
      <c r="D315" s="52">
        <v>170.33799999999999</v>
      </c>
      <c r="E315" s="47">
        <v>640.25</v>
      </c>
      <c r="F315" s="44">
        <v>18.170000000000002</v>
      </c>
      <c r="G315" s="11">
        <v>6.8950000000000001E-4</v>
      </c>
      <c r="H315" s="61">
        <f t="shared" si="21"/>
        <v>247.22496371552973</v>
      </c>
      <c r="I315" s="29">
        <f t="shared" si="22"/>
        <v>0.23518766584160536</v>
      </c>
      <c r="J315" s="52">
        <v>0.49099999999999999</v>
      </c>
      <c r="K315" s="75">
        <v>-5.4683000000000002</v>
      </c>
      <c r="L315" s="81">
        <v>1074.7</v>
      </c>
      <c r="M315" s="13">
        <v>9.4999999999999998E-3</v>
      </c>
      <c r="N315" s="12">
        <v>-9.0813000000000006E-6</v>
      </c>
      <c r="O315" s="93">
        <v>0.24709999999999999</v>
      </c>
      <c r="P315" s="94">
        <v>0.2606</v>
      </c>
      <c r="Q315" s="95">
        <v>0.28570000000000001</v>
      </c>
      <c r="R315" s="111">
        <v>25.855</v>
      </c>
      <c r="S315" s="118">
        <v>-3582.2</v>
      </c>
      <c r="T315" s="125">
        <v>-5.7462999999999997</v>
      </c>
      <c r="U315" s="14">
        <v>0</v>
      </c>
      <c r="V315" s="30">
        <v>0</v>
      </c>
      <c r="W315" s="138">
        <v>229.708</v>
      </c>
      <c r="X315" s="13">
        <v>0.89290000000000003</v>
      </c>
      <c r="Y315" s="14">
        <v>-2.4126999999999998E-3</v>
      </c>
      <c r="Z315" s="30">
        <v>3.2024E-6</v>
      </c>
      <c r="AA315" s="77">
        <v>0.16159999999999999</v>
      </c>
      <c r="AB315" s="5">
        <v>-6.7631000000000004E-5</v>
      </c>
      <c r="AC315" s="15">
        <v>-2.0267E-7</v>
      </c>
      <c r="AD315" s="146">
        <v>67.885999999999996</v>
      </c>
      <c r="AE315" s="147">
        <v>0.38</v>
      </c>
      <c r="AF315" s="150">
        <v>51.914000000000001</v>
      </c>
      <c r="AG315" s="152">
        <v>1.2222</v>
      </c>
    </row>
    <row r="316" spans="1:33" x14ac:dyDescent="0.2">
      <c r="A316" s="27">
        <v>12</v>
      </c>
      <c r="B316" s="69">
        <v>5.1054987299999999</v>
      </c>
      <c r="C316" s="28">
        <f t="shared" si="23"/>
        <v>0.24447771806797283</v>
      </c>
      <c r="D316" s="52">
        <v>170.33799999999999</v>
      </c>
      <c r="E316" s="47">
        <v>640.25</v>
      </c>
      <c r="F316" s="44">
        <v>18.170000000000002</v>
      </c>
      <c r="G316" s="11">
        <v>6.8950000000000001E-4</v>
      </c>
      <c r="H316" s="61">
        <f t="shared" si="21"/>
        <v>247.22496371552973</v>
      </c>
      <c r="I316" s="29">
        <f t="shared" si="22"/>
        <v>0.23518766584160536</v>
      </c>
      <c r="J316" s="52">
        <v>0.49099999999999999</v>
      </c>
      <c r="K316" s="75">
        <v>-5.4683000000000002</v>
      </c>
      <c r="L316" s="81">
        <v>1074.7</v>
      </c>
      <c r="M316" s="13">
        <v>9.4999999999999998E-3</v>
      </c>
      <c r="N316" s="12">
        <v>-9.0813000000000006E-6</v>
      </c>
      <c r="O316" s="93">
        <v>0.24709999999999999</v>
      </c>
      <c r="P316" s="94">
        <v>0.25819999999999999</v>
      </c>
      <c r="Q316" s="95">
        <v>0.28570000000000001</v>
      </c>
      <c r="R316" s="111">
        <v>25.855</v>
      </c>
      <c r="S316" s="118">
        <v>-3582.2</v>
      </c>
      <c r="T316" s="125">
        <v>-5.7462999999999997</v>
      </c>
      <c r="U316" s="14">
        <v>0</v>
      </c>
      <c r="V316" s="30">
        <v>0</v>
      </c>
      <c r="W316" s="138">
        <v>228.56299999999999</v>
      </c>
      <c r="X316" s="13">
        <v>0.90164999999999995</v>
      </c>
      <c r="Y316" s="14">
        <v>-2.4394E-3</v>
      </c>
      <c r="Z316" s="30">
        <v>3.2364999999999998E-6</v>
      </c>
      <c r="AA316" s="77">
        <v>0.16159999999999999</v>
      </c>
      <c r="AB316" s="5">
        <v>-6.7631000000000004E-5</v>
      </c>
      <c r="AC316" s="15">
        <v>-2.0267E-7</v>
      </c>
      <c r="AD316" s="146">
        <v>67.885999999999996</v>
      </c>
      <c r="AE316" s="147">
        <v>0.38</v>
      </c>
      <c r="AF316" s="150">
        <v>51.914000000000001</v>
      </c>
      <c r="AG316" s="152">
        <v>1.2222</v>
      </c>
    </row>
    <row r="317" spans="1:33" x14ac:dyDescent="0.2">
      <c r="A317" s="27">
        <v>12</v>
      </c>
      <c r="B317" s="69">
        <v>6.0875765775000001</v>
      </c>
      <c r="C317" s="28">
        <f t="shared" si="23"/>
        <v>0.3062244021593839</v>
      </c>
      <c r="D317" s="52">
        <v>170.33799999999999</v>
      </c>
      <c r="E317" s="47">
        <v>638.89</v>
      </c>
      <c r="F317" s="44">
        <v>18.170000000000002</v>
      </c>
      <c r="G317" s="11">
        <v>6.8950000000000001E-4</v>
      </c>
      <c r="H317" s="61">
        <f t="shared" si="21"/>
        <v>247.22496371552973</v>
      </c>
      <c r="I317" s="29">
        <f t="shared" si="22"/>
        <v>0.23568830793264542</v>
      </c>
      <c r="J317" s="52">
        <v>0.49099999999999999</v>
      </c>
      <c r="K317" s="75">
        <v>-5.4504999999999999</v>
      </c>
      <c r="L317" s="81">
        <v>1070</v>
      </c>
      <c r="M317" s="13">
        <v>9.4999999999999998E-3</v>
      </c>
      <c r="N317" s="12">
        <v>-9.0914000000000007E-6</v>
      </c>
      <c r="O317" s="93">
        <v>0.24709999999999999</v>
      </c>
      <c r="P317" s="94">
        <v>0.26279999999999998</v>
      </c>
      <c r="Q317" s="95">
        <v>0.28570000000000001</v>
      </c>
      <c r="R317" s="111">
        <v>25.901</v>
      </c>
      <c r="S317" s="118">
        <v>-3578.4</v>
      </c>
      <c r="T317" s="125">
        <v>-5.7622999999999998</v>
      </c>
      <c r="U317" s="14">
        <v>0</v>
      </c>
      <c r="V317" s="30">
        <v>0</v>
      </c>
      <c r="W317" s="138">
        <v>230.15199999999999</v>
      </c>
      <c r="X317" s="13">
        <v>0.88939999999999997</v>
      </c>
      <c r="Y317" s="14">
        <v>-2.405E-3</v>
      </c>
      <c r="Z317" s="30">
        <v>3.1953999999999999E-6</v>
      </c>
      <c r="AA317" s="77">
        <v>0.16159999999999999</v>
      </c>
      <c r="AB317" s="5">
        <v>-6.7725999999999995E-5</v>
      </c>
      <c r="AC317" s="15">
        <v>-2.0354000000000001E-7</v>
      </c>
      <c r="AD317" s="146">
        <v>67.727999999999994</v>
      </c>
      <c r="AE317" s="147">
        <v>0.38</v>
      </c>
      <c r="AF317" s="150">
        <v>51.875999999999998</v>
      </c>
      <c r="AG317" s="152">
        <v>1.2222</v>
      </c>
    </row>
    <row r="318" spans="1:33" x14ac:dyDescent="0.2">
      <c r="A318" s="27">
        <v>12</v>
      </c>
      <c r="B318" s="69">
        <v>7.38905617125</v>
      </c>
      <c r="C318" s="28">
        <f t="shared" si="23"/>
        <v>0.38805299602418875</v>
      </c>
      <c r="D318" s="52">
        <v>170.33799999999999</v>
      </c>
      <c r="E318" s="47">
        <v>637.13</v>
      </c>
      <c r="F318" s="44">
        <v>18.29</v>
      </c>
      <c r="G318" s="11">
        <v>6.8349999999999997E-4</v>
      </c>
      <c r="H318" s="61">
        <f t="shared" si="21"/>
        <v>249.39677891654466</v>
      </c>
      <c r="I318" s="29">
        <f t="shared" si="22"/>
        <v>0.2358285247168562</v>
      </c>
      <c r="J318" s="52">
        <v>0.46200000000000002</v>
      </c>
      <c r="K318" s="75">
        <v>-5.2020999999999997</v>
      </c>
      <c r="L318" s="81">
        <v>1031.4000000000001</v>
      </c>
      <c r="M318" s="13">
        <v>8.8999999999999999E-3</v>
      </c>
      <c r="N318" s="12">
        <v>-8.6280999999999996E-6</v>
      </c>
      <c r="O318" s="93">
        <v>0.2492</v>
      </c>
      <c r="P318" s="94">
        <v>0.25900000000000001</v>
      </c>
      <c r="Q318" s="95">
        <v>0.28570000000000001</v>
      </c>
      <c r="R318" s="111">
        <v>25.774999999999999</v>
      </c>
      <c r="S318" s="118">
        <v>-3518.5</v>
      </c>
      <c r="T318" s="125">
        <v>-5.7468000000000004</v>
      </c>
      <c r="U318" s="14">
        <v>0</v>
      </c>
      <c r="V318" s="30">
        <v>0</v>
      </c>
      <c r="W318" s="138">
        <v>233.47300000000001</v>
      </c>
      <c r="X318" s="13">
        <v>0.83172000000000001</v>
      </c>
      <c r="Y318" s="14">
        <v>-2.2658999999999999E-3</v>
      </c>
      <c r="Z318" s="30">
        <v>3.0968000000000001E-6</v>
      </c>
      <c r="AA318" s="77">
        <v>0.16159999999999999</v>
      </c>
      <c r="AB318" s="5">
        <v>-7.2738999999999996E-5</v>
      </c>
      <c r="AC318" s="15">
        <v>-1.9749E-7</v>
      </c>
      <c r="AD318" s="146">
        <v>66.691999999999993</v>
      </c>
      <c r="AE318" s="147">
        <v>0.38</v>
      </c>
      <c r="AF318" s="150">
        <v>51.45</v>
      </c>
      <c r="AG318" s="152">
        <v>1.2222</v>
      </c>
    </row>
    <row r="319" spans="1:33" x14ac:dyDescent="0.2">
      <c r="A319" s="27">
        <v>12</v>
      </c>
      <c r="B319" s="69">
        <v>9.3545336250000002</v>
      </c>
      <c r="C319" s="28">
        <f t="shared" si="23"/>
        <v>0.51162946782266516</v>
      </c>
      <c r="D319" s="52">
        <v>170.33799999999999</v>
      </c>
      <c r="E319" s="48">
        <v>638.14</v>
      </c>
      <c r="F319" s="48">
        <v>18.34</v>
      </c>
      <c r="G319" s="35">
        <v>6.845E-4</v>
      </c>
      <c r="H319" s="61">
        <f t="shared" si="21"/>
        <v>249.03216374269002</v>
      </c>
      <c r="I319" s="29">
        <f t="shared" si="22"/>
        <v>0.23644462449086476</v>
      </c>
      <c r="J319" s="55">
        <v>0.432</v>
      </c>
      <c r="K319" s="76">
        <v>-4.9080000000000004</v>
      </c>
      <c r="L319" s="82">
        <v>991.48</v>
      </c>
      <c r="M319" s="85">
        <v>8.2000000000000007E-3</v>
      </c>
      <c r="N319" s="4">
        <v>-7.9961999999999998E-6</v>
      </c>
      <c r="O319" s="96">
        <v>0.24890000000000001</v>
      </c>
      <c r="P319" s="97">
        <v>0.2611</v>
      </c>
      <c r="Q319" s="98">
        <v>0.28570000000000001</v>
      </c>
      <c r="R319" s="114">
        <v>25.535</v>
      </c>
      <c r="S319" s="120">
        <v>-3462.8</v>
      </c>
      <c r="T319" s="127">
        <v>-5.6935000000000002</v>
      </c>
      <c r="U319" s="14">
        <v>0</v>
      </c>
      <c r="V319" s="14">
        <v>0</v>
      </c>
      <c r="W319" s="139">
        <v>219.94399999999999</v>
      </c>
      <c r="X319" s="7">
        <v>0.89746000000000004</v>
      </c>
      <c r="Y319" s="8">
        <v>-2.3906000000000001E-3</v>
      </c>
      <c r="Z319" s="33">
        <v>3.1418000000000001E-6</v>
      </c>
      <c r="AA319" s="141">
        <v>0.15809999999999999</v>
      </c>
      <c r="AB319" s="9">
        <v>-6.3723E-5</v>
      </c>
      <c r="AC319" s="10">
        <v>-2.0311E-7</v>
      </c>
      <c r="AD319" s="146">
        <v>65.981999999999999</v>
      </c>
      <c r="AE319" s="147">
        <v>0.38</v>
      </c>
      <c r="AF319" s="150">
        <v>51.01</v>
      </c>
      <c r="AG319" s="152">
        <v>1.2222</v>
      </c>
    </row>
    <row r="320" spans="1:33" x14ac:dyDescent="0.2">
      <c r="A320" s="27">
        <v>12</v>
      </c>
      <c r="B320" s="69">
        <v>7.6931468887500003</v>
      </c>
      <c r="C320" s="28">
        <f t="shared" si="23"/>
        <v>0.40717224763586202</v>
      </c>
      <c r="D320" s="52">
        <v>170.33799999999999</v>
      </c>
      <c r="E320" s="48">
        <v>634.39</v>
      </c>
      <c r="F320" s="48">
        <v>18.29</v>
      </c>
      <c r="G320" s="35">
        <v>6.8349999999999997E-4</v>
      </c>
      <c r="H320" s="61">
        <f t="shared" si="21"/>
        <v>249.39677891654466</v>
      </c>
      <c r="I320" s="29">
        <f t="shared" si="22"/>
        <v>0.23684709398453727</v>
      </c>
      <c r="J320" s="55">
        <v>0.46200000000000002</v>
      </c>
      <c r="K320" s="76">
        <v>-5.1597999999999997</v>
      </c>
      <c r="L320" s="82">
        <v>1021.3</v>
      </c>
      <c r="M320" s="85">
        <v>8.8999999999999999E-3</v>
      </c>
      <c r="N320" s="4">
        <v>-8.6349999999999995E-6</v>
      </c>
      <c r="O320" s="96">
        <v>0.2492</v>
      </c>
      <c r="P320" s="97">
        <v>0.2611</v>
      </c>
      <c r="Q320" s="98">
        <v>0.28570000000000001</v>
      </c>
      <c r="R320" s="114">
        <v>25.867999999999999</v>
      </c>
      <c r="S320" s="120">
        <v>-3511</v>
      </c>
      <c r="T320" s="127">
        <v>-5.7793000000000001</v>
      </c>
      <c r="U320" s="14">
        <v>0</v>
      </c>
      <c r="V320" s="14">
        <v>0</v>
      </c>
      <c r="W320" s="139">
        <v>233.226</v>
      </c>
      <c r="X320" s="7">
        <v>0.83337000000000006</v>
      </c>
      <c r="Y320" s="8">
        <v>-2.2769000000000001E-3</v>
      </c>
      <c r="Z320" s="33">
        <v>3.1169000000000002E-6</v>
      </c>
      <c r="AA320" s="141">
        <v>0.16159999999999999</v>
      </c>
      <c r="AB320" s="9">
        <v>-7.2977000000000003E-5</v>
      </c>
      <c r="AC320" s="10">
        <v>-1.9919E-7</v>
      </c>
      <c r="AD320" s="146">
        <v>66.378</v>
      </c>
      <c r="AE320" s="147">
        <v>0.38</v>
      </c>
      <c r="AF320" s="150">
        <v>51.372999999999998</v>
      </c>
      <c r="AG320" s="152">
        <v>1.2222</v>
      </c>
    </row>
    <row r="321" spans="1:33" x14ac:dyDescent="0.2">
      <c r="A321" s="27">
        <v>12</v>
      </c>
      <c r="B321" s="69">
        <v>8.3733027999999994</v>
      </c>
      <c r="C321" s="28">
        <f t="shared" si="23"/>
        <v>0.44993603901122903</v>
      </c>
      <c r="D321" s="52">
        <v>170.33799999999999</v>
      </c>
      <c r="E321" s="47">
        <v>635.48</v>
      </c>
      <c r="F321" s="44">
        <v>18.29</v>
      </c>
      <c r="G321" s="11">
        <v>6.8349999999999997E-4</v>
      </c>
      <c r="H321" s="61">
        <f t="shared" si="21"/>
        <v>249.39677891654466</v>
      </c>
      <c r="I321" s="29">
        <f t="shared" si="22"/>
        <v>0.23644084464161041</v>
      </c>
      <c r="J321" s="52">
        <v>0.46200000000000002</v>
      </c>
      <c r="K321" s="75">
        <v>-5.1769999999999996</v>
      </c>
      <c r="L321" s="81">
        <v>1025.4000000000001</v>
      </c>
      <c r="M321" s="13">
        <v>8.8999999999999999E-3</v>
      </c>
      <c r="N321" s="12">
        <v>-8.6326999999999995E-6</v>
      </c>
      <c r="O321" s="93">
        <v>0.2492</v>
      </c>
      <c r="P321" s="94">
        <v>0.26450000000000001</v>
      </c>
      <c r="Q321" s="95">
        <v>0.28570000000000001</v>
      </c>
      <c r="R321" s="111">
        <v>25.831</v>
      </c>
      <c r="S321" s="118">
        <v>-3514</v>
      </c>
      <c r="T321" s="125">
        <v>-5.7663000000000002</v>
      </c>
      <c r="U321" s="14">
        <v>0</v>
      </c>
      <c r="V321" s="30">
        <v>0</v>
      </c>
      <c r="W321" s="138">
        <v>235.16900000000001</v>
      </c>
      <c r="X321" s="13">
        <v>0.81866000000000005</v>
      </c>
      <c r="Y321" s="14">
        <v>-2.2288999999999998E-3</v>
      </c>
      <c r="Z321" s="30">
        <v>3.0512999999999999E-6</v>
      </c>
      <c r="AA321" s="77">
        <v>0.16159999999999999</v>
      </c>
      <c r="AB321" s="5">
        <v>-7.2880999999999996E-5</v>
      </c>
      <c r="AC321" s="15">
        <v>-1.9851E-7</v>
      </c>
      <c r="AD321" s="146">
        <v>66.504000000000005</v>
      </c>
      <c r="AE321" s="147">
        <v>0.38</v>
      </c>
      <c r="AF321" s="150">
        <v>51.404000000000003</v>
      </c>
      <c r="AG321" s="152">
        <v>1.2222</v>
      </c>
    </row>
    <row r="322" spans="1:33" x14ac:dyDescent="0.2">
      <c r="A322" s="27">
        <v>12</v>
      </c>
      <c r="B322" s="69">
        <v>8.3537811000000008</v>
      </c>
      <c r="C322" s="28">
        <f t="shared" si="23"/>
        <v>0.44870864115687797</v>
      </c>
      <c r="D322" s="52">
        <v>170.33799999999999</v>
      </c>
      <c r="E322" s="47">
        <v>653.29</v>
      </c>
      <c r="F322" s="44">
        <v>18.34</v>
      </c>
      <c r="G322" s="11">
        <v>6.845E-4</v>
      </c>
      <c r="H322" s="61">
        <f t="shared" si="21"/>
        <v>249.03216374269002</v>
      </c>
      <c r="I322" s="29">
        <f t="shared" si="22"/>
        <v>0.23096139948966071</v>
      </c>
      <c r="J322" s="52">
        <v>0.432</v>
      </c>
      <c r="K322" s="75">
        <v>-5.1163999999999996</v>
      </c>
      <c r="L322" s="81">
        <v>1043.4000000000001</v>
      </c>
      <c r="M322" s="13">
        <v>8.3999999999999995E-3</v>
      </c>
      <c r="N322" s="12">
        <v>-7.9480000000000008E-6</v>
      </c>
      <c r="O322" s="93">
        <v>0.24890000000000001</v>
      </c>
      <c r="P322" s="94">
        <v>0.25480000000000003</v>
      </c>
      <c r="Q322" s="95">
        <v>0.28570000000000001</v>
      </c>
      <c r="R322" s="111">
        <v>25.044</v>
      </c>
      <c r="S322" s="118">
        <v>-3503.6</v>
      </c>
      <c r="T322" s="125">
        <v>-5.5213000000000001</v>
      </c>
      <c r="U322" s="14">
        <v>0</v>
      </c>
      <c r="V322" s="30">
        <v>0</v>
      </c>
      <c r="W322" s="138">
        <v>223.773</v>
      </c>
      <c r="X322" s="13">
        <v>0.86880999999999997</v>
      </c>
      <c r="Y322" s="14">
        <v>-2.2734000000000001E-3</v>
      </c>
      <c r="Z322" s="30">
        <v>2.9643000000000001E-6</v>
      </c>
      <c r="AA322" s="77">
        <v>0.15840000000000001</v>
      </c>
      <c r="AB322" s="5">
        <v>-6.2895E-5</v>
      </c>
      <c r="AC322" s="15">
        <v>-1.9362000000000001E-7</v>
      </c>
      <c r="AD322" s="146">
        <v>67.7</v>
      </c>
      <c r="AE322" s="147">
        <v>0.38</v>
      </c>
      <c r="AF322" s="150">
        <v>51.430999999999997</v>
      </c>
      <c r="AG322" s="152">
        <v>1.2222</v>
      </c>
    </row>
    <row r="323" spans="1:33" x14ac:dyDescent="0.2">
      <c r="A323" s="27">
        <v>12</v>
      </c>
      <c r="B323" s="69">
        <v>12.91043331375</v>
      </c>
      <c r="C323" s="28">
        <f t="shared" si="23"/>
        <v>0.73520137233198979</v>
      </c>
      <c r="D323" s="52">
        <v>170.33799999999999</v>
      </c>
      <c r="E323" s="47">
        <v>654.48</v>
      </c>
      <c r="F323" s="44">
        <v>18.52</v>
      </c>
      <c r="G323" s="11">
        <v>6.7949999999999998E-4</v>
      </c>
      <c r="H323" s="61">
        <f t="shared" ref="H323:H386" si="24">1/LEFT(G323,8)*D323/1000</f>
        <v>250.86597938144328</v>
      </c>
      <c r="I323" s="29">
        <f t="shared" ref="I323:I386" si="25">LEFT(F323,5)*100000/(H323*8.314/(D323/1000)*E323)</f>
        <v>0.23110234739829258</v>
      </c>
      <c r="J323" s="52">
        <v>0.375</v>
      </c>
      <c r="K323" s="75">
        <v>-4.6299000000000001</v>
      </c>
      <c r="L323" s="81">
        <v>974.26</v>
      </c>
      <c r="M323" s="13">
        <v>7.1999999999999998E-3</v>
      </c>
      <c r="N323" s="12">
        <v>-6.9295000000000003E-6</v>
      </c>
      <c r="O323" s="93">
        <v>0.25069999999999998</v>
      </c>
      <c r="P323" s="94">
        <v>0.25829999999999997</v>
      </c>
      <c r="Q323" s="95">
        <v>0.28570000000000001</v>
      </c>
      <c r="R323" s="111">
        <v>24.631</v>
      </c>
      <c r="S323" s="118">
        <v>-3392.4</v>
      </c>
      <c r="T323" s="125">
        <v>-5.4351000000000003</v>
      </c>
      <c r="U323" s="14">
        <v>0</v>
      </c>
      <c r="V323" s="30">
        <v>0</v>
      </c>
      <c r="W323" s="138">
        <v>217.501</v>
      </c>
      <c r="X323" s="13">
        <v>0.84845999999999999</v>
      </c>
      <c r="Y323" s="14">
        <v>-2.1779E-3</v>
      </c>
      <c r="Z323" s="30">
        <v>2.8117999999999999E-6</v>
      </c>
      <c r="AA323" s="77">
        <v>0.155</v>
      </c>
      <c r="AB323" s="5">
        <v>-5.9067000000000002E-5</v>
      </c>
      <c r="AC323" s="15">
        <v>-1.9188E-7</v>
      </c>
      <c r="AD323" s="146">
        <v>66.105999999999995</v>
      </c>
      <c r="AE323" s="147">
        <v>0.38</v>
      </c>
      <c r="AF323" s="150">
        <v>50.65</v>
      </c>
      <c r="AG323" s="152">
        <v>1.2222</v>
      </c>
    </row>
    <row r="324" spans="1:33" x14ac:dyDescent="0.2">
      <c r="A324" s="27">
        <v>12</v>
      </c>
      <c r="B324" s="69">
        <v>9.4030283699999995</v>
      </c>
      <c r="C324" s="28">
        <f t="shared" si="23"/>
        <v>0.51467850279197136</v>
      </c>
      <c r="D324" s="52">
        <v>170.33799999999999</v>
      </c>
      <c r="E324" s="47">
        <v>655.89</v>
      </c>
      <c r="F324" s="44">
        <v>18.39</v>
      </c>
      <c r="G324" s="11">
        <v>6.8550000000000002E-4</v>
      </c>
      <c r="H324" s="61">
        <f t="shared" si="24"/>
        <v>248.66861313868614</v>
      </c>
      <c r="I324" s="29">
        <f t="shared" si="25"/>
        <v>0.2310102611456557</v>
      </c>
      <c r="J324" s="52">
        <v>0.40300000000000002</v>
      </c>
      <c r="K324" s="75">
        <v>-4.8616000000000001</v>
      </c>
      <c r="L324" s="81">
        <v>1010.6</v>
      </c>
      <c r="M324" s="13">
        <v>7.7999999999999996E-3</v>
      </c>
      <c r="N324" s="12">
        <v>-7.3675000000000002E-6</v>
      </c>
      <c r="O324" s="93">
        <v>0.2485</v>
      </c>
      <c r="P324" s="94">
        <v>0.25509999999999999</v>
      </c>
      <c r="Q324" s="95">
        <v>0.28570000000000001</v>
      </c>
      <c r="R324" s="111">
        <v>24.763000000000002</v>
      </c>
      <c r="S324" s="118">
        <v>-3451.3</v>
      </c>
      <c r="T324" s="125">
        <v>-5.4532999999999996</v>
      </c>
      <c r="U324" s="14">
        <v>0</v>
      </c>
      <c r="V324" s="30">
        <v>0</v>
      </c>
      <c r="W324" s="138">
        <v>210.11</v>
      </c>
      <c r="X324" s="13">
        <v>0.93489</v>
      </c>
      <c r="Y324" s="14">
        <v>-2.3969999999999998E-3</v>
      </c>
      <c r="Z324" s="30">
        <v>3.0085000000000001E-6</v>
      </c>
      <c r="AA324" s="77">
        <v>0.15490000000000001</v>
      </c>
      <c r="AB324" s="5">
        <v>-5.3715999999999999E-5</v>
      </c>
      <c r="AC324" s="15">
        <v>-1.9831999999999999E-7</v>
      </c>
      <c r="AD324" s="146">
        <v>67.137</v>
      </c>
      <c r="AE324" s="147">
        <v>0.38</v>
      </c>
      <c r="AF324" s="150">
        <v>51.039000000000001</v>
      </c>
      <c r="AG324" s="152">
        <v>1.2222</v>
      </c>
    </row>
    <row r="325" spans="1:33" x14ac:dyDescent="0.2">
      <c r="A325" s="27">
        <v>12</v>
      </c>
      <c r="B325" s="69">
        <v>6.7737009375000001</v>
      </c>
      <c r="C325" s="28">
        <f t="shared" si="23"/>
        <v>0.34936345087348453</v>
      </c>
      <c r="D325" s="52">
        <v>170.33799999999999</v>
      </c>
      <c r="E325" s="47">
        <v>657.43</v>
      </c>
      <c r="F325" s="44">
        <v>18.34</v>
      </c>
      <c r="G325" s="11">
        <v>6.845E-4</v>
      </c>
      <c r="H325" s="61">
        <f t="shared" si="24"/>
        <v>249.03216374269002</v>
      </c>
      <c r="I325" s="29">
        <f t="shared" si="25"/>
        <v>0.22950697819174734</v>
      </c>
      <c r="J325" s="52">
        <v>0.432</v>
      </c>
      <c r="K325" s="75">
        <v>-5.1616999999999997</v>
      </c>
      <c r="L325" s="81">
        <v>1056</v>
      </c>
      <c r="M325" s="13">
        <v>8.5000000000000006E-3</v>
      </c>
      <c r="N325" s="12">
        <v>-7.9187999999999995E-6</v>
      </c>
      <c r="O325" s="93">
        <v>0.24890000000000001</v>
      </c>
      <c r="P325" s="94">
        <v>0.25040000000000001</v>
      </c>
      <c r="Q325" s="95">
        <v>0.28570000000000001</v>
      </c>
      <c r="R325" s="111">
        <v>24.916</v>
      </c>
      <c r="S325" s="118">
        <v>-3514.8</v>
      </c>
      <c r="T325" s="125">
        <v>-5.4760999999999997</v>
      </c>
      <c r="U325" s="14">
        <v>0</v>
      </c>
      <c r="V325" s="30">
        <v>0</v>
      </c>
      <c r="W325" s="138">
        <v>223.47200000000001</v>
      </c>
      <c r="X325" s="13">
        <v>0.87117</v>
      </c>
      <c r="Y325" s="14">
        <v>-2.2721E-3</v>
      </c>
      <c r="Z325" s="30">
        <v>2.9548000000000001E-6</v>
      </c>
      <c r="AA325" s="77">
        <v>0.1585</v>
      </c>
      <c r="AB325" s="5">
        <v>-6.2668000000000004E-5</v>
      </c>
      <c r="AC325" s="15">
        <v>-1.9114999999999999E-7</v>
      </c>
      <c r="AD325" s="146">
        <v>68.168999999999997</v>
      </c>
      <c r="AE325" s="147">
        <v>0.38</v>
      </c>
      <c r="AF325" s="150">
        <v>51.543999999999997</v>
      </c>
      <c r="AG325" s="152">
        <v>1.2222</v>
      </c>
    </row>
    <row r="326" spans="1:33" x14ac:dyDescent="0.2">
      <c r="A326" s="27">
        <v>12</v>
      </c>
      <c r="B326" s="69">
        <v>7.5400743825000003</v>
      </c>
      <c r="C326" s="28">
        <f t="shared" si="23"/>
        <v>0.39754804145856171</v>
      </c>
      <c r="D326" s="52">
        <v>170.33799999999999</v>
      </c>
      <c r="E326" s="48">
        <v>669.75</v>
      </c>
      <c r="F326" s="48">
        <v>18.39</v>
      </c>
      <c r="G326" s="35">
        <v>6.8550000000000002E-4</v>
      </c>
      <c r="H326" s="61">
        <f t="shared" si="24"/>
        <v>248.66861313868614</v>
      </c>
      <c r="I326" s="29">
        <f t="shared" si="25"/>
        <v>0.22622966805946118</v>
      </c>
      <c r="J326" s="55">
        <v>0.40300000000000002</v>
      </c>
      <c r="K326" s="76">
        <v>-5.0084999999999997</v>
      </c>
      <c r="L326" s="82">
        <v>1051.5</v>
      </c>
      <c r="M326" s="85">
        <v>7.9000000000000008E-3</v>
      </c>
      <c r="N326" s="4">
        <v>-7.2868999999999996E-6</v>
      </c>
      <c r="O326" s="96">
        <v>0.2485</v>
      </c>
      <c r="P326" s="97">
        <v>0.24560000000000001</v>
      </c>
      <c r="Q326" s="98">
        <v>0.28570000000000001</v>
      </c>
      <c r="R326" s="114">
        <v>24.344999999999999</v>
      </c>
      <c r="S326" s="120">
        <v>-3488.2</v>
      </c>
      <c r="T326" s="127">
        <v>-5.3068999999999997</v>
      </c>
      <c r="U326" s="14">
        <v>0</v>
      </c>
      <c r="V326" s="14">
        <v>0</v>
      </c>
      <c r="W326" s="139">
        <v>211.78399999999999</v>
      </c>
      <c r="X326" s="7">
        <v>0.92179</v>
      </c>
      <c r="Y326" s="8">
        <v>-2.3313000000000001E-3</v>
      </c>
      <c r="Z326" s="33">
        <v>2.9042999999999999E-6</v>
      </c>
      <c r="AA326" s="141">
        <v>0.1552</v>
      </c>
      <c r="AB326" s="9">
        <v>-5.3402000000000001E-5</v>
      </c>
      <c r="AC326" s="10">
        <v>-1.8981E-7</v>
      </c>
      <c r="AD326" s="146">
        <v>68.691999999999993</v>
      </c>
      <c r="AE326" s="147">
        <v>0.38</v>
      </c>
      <c r="AF326" s="150">
        <v>51.414000000000001</v>
      </c>
      <c r="AG326" s="152">
        <v>1.2222</v>
      </c>
    </row>
    <row r="327" spans="1:33" x14ac:dyDescent="0.2">
      <c r="A327" s="27">
        <v>12</v>
      </c>
      <c r="B327" s="69">
        <v>5.4084050799999996</v>
      </c>
      <c r="C327" s="28">
        <f t="shared" si="23"/>
        <v>0.26352250433450392</v>
      </c>
      <c r="D327" s="52">
        <v>170.33799999999999</v>
      </c>
      <c r="E327" s="47">
        <v>633.44000000000005</v>
      </c>
      <c r="F327" s="44">
        <v>18.170000000000002</v>
      </c>
      <c r="G327" s="11">
        <v>6.8950000000000001E-4</v>
      </c>
      <c r="H327" s="61">
        <f t="shared" si="24"/>
        <v>247.22496371552973</v>
      </c>
      <c r="I327" s="29">
        <f t="shared" si="25"/>
        <v>0.23771612631833769</v>
      </c>
      <c r="J327" s="52">
        <v>0.49099999999999999</v>
      </c>
      <c r="K327" s="75">
        <v>-5.3726000000000003</v>
      </c>
      <c r="L327" s="81">
        <v>1050.5999999999999</v>
      </c>
      <c r="M327" s="13">
        <v>9.4000000000000004E-3</v>
      </c>
      <c r="N327" s="12">
        <v>-9.1223000000000007E-6</v>
      </c>
      <c r="O327" s="93">
        <v>0.24709999999999999</v>
      </c>
      <c r="P327" s="94">
        <v>0.26</v>
      </c>
      <c r="Q327" s="95">
        <v>0.28570000000000001</v>
      </c>
      <c r="R327" s="111">
        <v>26.085999999999999</v>
      </c>
      <c r="S327" s="118">
        <v>-3563.1</v>
      </c>
      <c r="T327" s="125">
        <v>-5.8272000000000004</v>
      </c>
      <c r="U327" s="14">
        <v>0</v>
      </c>
      <c r="V327" s="30">
        <v>0</v>
      </c>
      <c r="W327" s="138">
        <v>226.298</v>
      </c>
      <c r="X327" s="13">
        <v>0.91852</v>
      </c>
      <c r="Y327" s="14">
        <v>-2.5062999999999999E-3</v>
      </c>
      <c r="Z327" s="30">
        <v>3.3372999999999998E-6</v>
      </c>
      <c r="AA327" s="77">
        <v>0.1615</v>
      </c>
      <c r="AB327" s="5">
        <v>-6.8108999999999995E-5</v>
      </c>
      <c r="AC327" s="15">
        <v>-2.0706999999999999E-7</v>
      </c>
      <c r="AD327" s="146">
        <v>67.094999999999999</v>
      </c>
      <c r="AE327" s="147">
        <v>0.38</v>
      </c>
      <c r="AF327" s="150">
        <v>51.72</v>
      </c>
      <c r="AG327" s="152">
        <v>1.2222</v>
      </c>
    </row>
    <row r="328" spans="1:33" x14ac:dyDescent="0.2">
      <c r="A328" s="27">
        <v>12</v>
      </c>
      <c r="B328" s="69">
        <v>6.7432635187500001</v>
      </c>
      <c r="C328" s="28">
        <f t="shared" si="23"/>
        <v>0.34744974343685053</v>
      </c>
      <c r="D328" s="52">
        <v>170.33799999999999</v>
      </c>
      <c r="E328" s="47">
        <v>635.70000000000005</v>
      </c>
      <c r="F328" s="44">
        <v>18.22</v>
      </c>
      <c r="G328" s="11">
        <v>6.9050000000000003E-4</v>
      </c>
      <c r="H328" s="61">
        <f t="shared" si="24"/>
        <v>246.86666666666667</v>
      </c>
      <c r="I328" s="29">
        <f t="shared" si="25"/>
        <v>0.23786756771699008</v>
      </c>
      <c r="J328" s="52">
        <v>0.46100000000000002</v>
      </c>
      <c r="K328" s="75">
        <v>-5.0955000000000004</v>
      </c>
      <c r="L328" s="81">
        <v>1015.2</v>
      </c>
      <c r="M328" s="13">
        <v>8.6999999999999994E-3</v>
      </c>
      <c r="N328" s="12">
        <v>-8.4780000000000008E-6</v>
      </c>
      <c r="O328" s="93">
        <v>0.2467</v>
      </c>
      <c r="P328" s="94">
        <v>0.2596</v>
      </c>
      <c r="Q328" s="95">
        <v>0.28570000000000001</v>
      </c>
      <c r="R328" s="111">
        <v>25.798999999999999</v>
      </c>
      <c r="S328" s="118">
        <v>-3510.8</v>
      </c>
      <c r="T328" s="125">
        <v>-5.7579000000000002</v>
      </c>
      <c r="U328" s="14">
        <v>0</v>
      </c>
      <c r="V328" s="30">
        <v>0</v>
      </c>
      <c r="W328" s="138">
        <v>210.90100000000001</v>
      </c>
      <c r="X328" s="13">
        <v>0.99783999999999995</v>
      </c>
      <c r="Y328" s="14">
        <v>-2.6619999999999999E-3</v>
      </c>
      <c r="Z328" s="30">
        <v>3.4077999999999998E-6</v>
      </c>
      <c r="AA328" s="77">
        <v>0.15790000000000001</v>
      </c>
      <c r="AB328" s="5">
        <v>-5.8347999999999998E-5</v>
      </c>
      <c r="AC328" s="15">
        <v>-2.125E-7</v>
      </c>
      <c r="AD328" s="146">
        <v>66.540999999999997</v>
      </c>
      <c r="AE328" s="147">
        <v>0.38</v>
      </c>
      <c r="AF328" s="150">
        <v>51.308</v>
      </c>
      <c r="AG328" s="152">
        <v>1.2222</v>
      </c>
    </row>
    <row r="329" spans="1:33" x14ac:dyDescent="0.2">
      <c r="A329" s="27">
        <v>12</v>
      </c>
      <c r="B329" s="69">
        <v>5.7071504099999997</v>
      </c>
      <c r="C329" s="28">
        <f t="shared" si="23"/>
        <v>0.28230567265690548</v>
      </c>
      <c r="D329" s="52">
        <v>170.33799999999999</v>
      </c>
      <c r="E329" s="47">
        <v>630.72</v>
      </c>
      <c r="F329" s="44">
        <v>18.170000000000002</v>
      </c>
      <c r="G329" s="11">
        <v>6.8950000000000001E-4</v>
      </c>
      <c r="H329" s="61">
        <f t="shared" si="24"/>
        <v>247.22496371552973</v>
      </c>
      <c r="I329" s="29">
        <f t="shared" si="25"/>
        <v>0.23874128465101443</v>
      </c>
      <c r="J329" s="52">
        <v>0.49099999999999999</v>
      </c>
      <c r="K329" s="75">
        <v>-5.3295000000000003</v>
      </c>
      <c r="L329" s="81">
        <v>1040.3</v>
      </c>
      <c r="M329" s="13">
        <v>9.4000000000000004E-3</v>
      </c>
      <c r="N329" s="12">
        <v>-9.1316000000000008E-6</v>
      </c>
      <c r="O329" s="93">
        <v>0.24709999999999999</v>
      </c>
      <c r="P329" s="94">
        <v>0.26219999999999999</v>
      </c>
      <c r="Q329" s="95">
        <v>0.28570000000000001</v>
      </c>
      <c r="R329" s="111">
        <v>26.178999999999998</v>
      </c>
      <c r="S329" s="118">
        <v>-3555.5</v>
      </c>
      <c r="T329" s="125">
        <v>-5.8601999999999999</v>
      </c>
      <c r="U329" s="14">
        <v>0</v>
      </c>
      <c r="V329" s="30">
        <v>0</v>
      </c>
      <c r="W329" s="138">
        <v>226.04900000000001</v>
      </c>
      <c r="X329" s="13">
        <v>0.92027999999999999</v>
      </c>
      <c r="Y329" s="14">
        <v>-2.5179999999999998E-3</v>
      </c>
      <c r="Z329" s="30">
        <v>3.3583999999999999E-6</v>
      </c>
      <c r="AA329" s="77">
        <v>0.1615</v>
      </c>
      <c r="AB329" s="5">
        <v>-6.8300999999999995E-5</v>
      </c>
      <c r="AC329" s="15">
        <v>-2.0886999999999999E-7</v>
      </c>
      <c r="AD329" s="146">
        <v>66.78</v>
      </c>
      <c r="AE329" s="147">
        <v>0.38</v>
      </c>
      <c r="AF329" s="150">
        <v>51.643000000000001</v>
      </c>
      <c r="AG329" s="152">
        <v>1.2222</v>
      </c>
    </row>
    <row r="330" spans="1:33" x14ac:dyDescent="0.2">
      <c r="A330" s="27">
        <v>12</v>
      </c>
      <c r="B330" s="69">
        <v>5.1034647399999997</v>
      </c>
      <c r="C330" s="28">
        <f t="shared" si="23"/>
        <v>0.24434983397172241</v>
      </c>
      <c r="D330" s="52">
        <v>170.33799999999999</v>
      </c>
      <c r="E330" s="47">
        <v>640.25</v>
      </c>
      <c r="F330" s="44">
        <v>18.170000000000002</v>
      </c>
      <c r="G330" s="11">
        <v>6.8950000000000001E-4</v>
      </c>
      <c r="H330" s="61">
        <f t="shared" si="24"/>
        <v>247.22496371552973</v>
      </c>
      <c r="I330" s="29">
        <f t="shared" si="25"/>
        <v>0.23518766584160536</v>
      </c>
      <c r="J330" s="52">
        <v>0.49099999999999999</v>
      </c>
      <c r="K330" s="75">
        <v>-5.4683000000000002</v>
      </c>
      <c r="L330" s="81">
        <v>1074.7</v>
      </c>
      <c r="M330" s="13">
        <v>9.4999999999999998E-3</v>
      </c>
      <c r="N330" s="12">
        <v>-9.0813000000000006E-6</v>
      </c>
      <c r="O330" s="93">
        <v>0.24709999999999999</v>
      </c>
      <c r="P330" s="94">
        <v>0.25819999999999999</v>
      </c>
      <c r="Q330" s="95">
        <v>0.28570000000000001</v>
      </c>
      <c r="R330" s="111">
        <v>25.855</v>
      </c>
      <c r="S330" s="118">
        <v>-3582.2</v>
      </c>
      <c r="T330" s="125">
        <v>-5.7462999999999997</v>
      </c>
      <c r="U330" s="14">
        <v>0</v>
      </c>
      <c r="V330" s="30">
        <v>0</v>
      </c>
      <c r="W330" s="138">
        <v>228.58199999999999</v>
      </c>
      <c r="X330" s="13">
        <v>0.90149999999999997</v>
      </c>
      <c r="Y330" s="14">
        <v>-2.4388999999999999E-3</v>
      </c>
      <c r="Z330" s="30">
        <v>3.2358999999999998E-6</v>
      </c>
      <c r="AA330" s="77">
        <v>0.16159999999999999</v>
      </c>
      <c r="AB330" s="5">
        <v>-6.7631000000000004E-5</v>
      </c>
      <c r="AC330" s="15">
        <v>-2.0267E-7</v>
      </c>
      <c r="AD330" s="146">
        <v>67.885999999999996</v>
      </c>
      <c r="AE330" s="147">
        <v>0.38</v>
      </c>
      <c r="AF330" s="150">
        <v>51.914000000000001</v>
      </c>
      <c r="AG330" s="152">
        <v>1.2222</v>
      </c>
    </row>
    <row r="331" spans="1:33" x14ac:dyDescent="0.2">
      <c r="A331" s="27">
        <v>12</v>
      </c>
      <c r="B331" s="69">
        <v>6.3888983187499999</v>
      </c>
      <c r="C331" s="28">
        <f t="shared" si="23"/>
        <v>0.32516955850742751</v>
      </c>
      <c r="D331" s="52">
        <v>170.33799999999999</v>
      </c>
      <c r="E331" s="47">
        <v>630.72</v>
      </c>
      <c r="F331" s="44">
        <v>18.170000000000002</v>
      </c>
      <c r="G331" s="11">
        <v>6.8950000000000001E-4</v>
      </c>
      <c r="H331" s="61">
        <f t="shared" si="24"/>
        <v>247.22496371552973</v>
      </c>
      <c r="I331" s="29">
        <f t="shared" si="25"/>
        <v>0.23874128465101443</v>
      </c>
      <c r="J331" s="52">
        <v>0.49099999999999999</v>
      </c>
      <c r="K331" s="75">
        <v>-5.3295000000000003</v>
      </c>
      <c r="L331" s="81">
        <v>1040.3</v>
      </c>
      <c r="M331" s="13">
        <v>9.4000000000000004E-3</v>
      </c>
      <c r="N331" s="12">
        <v>-9.1316000000000008E-6</v>
      </c>
      <c r="O331" s="93">
        <v>0.24709999999999999</v>
      </c>
      <c r="P331" s="94">
        <v>0.26469999999999999</v>
      </c>
      <c r="Q331" s="95">
        <v>0.28570000000000001</v>
      </c>
      <c r="R331" s="111">
        <v>26.178999999999998</v>
      </c>
      <c r="S331" s="118">
        <v>-3555.5</v>
      </c>
      <c r="T331" s="125">
        <v>-5.8601999999999999</v>
      </c>
      <c r="U331" s="14">
        <v>0</v>
      </c>
      <c r="V331" s="30">
        <v>0</v>
      </c>
      <c r="W331" s="138">
        <v>227.245</v>
      </c>
      <c r="X331" s="13">
        <v>0.91108999999999996</v>
      </c>
      <c r="Y331" s="14">
        <v>-2.4897000000000001E-3</v>
      </c>
      <c r="Z331" s="30">
        <v>3.3220000000000001E-6</v>
      </c>
      <c r="AA331" s="77">
        <v>0.1615</v>
      </c>
      <c r="AB331" s="5">
        <v>-6.8300999999999995E-5</v>
      </c>
      <c r="AC331" s="15">
        <v>-2.0886999999999999E-7</v>
      </c>
      <c r="AD331" s="146">
        <v>66.78</v>
      </c>
      <c r="AE331" s="147">
        <v>0.38</v>
      </c>
      <c r="AF331" s="150">
        <v>51.643000000000001</v>
      </c>
      <c r="AG331" s="152">
        <v>1.2222</v>
      </c>
    </row>
    <row r="332" spans="1:33" x14ac:dyDescent="0.2">
      <c r="A332" s="27">
        <v>12</v>
      </c>
      <c r="B332" s="69">
        <v>4.7271382812500002</v>
      </c>
      <c r="C332" s="28">
        <f t="shared" si="23"/>
        <v>0.22068886755971337</v>
      </c>
      <c r="D332" s="52">
        <v>170.33799999999999</v>
      </c>
      <c r="E332" s="47">
        <v>638.89</v>
      </c>
      <c r="F332" s="44">
        <v>18.170000000000002</v>
      </c>
      <c r="G332" s="11">
        <v>6.8950000000000001E-4</v>
      </c>
      <c r="H332" s="61">
        <f t="shared" si="24"/>
        <v>247.22496371552973</v>
      </c>
      <c r="I332" s="29">
        <f t="shared" si="25"/>
        <v>0.23568830793264542</v>
      </c>
      <c r="J332" s="52">
        <v>0.49099999999999999</v>
      </c>
      <c r="K332" s="75">
        <v>-5.4504999999999999</v>
      </c>
      <c r="L332" s="81">
        <v>1070</v>
      </c>
      <c r="M332" s="13">
        <v>9.4999999999999998E-3</v>
      </c>
      <c r="N332" s="12">
        <v>-9.0914000000000007E-6</v>
      </c>
      <c r="O332" s="93">
        <v>0.24709999999999999</v>
      </c>
      <c r="P332" s="94">
        <v>0.2581</v>
      </c>
      <c r="Q332" s="95">
        <v>0.28570000000000001</v>
      </c>
      <c r="R332" s="111">
        <v>25.901</v>
      </c>
      <c r="S332" s="118">
        <v>-3578.4</v>
      </c>
      <c r="T332" s="125">
        <v>-5.7622999999999998</v>
      </c>
      <c r="U332" s="14">
        <v>0</v>
      </c>
      <c r="V332" s="30">
        <v>0</v>
      </c>
      <c r="W332" s="138">
        <v>227.905</v>
      </c>
      <c r="X332" s="13">
        <v>0.90658000000000005</v>
      </c>
      <c r="Y332" s="14">
        <v>-2.4574000000000002E-3</v>
      </c>
      <c r="Z332" s="30">
        <v>3.2625999999999999E-6</v>
      </c>
      <c r="AA332" s="77">
        <v>0.16159999999999999</v>
      </c>
      <c r="AB332" s="5">
        <v>-6.7725999999999995E-5</v>
      </c>
      <c r="AC332" s="15">
        <v>-2.0354000000000001E-7</v>
      </c>
      <c r="AD332" s="146">
        <v>67.727999999999994</v>
      </c>
      <c r="AE332" s="147">
        <v>0.38</v>
      </c>
      <c r="AF332" s="150">
        <v>51.875999999999998</v>
      </c>
      <c r="AG332" s="152">
        <v>1.2222</v>
      </c>
    </row>
    <row r="333" spans="1:33" x14ac:dyDescent="0.2">
      <c r="A333" s="27">
        <v>12</v>
      </c>
      <c r="B333" s="69">
        <v>5.5803651974999999</v>
      </c>
      <c r="C333" s="28">
        <f t="shared" si="23"/>
        <v>0.27433424097903142</v>
      </c>
      <c r="D333" s="52">
        <v>170.33799999999999</v>
      </c>
      <c r="E333" s="47">
        <v>648.03</v>
      </c>
      <c r="F333" s="44">
        <v>18.22</v>
      </c>
      <c r="G333" s="11">
        <v>6.9050000000000003E-4</v>
      </c>
      <c r="H333" s="61">
        <f t="shared" si="24"/>
        <v>246.86666666666667</v>
      </c>
      <c r="I333" s="29">
        <f t="shared" si="25"/>
        <v>0.23334168602949029</v>
      </c>
      <c r="J333" s="52">
        <v>0.46100000000000002</v>
      </c>
      <c r="K333" s="75">
        <v>-5.2682000000000002</v>
      </c>
      <c r="L333" s="81">
        <v>1058.2</v>
      </c>
      <c r="M333" s="13">
        <v>8.8999999999999999E-3</v>
      </c>
      <c r="N333" s="12">
        <v>-8.4264999999999997E-6</v>
      </c>
      <c r="O333" s="93">
        <v>0.2467</v>
      </c>
      <c r="P333" s="94">
        <v>0.25340000000000001</v>
      </c>
      <c r="Q333" s="95">
        <v>0.28570000000000001</v>
      </c>
      <c r="R333" s="111">
        <v>25.393000000000001</v>
      </c>
      <c r="S333" s="118">
        <v>-3544.7</v>
      </c>
      <c r="T333" s="125">
        <v>-5.6151</v>
      </c>
      <c r="U333" s="14">
        <v>0</v>
      </c>
      <c r="V333" s="30">
        <v>0</v>
      </c>
      <c r="W333" s="138">
        <v>213.94399999999999</v>
      </c>
      <c r="X333" s="13">
        <v>0.97443999999999997</v>
      </c>
      <c r="Y333" s="14">
        <v>-2.5642999999999998E-3</v>
      </c>
      <c r="Z333" s="30">
        <v>3.2613999999999998E-6</v>
      </c>
      <c r="AA333" s="77">
        <v>0.15820000000000001</v>
      </c>
      <c r="AB333" s="5">
        <v>-5.7912999999999999E-5</v>
      </c>
      <c r="AC333" s="15">
        <v>-2.0421E-7</v>
      </c>
      <c r="AD333" s="146">
        <v>67.954999999999998</v>
      </c>
      <c r="AE333" s="147">
        <v>0.38</v>
      </c>
      <c r="AF333" s="150">
        <v>51.654000000000003</v>
      </c>
      <c r="AG333" s="152">
        <v>1.2222</v>
      </c>
    </row>
    <row r="334" spans="1:33" x14ac:dyDescent="0.2">
      <c r="A334" s="27">
        <v>12</v>
      </c>
      <c r="B334" s="69">
        <v>5.5791168349999998</v>
      </c>
      <c r="C334" s="28">
        <f t="shared" si="23"/>
        <v>0.27425575204343905</v>
      </c>
      <c r="D334" s="52">
        <v>170.33799999999999</v>
      </c>
      <c r="E334" s="47">
        <v>649.4</v>
      </c>
      <c r="F334" s="44">
        <v>18.22</v>
      </c>
      <c r="G334" s="11">
        <v>6.9050000000000003E-4</v>
      </c>
      <c r="H334" s="61">
        <f t="shared" si="24"/>
        <v>246.86666666666667</v>
      </c>
      <c r="I334" s="29">
        <f t="shared" si="25"/>
        <v>0.23284941915258794</v>
      </c>
      <c r="J334" s="52">
        <v>0.46100000000000002</v>
      </c>
      <c r="K334" s="75">
        <v>-5.2843999999999998</v>
      </c>
      <c r="L334" s="81">
        <v>1062.5999999999999</v>
      </c>
      <c r="M334" s="13">
        <v>8.8999999999999999E-3</v>
      </c>
      <c r="N334" s="12">
        <v>-8.4166E-6</v>
      </c>
      <c r="O334" s="93">
        <v>0.2467</v>
      </c>
      <c r="P334" s="94">
        <v>0.2535</v>
      </c>
      <c r="Q334" s="95">
        <v>0.28570000000000001</v>
      </c>
      <c r="R334" s="111">
        <v>25.349</v>
      </c>
      <c r="S334" s="118">
        <v>-3548.5</v>
      </c>
      <c r="T334" s="125">
        <v>-5.5995999999999997</v>
      </c>
      <c r="U334" s="14">
        <v>0</v>
      </c>
      <c r="V334" s="30">
        <v>0</v>
      </c>
      <c r="W334" s="138">
        <v>214.66900000000001</v>
      </c>
      <c r="X334" s="13">
        <v>0.96897</v>
      </c>
      <c r="Y334" s="14">
        <v>-2.5452000000000001E-3</v>
      </c>
      <c r="Z334" s="30">
        <v>3.2351000000000002E-6</v>
      </c>
      <c r="AA334" s="77">
        <v>0.15820000000000001</v>
      </c>
      <c r="AB334" s="5">
        <v>-5.7862999999999998E-5</v>
      </c>
      <c r="AC334" s="15">
        <v>-2.0332E-7</v>
      </c>
      <c r="AD334" s="146">
        <v>68.113</v>
      </c>
      <c r="AE334" s="147">
        <v>0.38</v>
      </c>
      <c r="AF334" s="150">
        <v>51.692</v>
      </c>
      <c r="AG334" s="152">
        <v>1.2222</v>
      </c>
    </row>
    <row r="335" spans="1:33" x14ac:dyDescent="0.2">
      <c r="A335" s="27">
        <v>12</v>
      </c>
      <c r="B335" s="69">
        <v>4.4238524437500004</v>
      </c>
      <c r="C335" s="28">
        <f t="shared" si="23"/>
        <v>0.2016202215810029</v>
      </c>
      <c r="D335" s="52">
        <v>170.33799999999999</v>
      </c>
      <c r="E335" s="47">
        <v>640.25</v>
      </c>
      <c r="F335" s="44">
        <v>18.170000000000002</v>
      </c>
      <c r="G335" s="11">
        <v>6.8950000000000001E-4</v>
      </c>
      <c r="H335" s="61">
        <f t="shared" si="24"/>
        <v>247.22496371552973</v>
      </c>
      <c r="I335" s="29">
        <f t="shared" si="25"/>
        <v>0.23518766584160536</v>
      </c>
      <c r="J335" s="52">
        <v>0.49099999999999999</v>
      </c>
      <c r="K335" s="75">
        <v>-5.4683000000000002</v>
      </c>
      <c r="L335" s="81">
        <v>1074.7</v>
      </c>
      <c r="M335" s="13">
        <v>9.4999999999999998E-3</v>
      </c>
      <c r="N335" s="12">
        <v>-9.0813000000000006E-6</v>
      </c>
      <c r="O335" s="93">
        <v>0.24709999999999999</v>
      </c>
      <c r="P335" s="94">
        <v>0.25580000000000003</v>
      </c>
      <c r="Q335" s="95">
        <v>0.28570000000000001</v>
      </c>
      <c r="R335" s="111">
        <v>25.855</v>
      </c>
      <c r="S335" s="118">
        <v>-3582.2</v>
      </c>
      <c r="T335" s="125">
        <v>-5.7462999999999997</v>
      </c>
      <c r="U335" s="14">
        <v>0</v>
      </c>
      <c r="V335" s="30">
        <v>0</v>
      </c>
      <c r="W335" s="138">
        <v>227.404</v>
      </c>
      <c r="X335" s="13">
        <v>0.91052</v>
      </c>
      <c r="Y335" s="14">
        <v>-2.4664000000000001E-3</v>
      </c>
      <c r="Z335" s="30">
        <v>3.2712000000000001E-6</v>
      </c>
      <c r="AA335" s="77">
        <v>0.16159999999999999</v>
      </c>
      <c r="AB335" s="5">
        <v>-6.7631000000000004E-5</v>
      </c>
      <c r="AC335" s="15">
        <v>-2.0267E-7</v>
      </c>
      <c r="AD335" s="146">
        <v>67.885999999999996</v>
      </c>
      <c r="AE335" s="147">
        <v>0.38</v>
      </c>
      <c r="AF335" s="150">
        <v>51.914000000000001</v>
      </c>
      <c r="AG335" s="152">
        <v>1.2222</v>
      </c>
    </row>
    <row r="336" spans="1:33" x14ac:dyDescent="0.2">
      <c r="A336" s="27">
        <v>12</v>
      </c>
      <c r="B336" s="69">
        <v>7.5528193999999997</v>
      </c>
      <c r="C336" s="28">
        <f t="shared" si="23"/>
        <v>0.39834936547917299</v>
      </c>
      <c r="D336" s="52">
        <v>170.33799999999999</v>
      </c>
      <c r="E336" s="47">
        <v>630.23</v>
      </c>
      <c r="F336" s="44">
        <v>18.22</v>
      </c>
      <c r="G336" s="11">
        <v>6.9050000000000003E-4</v>
      </c>
      <c r="H336" s="61">
        <f t="shared" si="24"/>
        <v>246.86666666666667</v>
      </c>
      <c r="I336" s="29">
        <f t="shared" si="25"/>
        <v>0.23993210859161038</v>
      </c>
      <c r="J336" s="52">
        <v>0.46100000000000002</v>
      </c>
      <c r="K336" s="75">
        <v>-5.0007999999999999</v>
      </c>
      <c r="L336" s="81">
        <v>993.56</v>
      </c>
      <c r="M336" s="13">
        <v>8.6E-3</v>
      </c>
      <c r="N336" s="12">
        <v>-8.4744999999999999E-6</v>
      </c>
      <c r="O336" s="93">
        <v>0.2467</v>
      </c>
      <c r="P336" s="94">
        <v>0.26400000000000001</v>
      </c>
      <c r="Q336" s="95">
        <v>0.28570000000000001</v>
      </c>
      <c r="R336" s="111">
        <v>25.986000000000001</v>
      </c>
      <c r="S336" s="118">
        <v>-3495.9</v>
      </c>
      <c r="T336" s="125">
        <v>-5.8236999999999997</v>
      </c>
      <c r="U336" s="14">
        <v>0</v>
      </c>
      <c r="V336" s="30">
        <v>0</v>
      </c>
      <c r="W336" s="138">
        <v>210.35300000000001</v>
      </c>
      <c r="X336" s="13">
        <v>1.0024</v>
      </c>
      <c r="Y336" s="14">
        <v>-2.6886000000000002E-3</v>
      </c>
      <c r="Z336" s="30">
        <v>3.4527999999999998E-6</v>
      </c>
      <c r="AA336" s="77">
        <v>0.1578</v>
      </c>
      <c r="AB336" s="5">
        <v>-5.8532999999999997E-5</v>
      </c>
      <c r="AC336" s="15">
        <v>-2.1635E-7</v>
      </c>
      <c r="AD336" s="146">
        <v>65.912999999999997</v>
      </c>
      <c r="AE336" s="147">
        <v>0.38</v>
      </c>
      <c r="AF336" s="150">
        <v>51.152999999999999</v>
      </c>
      <c r="AG336" s="152">
        <v>1.2222</v>
      </c>
    </row>
    <row r="337" spans="1:33" x14ac:dyDescent="0.2">
      <c r="A337" s="27">
        <v>12</v>
      </c>
      <c r="B337" s="69">
        <v>5.9859303487500002</v>
      </c>
      <c r="C337" s="28">
        <f t="shared" si="23"/>
        <v>0.29983354669748069</v>
      </c>
      <c r="D337" s="52">
        <v>170.33799999999999</v>
      </c>
      <c r="E337" s="47">
        <v>645.29</v>
      </c>
      <c r="F337" s="44">
        <v>18.22</v>
      </c>
      <c r="G337" s="11">
        <v>6.9050000000000003E-4</v>
      </c>
      <c r="H337" s="61">
        <f t="shared" si="24"/>
        <v>246.86666666666667</v>
      </c>
      <c r="I337" s="29">
        <f t="shared" si="25"/>
        <v>0.23433249050456478</v>
      </c>
      <c r="J337" s="52">
        <v>0.46100000000000002</v>
      </c>
      <c r="K337" s="75">
        <v>-5.2340999999999998</v>
      </c>
      <c r="L337" s="81">
        <v>1049.3</v>
      </c>
      <c r="M337" s="13">
        <v>8.8999999999999999E-3</v>
      </c>
      <c r="N337" s="12">
        <v>-8.4440000000000008E-6</v>
      </c>
      <c r="O337" s="93">
        <v>0.2467</v>
      </c>
      <c r="P337" s="94">
        <v>0.25559999999999999</v>
      </c>
      <c r="Q337" s="95">
        <v>0.28570000000000001</v>
      </c>
      <c r="R337" s="111">
        <v>25.481000000000002</v>
      </c>
      <c r="S337" s="118">
        <v>-3537.1</v>
      </c>
      <c r="T337" s="125">
        <v>-5.6462000000000003</v>
      </c>
      <c r="U337" s="14">
        <v>0</v>
      </c>
      <c r="V337" s="30">
        <v>0</v>
      </c>
      <c r="W337" s="138">
        <v>213.702</v>
      </c>
      <c r="X337" s="13">
        <v>0.97631000000000001</v>
      </c>
      <c r="Y337" s="14">
        <v>-2.5760000000000002E-3</v>
      </c>
      <c r="Z337" s="30">
        <v>3.2814E-6</v>
      </c>
      <c r="AA337" s="77">
        <v>0.15809999999999999</v>
      </c>
      <c r="AB337" s="5">
        <v>-5.8012E-5</v>
      </c>
      <c r="AC337" s="15">
        <v>-2.0601E-7</v>
      </c>
      <c r="AD337" s="146">
        <v>67.641000000000005</v>
      </c>
      <c r="AE337" s="147">
        <v>0.38</v>
      </c>
      <c r="AF337" s="150">
        <v>51.576999999999998</v>
      </c>
      <c r="AG337" s="152">
        <v>1.2222</v>
      </c>
    </row>
    <row r="338" spans="1:33" x14ac:dyDescent="0.2">
      <c r="A338" s="27">
        <v>12</v>
      </c>
      <c r="B338" s="69">
        <v>6.7063097300000001</v>
      </c>
      <c r="C338" s="28">
        <f t="shared" si="23"/>
        <v>0.34512632892777112</v>
      </c>
      <c r="D338" s="52">
        <v>170.33799999999999</v>
      </c>
      <c r="E338" s="47">
        <v>639.86</v>
      </c>
      <c r="F338" s="44">
        <v>18.29</v>
      </c>
      <c r="G338" s="11">
        <v>6.8349999999999997E-4</v>
      </c>
      <c r="H338" s="61">
        <f t="shared" si="24"/>
        <v>249.39677891654466</v>
      </c>
      <c r="I338" s="29">
        <f t="shared" si="25"/>
        <v>0.23482234856507767</v>
      </c>
      <c r="J338" s="52">
        <v>0.46200000000000002</v>
      </c>
      <c r="K338" s="75">
        <v>-5.2416999999999998</v>
      </c>
      <c r="L338" s="81">
        <v>1041.2</v>
      </c>
      <c r="M338" s="13">
        <v>8.9999999999999993E-3</v>
      </c>
      <c r="N338" s="12">
        <v>-8.6170999999999992E-6</v>
      </c>
      <c r="O338" s="93">
        <v>0.2492</v>
      </c>
      <c r="P338" s="94">
        <v>0.25700000000000001</v>
      </c>
      <c r="Q338" s="95">
        <v>0.28570000000000001</v>
      </c>
      <c r="R338" s="111">
        <v>25.684000000000001</v>
      </c>
      <c r="S338" s="118">
        <v>-3526</v>
      </c>
      <c r="T338" s="125">
        <v>-5.7145000000000001</v>
      </c>
      <c r="U338" s="14">
        <v>0</v>
      </c>
      <c r="V338" s="30">
        <v>0</v>
      </c>
      <c r="W338" s="138">
        <v>233.726</v>
      </c>
      <c r="X338" s="13">
        <v>0.83004</v>
      </c>
      <c r="Y338" s="14">
        <v>-2.2550000000000001E-3</v>
      </c>
      <c r="Z338" s="30">
        <v>3.0767000000000001E-6</v>
      </c>
      <c r="AA338" s="77">
        <v>0.16159999999999999</v>
      </c>
      <c r="AB338" s="5">
        <v>-7.2502000000000005E-5</v>
      </c>
      <c r="AC338" s="15">
        <v>-1.9581999999999999E-7</v>
      </c>
      <c r="AD338" s="146">
        <v>67.007000000000005</v>
      </c>
      <c r="AE338" s="147">
        <v>0.38</v>
      </c>
      <c r="AF338" s="150">
        <v>51.527999999999999</v>
      </c>
      <c r="AG338" s="152">
        <v>1.2222</v>
      </c>
    </row>
    <row r="339" spans="1:33" x14ac:dyDescent="0.2">
      <c r="A339" s="27">
        <v>12</v>
      </c>
      <c r="B339" s="69">
        <v>7.3806195737499998</v>
      </c>
      <c r="C339" s="28">
        <f t="shared" si="23"/>
        <v>0.38752255750348996</v>
      </c>
      <c r="D339" s="52">
        <v>170.33799999999999</v>
      </c>
      <c r="E339" s="48">
        <v>637.13</v>
      </c>
      <c r="F339" s="48">
        <v>18.29</v>
      </c>
      <c r="G339" s="35">
        <v>6.8349999999999997E-4</v>
      </c>
      <c r="H339" s="61">
        <f t="shared" si="24"/>
        <v>249.39677891654466</v>
      </c>
      <c r="I339" s="29">
        <f t="shared" si="25"/>
        <v>0.2358285247168562</v>
      </c>
      <c r="J339" s="55">
        <v>0.46200000000000002</v>
      </c>
      <c r="K339" s="76">
        <v>-5.2020999999999997</v>
      </c>
      <c r="L339" s="82">
        <v>1031.4000000000001</v>
      </c>
      <c r="M339" s="85">
        <v>8.8999999999999999E-3</v>
      </c>
      <c r="N339" s="4">
        <v>-8.6280999999999996E-6</v>
      </c>
      <c r="O339" s="96">
        <v>0.2492</v>
      </c>
      <c r="P339" s="97">
        <v>0.25900000000000001</v>
      </c>
      <c r="Q339" s="98">
        <v>0.28570000000000001</v>
      </c>
      <c r="R339" s="114">
        <v>25.774999999999999</v>
      </c>
      <c r="S339" s="120">
        <v>-3518.5</v>
      </c>
      <c r="T339" s="127">
        <v>-5.7468000000000004</v>
      </c>
      <c r="U339" s="14">
        <v>0</v>
      </c>
      <c r="V339" s="14">
        <v>0</v>
      </c>
      <c r="W339" s="139">
        <v>233.47300000000001</v>
      </c>
      <c r="X339" s="7">
        <v>0.83172000000000001</v>
      </c>
      <c r="Y339" s="8">
        <v>-2.2658999999999999E-3</v>
      </c>
      <c r="Z339" s="33">
        <v>3.0968000000000001E-6</v>
      </c>
      <c r="AA339" s="141">
        <v>0.16159999999999999</v>
      </c>
      <c r="AB339" s="9">
        <v>-7.2738999999999996E-5</v>
      </c>
      <c r="AC339" s="10">
        <v>-1.9749E-7</v>
      </c>
      <c r="AD339" s="146">
        <v>66.691999999999993</v>
      </c>
      <c r="AE339" s="147">
        <v>0.38</v>
      </c>
      <c r="AF339" s="150">
        <v>51.45</v>
      </c>
      <c r="AG339" s="152">
        <v>1.2222</v>
      </c>
    </row>
    <row r="340" spans="1:33" x14ac:dyDescent="0.2">
      <c r="A340" s="27">
        <v>12</v>
      </c>
      <c r="B340" s="69">
        <v>8.8407383199999998</v>
      </c>
      <c r="C340" s="28">
        <f t="shared" si="23"/>
        <v>0.47932535214971167</v>
      </c>
      <c r="D340" s="52">
        <v>170.33799999999999</v>
      </c>
      <c r="E340" s="48">
        <v>640.89</v>
      </c>
      <c r="F340" s="48">
        <v>18.34</v>
      </c>
      <c r="G340" s="35">
        <v>6.845E-4</v>
      </c>
      <c r="H340" s="61">
        <f t="shared" si="24"/>
        <v>249.03216374269002</v>
      </c>
      <c r="I340" s="29">
        <f t="shared" si="25"/>
        <v>0.2354300623704543</v>
      </c>
      <c r="J340" s="55">
        <v>0.432</v>
      </c>
      <c r="K340" s="76">
        <v>-4.9513999999999996</v>
      </c>
      <c r="L340" s="82">
        <v>1001.7</v>
      </c>
      <c r="M340" s="85">
        <v>8.2000000000000007E-3</v>
      </c>
      <c r="N340" s="4">
        <v>-7.9954999999999999E-6</v>
      </c>
      <c r="O340" s="96">
        <v>0.24890000000000001</v>
      </c>
      <c r="P340" s="97">
        <v>0.25869999999999999</v>
      </c>
      <c r="Q340" s="98">
        <v>0.28570000000000001</v>
      </c>
      <c r="R340" s="114">
        <v>25.443000000000001</v>
      </c>
      <c r="S340" s="120">
        <v>-3470.1</v>
      </c>
      <c r="T340" s="127">
        <v>-5.6614000000000004</v>
      </c>
      <c r="U340" s="14">
        <v>0</v>
      </c>
      <c r="V340" s="14">
        <v>0</v>
      </c>
      <c r="W340" s="139">
        <v>220.03200000000001</v>
      </c>
      <c r="X340" s="7">
        <v>0.89675000000000005</v>
      </c>
      <c r="Y340" s="8">
        <v>-2.3823999999999998E-3</v>
      </c>
      <c r="Z340" s="33">
        <v>3.1259999999999998E-6</v>
      </c>
      <c r="AA340" s="141">
        <v>0.15820000000000001</v>
      </c>
      <c r="AB340" s="9">
        <v>-6.3572999999999996E-5</v>
      </c>
      <c r="AC340" s="10">
        <v>-2.0132999999999999E-7</v>
      </c>
      <c r="AD340" s="146">
        <v>66.293999999999997</v>
      </c>
      <c r="AE340" s="147">
        <v>0.38</v>
      </c>
      <c r="AF340" s="150">
        <v>51.087000000000003</v>
      </c>
      <c r="AG340" s="152">
        <v>1.2222</v>
      </c>
    </row>
    <row r="341" spans="1:33" x14ac:dyDescent="0.2">
      <c r="A341" s="27">
        <v>12</v>
      </c>
      <c r="B341" s="69">
        <v>7.6813023937500002</v>
      </c>
      <c r="C341" s="28">
        <f t="shared" si="23"/>
        <v>0.40642754262815917</v>
      </c>
      <c r="D341" s="52">
        <v>170.33799999999999</v>
      </c>
      <c r="E341" s="48">
        <v>633.02</v>
      </c>
      <c r="F341" s="48">
        <v>18.29</v>
      </c>
      <c r="G341" s="35">
        <v>6.8349999999999997E-4</v>
      </c>
      <c r="H341" s="61">
        <f t="shared" si="24"/>
        <v>249.39677891654466</v>
      </c>
      <c r="I341" s="29">
        <f t="shared" si="25"/>
        <v>0.23735968524351617</v>
      </c>
      <c r="J341" s="55">
        <v>0.46200000000000002</v>
      </c>
      <c r="K341" s="76">
        <v>-5.1375000000000002</v>
      </c>
      <c r="L341" s="82">
        <v>1016.1</v>
      </c>
      <c r="M341" s="85">
        <v>8.8000000000000005E-3</v>
      </c>
      <c r="N341" s="4">
        <v>-8.6369000000000003E-6</v>
      </c>
      <c r="O341" s="96">
        <v>0.2492</v>
      </c>
      <c r="P341" s="97">
        <v>0.26129999999999998</v>
      </c>
      <c r="Q341" s="98">
        <v>0.28570000000000001</v>
      </c>
      <c r="R341" s="114">
        <v>25.914000000000001</v>
      </c>
      <c r="S341" s="120">
        <v>-3507.3</v>
      </c>
      <c r="T341" s="127">
        <v>-5.7957000000000001</v>
      </c>
      <c r="U341" s="14">
        <v>0</v>
      </c>
      <c r="V341" s="14">
        <v>0</v>
      </c>
      <c r="W341" s="139">
        <v>232.744</v>
      </c>
      <c r="X341" s="7">
        <v>0.83694999999999997</v>
      </c>
      <c r="Y341" s="8">
        <v>-2.2908999999999998E-3</v>
      </c>
      <c r="Z341" s="33">
        <v>3.1383999999999999E-6</v>
      </c>
      <c r="AA341" s="141">
        <v>0.16159999999999999</v>
      </c>
      <c r="AB341" s="9">
        <v>-7.3096000000000006E-5</v>
      </c>
      <c r="AC341" s="10">
        <v>-2.0004000000000001E-7</v>
      </c>
      <c r="AD341" s="146">
        <v>66.221000000000004</v>
      </c>
      <c r="AE341" s="147">
        <v>0.38</v>
      </c>
      <c r="AF341" s="150">
        <v>51.334000000000003</v>
      </c>
      <c r="AG341" s="152">
        <v>1.2222</v>
      </c>
    </row>
    <row r="342" spans="1:33" x14ac:dyDescent="0.2">
      <c r="A342" s="27">
        <v>12</v>
      </c>
      <c r="B342" s="69">
        <v>8.2582381799999993</v>
      </c>
      <c r="C342" s="28">
        <f t="shared" si="23"/>
        <v>0.44270152215564113</v>
      </c>
      <c r="D342" s="52">
        <v>170.33799999999999</v>
      </c>
      <c r="E342" s="47">
        <v>643.65</v>
      </c>
      <c r="F342" s="44">
        <v>18.34</v>
      </c>
      <c r="G342" s="11">
        <v>6.845E-4</v>
      </c>
      <c r="H342" s="61">
        <f t="shared" si="24"/>
        <v>249.03216374269002</v>
      </c>
      <c r="I342" s="29">
        <f t="shared" si="25"/>
        <v>0.23442052772873528</v>
      </c>
      <c r="J342" s="52">
        <v>0.432</v>
      </c>
      <c r="K342" s="75">
        <v>-4.9922000000000004</v>
      </c>
      <c r="L342" s="81">
        <v>1011.5</v>
      </c>
      <c r="M342" s="13">
        <v>8.3000000000000001E-3</v>
      </c>
      <c r="N342" s="12">
        <v>-7.9907999999999998E-6</v>
      </c>
      <c r="O342" s="93">
        <v>0.24890000000000001</v>
      </c>
      <c r="P342" s="94">
        <v>0.25659999999999999</v>
      </c>
      <c r="Q342" s="95">
        <v>0.28570000000000001</v>
      </c>
      <c r="R342" s="111">
        <v>25.353000000000002</v>
      </c>
      <c r="S342" s="118">
        <v>-3477.5</v>
      </c>
      <c r="T342" s="125">
        <v>-5.6295999999999999</v>
      </c>
      <c r="U342" s="14">
        <v>0</v>
      </c>
      <c r="V342" s="30">
        <v>0</v>
      </c>
      <c r="W342" s="138">
        <v>220.32300000000001</v>
      </c>
      <c r="X342" s="13">
        <v>0.89454</v>
      </c>
      <c r="Y342" s="14">
        <v>-2.3698999999999999E-3</v>
      </c>
      <c r="Z342" s="30">
        <v>3.1045999999999999E-6</v>
      </c>
      <c r="AA342" s="77">
        <v>0.15820000000000001</v>
      </c>
      <c r="AB342" s="5">
        <v>-6.3423000000000006E-5</v>
      </c>
      <c r="AC342" s="15">
        <v>-1.9957999999999999E-7</v>
      </c>
      <c r="AD342" s="146">
        <v>66.605999999999995</v>
      </c>
      <c r="AE342" s="147">
        <v>0.38</v>
      </c>
      <c r="AF342" s="150">
        <v>51.164000000000001</v>
      </c>
      <c r="AG342" s="152">
        <v>1.2222</v>
      </c>
    </row>
    <row r="343" spans="1:33" x14ac:dyDescent="0.2">
      <c r="A343" s="27">
        <v>12</v>
      </c>
      <c r="B343" s="69">
        <v>8.67991475</v>
      </c>
      <c r="C343" s="28">
        <f t="shared" si="23"/>
        <v>0.46921380936670137</v>
      </c>
      <c r="D343" s="52">
        <v>170.33799999999999</v>
      </c>
      <c r="E343" s="47">
        <v>624.79999999999995</v>
      </c>
      <c r="F343" s="44">
        <v>18.29</v>
      </c>
      <c r="G343" s="11">
        <v>6.8349999999999997E-4</v>
      </c>
      <c r="H343" s="61">
        <f t="shared" si="24"/>
        <v>249.39677891654466</v>
      </c>
      <c r="I343" s="29">
        <f t="shared" si="25"/>
        <v>0.24048243910507458</v>
      </c>
      <c r="J343" s="52">
        <v>0.46200000000000002</v>
      </c>
      <c r="K343" s="75">
        <v>-4.9871999999999996</v>
      </c>
      <c r="L343" s="81">
        <v>982.5</v>
      </c>
      <c r="M343" s="13">
        <v>8.6E-3</v>
      </c>
      <c r="N343" s="12">
        <v>-8.6225999999999994E-6</v>
      </c>
      <c r="O343" s="93">
        <v>0.2492</v>
      </c>
      <c r="P343" s="94">
        <v>0.2651</v>
      </c>
      <c r="Q343" s="95">
        <v>0.28570000000000001</v>
      </c>
      <c r="R343" s="111">
        <v>26.2</v>
      </c>
      <c r="S343" s="118">
        <v>-3485</v>
      </c>
      <c r="T343" s="125">
        <v>-5.8963000000000001</v>
      </c>
      <c r="U343" s="14">
        <v>0</v>
      </c>
      <c r="V343" s="30">
        <v>0</v>
      </c>
      <c r="W343" s="138">
        <v>230.90700000000001</v>
      </c>
      <c r="X343" s="13">
        <v>0.85052000000000005</v>
      </c>
      <c r="Y343" s="14">
        <v>-2.3513000000000002E-3</v>
      </c>
      <c r="Z343" s="30">
        <v>3.236E-6</v>
      </c>
      <c r="AA343" s="77">
        <v>0.16139999999999999</v>
      </c>
      <c r="AB343" s="5">
        <v>-7.3818000000000004E-5</v>
      </c>
      <c r="AC343" s="15">
        <v>-2.0529999999999999E-7</v>
      </c>
      <c r="AD343" s="146">
        <v>65.28</v>
      </c>
      <c r="AE343" s="147">
        <v>0.38</v>
      </c>
      <c r="AF343" s="150">
        <v>51.1</v>
      </c>
      <c r="AG343" s="152">
        <v>1.2222</v>
      </c>
    </row>
    <row r="344" spans="1:33" x14ac:dyDescent="0.2">
      <c r="A344" s="27">
        <v>12</v>
      </c>
      <c r="B344" s="69">
        <v>7.6819387350000001</v>
      </c>
      <c r="C344" s="28">
        <f t="shared" si="23"/>
        <v>0.40646755163787068</v>
      </c>
      <c r="D344" s="52">
        <v>170.33799999999999</v>
      </c>
      <c r="E344" s="47">
        <v>653.29</v>
      </c>
      <c r="F344" s="44">
        <v>18.34</v>
      </c>
      <c r="G344" s="11">
        <v>6.845E-4</v>
      </c>
      <c r="H344" s="61">
        <f t="shared" si="24"/>
        <v>249.03216374269002</v>
      </c>
      <c r="I344" s="29">
        <f t="shared" si="25"/>
        <v>0.23096139948966071</v>
      </c>
      <c r="J344" s="52">
        <v>0.432</v>
      </c>
      <c r="K344" s="75">
        <v>-5.1163999999999996</v>
      </c>
      <c r="L344" s="81">
        <v>1043.4000000000001</v>
      </c>
      <c r="M344" s="13">
        <v>8.3999999999999995E-3</v>
      </c>
      <c r="N344" s="12">
        <v>-7.9480000000000008E-6</v>
      </c>
      <c r="O344" s="93">
        <v>0.24890000000000001</v>
      </c>
      <c r="P344" s="94">
        <v>0.2525</v>
      </c>
      <c r="Q344" s="95">
        <v>0.28570000000000001</v>
      </c>
      <c r="R344" s="111">
        <v>25.044</v>
      </c>
      <c r="S344" s="118">
        <v>-3503.6</v>
      </c>
      <c r="T344" s="125">
        <v>-5.5213000000000001</v>
      </c>
      <c r="U344" s="14">
        <v>0</v>
      </c>
      <c r="V344" s="30">
        <v>0</v>
      </c>
      <c r="W344" s="138">
        <v>222.666</v>
      </c>
      <c r="X344" s="13">
        <v>0.87705999999999995</v>
      </c>
      <c r="Y344" s="14">
        <v>-2.2978E-3</v>
      </c>
      <c r="Z344" s="30">
        <v>2.9950000000000001E-6</v>
      </c>
      <c r="AA344" s="77">
        <v>0.15840000000000001</v>
      </c>
      <c r="AB344" s="5">
        <v>-6.2895E-5</v>
      </c>
      <c r="AC344" s="15">
        <v>-1.9362000000000001E-7</v>
      </c>
      <c r="AD344" s="146">
        <v>67.7</v>
      </c>
      <c r="AE344" s="147">
        <v>0.38</v>
      </c>
      <c r="AF344" s="150">
        <v>51.430999999999997</v>
      </c>
      <c r="AG344" s="152">
        <v>1.2222</v>
      </c>
    </row>
    <row r="345" spans="1:33" x14ac:dyDescent="0.2">
      <c r="A345" s="27">
        <v>12</v>
      </c>
      <c r="B345" s="69">
        <v>9.8403492275000009</v>
      </c>
      <c r="C345" s="28">
        <f t="shared" si="23"/>
        <v>0.54217440131302785</v>
      </c>
      <c r="D345" s="52">
        <v>170.33799999999999</v>
      </c>
      <c r="E345" s="48">
        <v>627.12</v>
      </c>
      <c r="F345" s="48">
        <v>18.34</v>
      </c>
      <c r="G345" s="11">
        <v>6.845E-4</v>
      </c>
      <c r="H345" s="61">
        <f t="shared" si="24"/>
        <v>249.03216374269002</v>
      </c>
      <c r="I345" s="29">
        <f t="shared" si="25"/>
        <v>0.24059952269517867</v>
      </c>
      <c r="J345" s="55">
        <v>0.432</v>
      </c>
      <c r="K345" s="76">
        <v>-4.7039</v>
      </c>
      <c r="L345" s="82">
        <v>946.54</v>
      </c>
      <c r="M345" s="85">
        <v>7.9000000000000008E-3</v>
      </c>
      <c r="N345" s="4">
        <v>-7.9525000000000005E-6</v>
      </c>
      <c r="O345" s="96">
        <v>0.24890000000000001</v>
      </c>
      <c r="P345" s="97">
        <v>0.26500000000000001</v>
      </c>
      <c r="Q345" s="98">
        <v>0.28570000000000001</v>
      </c>
      <c r="R345" s="114">
        <v>25.91</v>
      </c>
      <c r="S345" s="120">
        <v>-3433.5</v>
      </c>
      <c r="T345" s="127">
        <v>-5.8254999999999999</v>
      </c>
      <c r="U345" s="14">
        <v>0</v>
      </c>
      <c r="V345" s="14">
        <v>0</v>
      </c>
      <c r="W345" s="139">
        <v>216.57499999999999</v>
      </c>
      <c r="X345" s="7">
        <v>0.92337999999999998</v>
      </c>
      <c r="Y345" s="8">
        <v>-2.4933999999999998E-3</v>
      </c>
      <c r="Z345" s="33">
        <v>3.2955E-6</v>
      </c>
      <c r="AA345" s="141">
        <v>0.15790000000000001</v>
      </c>
      <c r="AB345" s="9">
        <v>-6.4319000000000005E-5</v>
      </c>
      <c r="AC345" s="10">
        <v>-2.1049E-7</v>
      </c>
      <c r="AD345" s="146">
        <v>64.733999999999995</v>
      </c>
      <c r="AE345" s="147">
        <v>0.38</v>
      </c>
      <c r="AF345" s="150">
        <v>50.7</v>
      </c>
      <c r="AG345" s="152">
        <v>1.2222</v>
      </c>
    </row>
    <row r="346" spans="1:33" x14ac:dyDescent="0.2">
      <c r="A346" s="27">
        <v>12</v>
      </c>
      <c r="B346" s="69">
        <v>5.98616690375</v>
      </c>
      <c r="C346" s="28">
        <f t="shared" si="23"/>
        <v>0.29984841974129528</v>
      </c>
      <c r="D346" s="52">
        <v>170.33799999999999</v>
      </c>
      <c r="E346" s="47">
        <v>642.54999999999995</v>
      </c>
      <c r="F346" s="44">
        <v>18.22</v>
      </c>
      <c r="G346" s="11">
        <v>6.9050000000000003E-4</v>
      </c>
      <c r="H346" s="61">
        <f t="shared" si="24"/>
        <v>246.86666666666667</v>
      </c>
      <c r="I346" s="29">
        <f t="shared" si="25"/>
        <v>0.23533174507460994</v>
      </c>
      <c r="J346" s="52">
        <v>0.46100000000000002</v>
      </c>
      <c r="K346" s="75">
        <v>-5.1977000000000002</v>
      </c>
      <c r="L346" s="81">
        <v>1039.9000000000001</v>
      </c>
      <c r="M346" s="13">
        <v>8.8000000000000005E-3</v>
      </c>
      <c r="N346" s="12">
        <v>-8.4583E-6</v>
      </c>
      <c r="O346" s="93">
        <v>0.2467</v>
      </c>
      <c r="P346" s="94">
        <v>0.25540000000000002</v>
      </c>
      <c r="Q346" s="95">
        <v>0.28570000000000001</v>
      </c>
      <c r="R346" s="111">
        <v>25.571000000000002</v>
      </c>
      <c r="S346" s="118">
        <v>-3529.6</v>
      </c>
      <c r="T346" s="125">
        <v>-5.6776999999999997</v>
      </c>
      <c r="U346" s="14">
        <v>0</v>
      </c>
      <c r="V346" s="30">
        <v>0</v>
      </c>
      <c r="W346" s="138">
        <v>212.20400000000001</v>
      </c>
      <c r="X346" s="13">
        <v>0.98768</v>
      </c>
      <c r="Y346" s="14">
        <v>-2.6158000000000002E-3</v>
      </c>
      <c r="Z346" s="30">
        <v>3.3361999999999999E-6</v>
      </c>
      <c r="AA346" s="77">
        <v>0.15809999999999999</v>
      </c>
      <c r="AB346" s="5">
        <v>-5.8109000000000002E-5</v>
      </c>
      <c r="AC346" s="15">
        <v>-2.0783E-7</v>
      </c>
      <c r="AD346" s="146">
        <v>67.325999999999993</v>
      </c>
      <c r="AE346" s="147">
        <v>0.38</v>
      </c>
      <c r="AF346" s="150">
        <v>51.500999999999998</v>
      </c>
      <c r="AG346" s="152">
        <v>1.2222</v>
      </c>
    </row>
    <row r="347" spans="1:33" x14ac:dyDescent="0.2">
      <c r="A347" s="27">
        <v>12</v>
      </c>
      <c r="B347" s="69">
        <v>5.4083799600000004</v>
      </c>
      <c r="C347" s="28">
        <f t="shared" si="23"/>
        <v>0.26352092495186302</v>
      </c>
      <c r="D347" s="52">
        <v>170.33799999999999</v>
      </c>
      <c r="E347" s="47">
        <v>630.72</v>
      </c>
      <c r="F347" s="44">
        <v>18.170000000000002</v>
      </c>
      <c r="G347" s="11">
        <v>6.8950000000000001E-4</v>
      </c>
      <c r="H347" s="61">
        <f t="shared" si="24"/>
        <v>247.22496371552973</v>
      </c>
      <c r="I347" s="29">
        <f t="shared" si="25"/>
        <v>0.23874128465101443</v>
      </c>
      <c r="J347" s="52">
        <v>0.49099999999999999</v>
      </c>
      <c r="K347" s="75">
        <v>-5.3295000000000003</v>
      </c>
      <c r="L347" s="81">
        <v>1040.3</v>
      </c>
      <c r="M347" s="13">
        <v>9.4000000000000004E-3</v>
      </c>
      <c r="N347" s="12">
        <v>-9.1316000000000008E-6</v>
      </c>
      <c r="O347" s="93">
        <v>0.24709999999999999</v>
      </c>
      <c r="P347" s="94">
        <v>0.25990000000000002</v>
      </c>
      <c r="Q347" s="95">
        <v>0.28570000000000001</v>
      </c>
      <c r="R347" s="111">
        <v>26.178999999999998</v>
      </c>
      <c r="S347" s="118">
        <v>-3555.5</v>
      </c>
      <c r="T347" s="125">
        <v>-5.8601999999999999</v>
      </c>
      <c r="U347" s="14">
        <v>0</v>
      </c>
      <c r="V347" s="30">
        <v>0</v>
      </c>
      <c r="W347" s="138">
        <v>224.91900000000001</v>
      </c>
      <c r="X347" s="13">
        <v>0.92898000000000003</v>
      </c>
      <c r="Y347" s="14">
        <v>-2.5447E-3</v>
      </c>
      <c r="Z347" s="30">
        <v>3.3929000000000002E-6</v>
      </c>
      <c r="AA347" s="77">
        <v>0.1615</v>
      </c>
      <c r="AB347" s="5">
        <v>-6.8300999999999995E-5</v>
      </c>
      <c r="AC347" s="15">
        <v>-2.0886999999999999E-7</v>
      </c>
      <c r="AD347" s="146">
        <v>66.78</v>
      </c>
      <c r="AE347" s="147">
        <v>0.38</v>
      </c>
      <c r="AF347" s="150">
        <v>51.643000000000001</v>
      </c>
      <c r="AG347" s="152">
        <v>1.2222</v>
      </c>
    </row>
    <row r="348" spans="1:33" x14ac:dyDescent="0.2">
      <c r="A348" s="27">
        <v>12</v>
      </c>
      <c r="B348" s="69">
        <v>5.1002832949999997</v>
      </c>
      <c r="C348" s="28">
        <f t="shared" si="23"/>
        <v>0.2441498053488701</v>
      </c>
      <c r="D348" s="52">
        <v>170.33799999999999</v>
      </c>
      <c r="E348" s="47">
        <v>636.16</v>
      </c>
      <c r="F348" s="44">
        <v>18.170000000000002</v>
      </c>
      <c r="G348" s="11">
        <v>6.8950000000000001E-4</v>
      </c>
      <c r="H348" s="61">
        <f t="shared" si="24"/>
        <v>247.22496371552973</v>
      </c>
      <c r="I348" s="29">
        <f t="shared" si="25"/>
        <v>0.23669973443015568</v>
      </c>
      <c r="J348" s="52">
        <v>0.49099999999999999</v>
      </c>
      <c r="K348" s="75">
        <v>-5.4128999999999996</v>
      </c>
      <c r="L348" s="81">
        <v>1060.5</v>
      </c>
      <c r="M348" s="13">
        <v>9.4999999999999998E-3</v>
      </c>
      <c r="N348" s="12">
        <v>-9.1087999999999999E-6</v>
      </c>
      <c r="O348" s="93">
        <v>0.24709999999999999</v>
      </c>
      <c r="P348" s="94">
        <v>0.25779999999999997</v>
      </c>
      <c r="Q348" s="95">
        <v>0.28570000000000001</v>
      </c>
      <c r="R348" s="111">
        <v>25.992999999999999</v>
      </c>
      <c r="S348" s="118">
        <v>-3570.7</v>
      </c>
      <c r="T348" s="125">
        <v>-5.7945000000000002</v>
      </c>
      <c r="U348" s="14">
        <v>0</v>
      </c>
      <c r="V348" s="30">
        <v>0</v>
      </c>
      <c r="W348" s="138">
        <v>226.476</v>
      </c>
      <c r="X348" s="13">
        <v>0.91732999999999998</v>
      </c>
      <c r="Y348" s="14">
        <v>-2.4964000000000002E-3</v>
      </c>
      <c r="Z348" s="30">
        <v>3.3185999999999999E-6</v>
      </c>
      <c r="AA348" s="77">
        <v>0.16159999999999999</v>
      </c>
      <c r="AB348" s="5">
        <v>-6.7917999999999996E-5</v>
      </c>
      <c r="AC348" s="15">
        <v>-2.0529000000000001E-7</v>
      </c>
      <c r="AD348" s="146">
        <v>67.412000000000006</v>
      </c>
      <c r="AE348" s="147">
        <v>0.38</v>
      </c>
      <c r="AF348" s="150">
        <v>51.798000000000002</v>
      </c>
      <c r="AG348" s="152">
        <v>1.2222</v>
      </c>
    </row>
    <row r="349" spans="1:33" x14ac:dyDescent="0.2">
      <c r="A349" s="27">
        <v>12</v>
      </c>
      <c r="B349" s="69">
        <v>7.5544173600000004</v>
      </c>
      <c r="C349" s="28">
        <f t="shared" si="23"/>
        <v>0.3984498348376479</v>
      </c>
      <c r="D349" s="52">
        <v>170.33799999999999</v>
      </c>
      <c r="E349" s="47">
        <v>626.12</v>
      </c>
      <c r="F349" s="44">
        <v>18.22</v>
      </c>
      <c r="G349" s="11">
        <v>6.9050000000000003E-4</v>
      </c>
      <c r="H349" s="61">
        <f t="shared" si="24"/>
        <v>246.86666666666667</v>
      </c>
      <c r="I349" s="29">
        <f t="shared" si="25"/>
        <v>0.24150707978932251</v>
      </c>
      <c r="J349" s="52">
        <v>0.46100000000000002</v>
      </c>
      <c r="K349" s="75">
        <v>-4.9211999999999998</v>
      </c>
      <c r="L349" s="81">
        <v>976.2</v>
      </c>
      <c r="M349" s="13">
        <v>8.3999999999999995E-3</v>
      </c>
      <c r="N349" s="12">
        <v>-8.4586000000000006E-6</v>
      </c>
      <c r="O349" s="93">
        <v>0.2467</v>
      </c>
      <c r="P349" s="94">
        <v>0.26379999999999998</v>
      </c>
      <c r="Q349" s="95">
        <v>0.28570000000000001</v>
      </c>
      <c r="R349" s="111">
        <v>26.129000000000001</v>
      </c>
      <c r="S349" s="118">
        <v>-3484.7</v>
      </c>
      <c r="T349" s="125">
        <v>-5.8741000000000003</v>
      </c>
      <c r="U349" s="14">
        <v>0</v>
      </c>
      <c r="V349" s="30">
        <v>0</v>
      </c>
      <c r="W349" s="138">
        <v>207.98699999999999</v>
      </c>
      <c r="X349" s="13">
        <v>1.0206999999999999</v>
      </c>
      <c r="Y349" s="14">
        <v>-2.7536000000000001E-3</v>
      </c>
      <c r="Z349" s="30">
        <v>3.5427E-6</v>
      </c>
      <c r="AA349" s="77">
        <v>0.15770000000000001</v>
      </c>
      <c r="AB349" s="5">
        <v>-5.8668999999999997E-5</v>
      </c>
      <c r="AC349" s="15">
        <v>-2.1932000000000001E-7</v>
      </c>
      <c r="AD349" s="146">
        <v>65.441999999999993</v>
      </c>
      <c r="AE349" s="147">
        <v>0.38</v>
      </c>
      <c r="AF349" s="150">
        <v>51.036000000000001</v>
      </c>
      <c r="AG349" s="152">
        <v>1.2222</v>
      </c>
    </row>
    <row r="350" spans="1:33" x14ac:dyDescent="0.2">
      <c r="A350" s="27">
        <v>12</v>
      </c>
      <c r="B350" s="69">
        <v>6.3893362462500001</v>
      </c>
      <c r="C350" s="28">
        <f t="shared" si="23"/>
        <v>0.32519709254769358</v>
      </c>
      <c r="D350" s="52">
        <v>170.33799999999999</v>
      </c>
      <c r="E350" s="47">
        <v>623.36</v>
      </c>
      <c r="F350" s="44">
        <v>18.170000000000002</v>
      </c>
      <c r="G350" s="11">
        <v>6.8950000000000001E-4</v>
      </c>
      <c r="H350" s="61">
        <f t="shared" si="24"/>
        <v>247.22496371552973</v>
      </c>
      <c r="I350" s="29">
        <f t="shared" si="25"/>
        <v>0.24156009858683239</v>
      </c>
      <c r="J350" s="52">
        <v>0.49099999999999999</v>
      </c>
      <c r="K350" s="75">
        <v>-5.1969000000000003</v>
      </c>
      <c r="L350" s="81">
        <v>1010.2</v>
      </c>
      <c r="M350" s="13">
        <v>9.1999999999999998E-3</v>
      </c>
      <c r="N350" s="12">
        <v>-9.1324999999999994E-6</v>
      </c>
      <c r="O350" s="93">
        <v>0.24709999999999999</v>
      </c>
      <c r="P350" s="94">
        <v>0.26550000000000001</v>
      </c>
      <c r="Q350" s="95">
        <v>0.28570000000000001</v>
      </c>
      <c r="R350" s="111">
        <v>26.437999999999999</v>
      </c>
      <c r="S350" s="118">
        <v>-3535.1</v>
      </c>
      <c r="T350" s="125">
        <v>-5.9512</v>
      </c>
      <c r="U350" s="14">
        <v>0</v>
      </c>
      <c r="V350" s="30">
        <v>0</v>
      </c>
      <c r="W350" s="138">
        <v>224.13900000000001</v>
      </c>
      <c r="X350" s="13">
        <v>0.93472</v>
      </c>
      <c r="Y350" s="14">
        <v>-2.5799E-3</v>
      </c>
      <c r="Z350" s="30">
        <v>3.455E-6</v>
      </c>
      <c r="AA350" s="77">
        <v>0.16139999999999999</v>
      </c>
      <c r="AB350" s="5">
        <v>-6.8820999999999997E-5</v>
      </c>
      <c r="AC350" s="15">
        <v>-2.1387E-7</v>
      </c>
      <c r="AD350" s="146">
        <v>65.927000000000007</v>
      </c>
      <c r="AE350" s="147">
        <v>0.38</v>
      </c>
      <c r="AF350" s="150">
        <v>51.430999999999997</v>
      </c>
      <c r="AG350" s="152">
        <v>1.2222</v>
      </c>
    </row>
    <row r="351" spans="1:33" x14ac:dyDescent="0.2">
      <c r="A351" s="27">
        <v>12</v>
      </c>
      <c r="B351" s="69">
        <v>5.5755760250000002</v>
      </c>
      <c r="C351" s="28">
        <f t="shared" si="23"/>
        <v>0.27403312888066816</v>
      </c>
      <c r="D351" s="52">
        <v>170.33799999999999</v>
      </c>
      <c r="E351" s="47">
        <v>645.29</v>
      </c>
      <c r="F351" s="44">
        <v>18.22</v>
      </c>
      <c r="G351" s="11">
        <v>6.9050000000000003E-4</v>
      </c>
      <c r="H351" s="61">
        <f t="shared" si="24"/>
        <v>246.86666666666667</v>
      </c>
      <c r="I351" s="29">
        <f t="shared" si="25"/>
        <v>0.23433249050456478</v>
      </c>
      <c r="J351" s="52">
        <v>0.46100000000000002</v>
      </c>
      <c r="K351" s="75">
        <v>-5.2340999999999998</v>
      </c>
      <c r="L351" s="81">
        <v>1049.3</v>
      </c>
      <c r="M351" s="13">
        <v>8.8999999999999999E-3</v>
      </c>
      <c r="N351" s="12">
        <v>-8.4440000000000008E-6</v>
      </c>
      <c r="O351" s="93">
        <v>0.2467</v>
      </c>
      <c r="P351" s="94">
        <v>0.253</v>
      </c>
      <c r="Q351" s="95">
        <v>0.28570000000000001</v>
      </c>
      <c r="R351" s="111">
        <v>25.481000000000002</v>
      </c>
      <c r="S351" s="118">
        <v>-3537.1</v>
      </c>
      <c r="T351" s="125">
        <v>-5.6462000000000003</v>
      </c>
      <c r="U351" s="14">
        <v>0</v>
      </c>
      <c r="V351" s="30">
        <v>0</v>
      </c>
      <c r="W351" s="138">
        <v>212.33</v>
      </c>
      <c r="X351" s="13">
        <v>0.98665000000000003</v>
      </c>
      <c r="Y351" s="14">
        <v>-2.6064999999999999E-3</v>
      </c>
      <c r="Z351" s="30">
        <v>3.3189999999999999E-6</v>
      </c>
      <c r="AA351" s="77">
        <v>0.15809999999999999</v>
      </c>
      <c r="AB351" s="5">
        <v>-5.8012E-5</v>
      </c>
      <c r="AC351" s="15">
        <v>-2.0601E-7</v>
      </c>
      <c r="AD351" s="146">
        <v>67.641000000000005</v>
      </c>
      <c r="AE351" s="147">
        <v>0.38</v>
      </c>
      <c r="AF351" s="150">
        <v>51.576999999999998</v>
      </c>
      <c r="AG351" s="152">
        <v>1.2222</v>
      </c>
    </row>
    <row r="352" spans="1:33" x14ac:dyDescent="0.2">
      <c r="A352" s="27">
        <v>12</v>
      </c>
      <c r="B352" s="69">
        <v>4.4236880437500004</v>
      </c>
      <c r="C352" s="28">
        <f t="shared" si="23"/>
        <v>0.20160988517550257</v>
      </c>
      <c r="D352" s="52">
        <v>170.33799999999999</v>
      </c>
      <c r="E352" s="47">
        <v>638.89</v>
      </c>
      <c r="F352" s="44">
        <v>18.170000000000002</v>
      </c>
      <c r="G352" s="11">
        <v>6.8950000000000001E-4</v>
      </c>
      <c r="H352" s="61">
        <f t="shared" si="24"/>
        <v>247.22496371552973</v>
      </c>
      <c r="I352" s="29">
        <f t="shared" si="25"/>
        <v>0.23568830793264542</v>
      </c>
      <c r="J352" s="52">
        <v>0.49099999999999999</v>
      </c>
      <c r="K352" s="75">
        <v>-5.4504999999999999</v>
      </c>
      <c r="L352" s="81">
        <v>1070</v>
      </c>
      <c r="M352" s="13">
        <v>9.4999999999999998E-3</v>
      </c>
      <c r="N352" s="12">
        <v>-9.0914000000000007E-6</v>
      </c>
      <c r="O352" s="93">
        <v>0.24709999999999999</v>
      </c>
      <c r="P352" s="94">
        <v>0.25569999999999998</v>
      </c>
      <c r="Q352" s="95">
        <v>0.28570000000000001</v>
      </c>
      <c r="R352" s="111">
        <v>25.901</v>
      </c>
      <c r="S352" s="118">
        <v>-3578.4</v>
      </c>
      <c r="T352" s="125">
        <v>-5.7622999999999998</v>
      </c>
      <c r="U352" s="14">
        <v>0</v>
      </c>
      <c r="V352" s="30">
        <v>0</v>
      </c>
      <c r="W352" s="138">
        <v>226.76</v>
      </c>
      <c r="X352" s="13">
        <v>0.91535</v>
      </c>
      <c r="Y352" s="14">
        <v>-2.4842000000000002E-3</v>
      </c>
      <c r="Z352" s="30">
        <v>3.2969999999999999E-6</v>
      </c>
      <c r="AA352" s="77">
        <v>0.16159999999999999</v>
      </c>
      <c r="AB352" s="5">
        <v>-6.7725999999999995E-5</v>
      </c>
      <c r="AC352" s="15">
        <v>-2.0354000000000001E-7</v>
      </c>
      <c r="AD352" s="146">
        <v>67.727999999999994</v>
      </c>
      <c r="AE352" s="147">
        <v>0.38</v>
      </c>
      <c r="AF352" s="150">
        <v>51.875999999999998</v>
      </c>
      <c r="AG352" s="152">
        <v>1.2222</v>
      </c>
    </row>
    <row r="353" spans="1:33" x14ac:dyDescent="0.2">
      <c r="A353" s="27">
        <v>12</v>
      </c>
      <c r="B353" s="69">
        <v>6.7428520499999998</v>
      </c>
      <c r="C353" s="28">
        <f t="shared" si="23"/>
        <v>0.34742387295114063</v>
      </c>
      <c r="D353" s="52">
        <v>170.33799999999999</v>
      </c>
      <c r="E353" s="47">
        <v>632.97</v>
      </c>
      <c r="F353" s="44">
        <v>18.22</v>
      </c>
      <c r="G353" s="11">
        <v>6.9050000000000003E-4</v>
      </c>
      <c r="H353" s="61">
        <f t="shared" si="24"/>
        <v>246.86666666666667</v>
      </c>
      <c r="I353" s="29">
        <f t="shared" si="25"/>
        <v>0.23889349068311388</v>
      </c>
      <c r="J353" s="52">
        <v>0.46100000000000002</v>
      </c>
      <c r="K353" s="75">
        <v>-5.0496999999999996</v>
      </c>
      <c r="L353" s="81">
        <v>1004.6</v>
      </c>
      <c r="M353" s="13">
        <v>8.6E-3</v>
      </c>
      <c r="N353" s="12">
        <v>-8.4786000000000004E-6</v>
      </c>
      <c r="O353" s="93">
        <v>0.2467</v>
      </c>
      <c r="P353" s="94">
        <v>0.25929999999999997</v>
      </c>
      <c r="Q353" s="95">
        <v>0.28570000000000001</v>
      </c>
      <c r="R353" s="111">
        <v>25.891999999999999</v>
      </c>
      <c r="S353" s="118">
        <v>-3503.3</v>
      </c>
      <c r="T353" s="125">
        <v>-5.7906000000000004</v>
      </c>
      <c r="U353" s="14">
        <v>0</v>
      </c>
      <c r="V353" s="30">
        <v>0</v>
      </c>
      <c r="W353" s="138">
        <v>209.279</v>
      </c>
      <c r="X353" s="13">
        <v>1.0103</v>
      </c>
      <c r="Y353" s="14">
        <v>-2.7057000000000001E-3</v>
      </c>
      <c r="Z353" s="30">
        <v>3.4680000000000001E-6</v>
      </c>
      <c r="AA353" s="77">
        <v>0.15790000000000001</v>
      </c>
      <c r="AB353" s="5">
        <v>-5.8440999999999998E-5</v>
      </c>
      <c r="AC353" s="15">
        <v>-2.1441E-7</v>
      </c>
      <c r="AD353" s="146">
        <v>66.227000000000004</v>
      </c>
      <c r="AE353" s="147">
        <v>0.38</v>
      </c>
      <c r="AF353" s="150">
        <v>51.23</v>
      </c>
      <c r="AG353" s="152">
        <v>1.2222</v>
      </c>
    </row>
    <row r="354" spans="1:33" x14ac:dyDescent="0.2">
      <c r="A354" s="27">
        <v>12</v>
      </c>
      <c r="B354" s="69">
        <v>6.0663720049999998</v>
      </c>
      <c r="C354" s="28">
        <f t="shared" si="23"/>
        <v>0.3048911961994043</v>
      </c>
      <c r="D354" s="52">
        <v>170.33799999999999</v>
      </c>
      <c r="E354" s="47">
        <v>634.33000000000004</v>
      </c>
      <c r="F354" s="44">
        <v>18.22</v>
      </c>
      <c r="G354" s="11">
        <v>6.9050000000000003E-4</v>
      </c>
      <c r="H354" s="61">
        <f t="shared" si="24"/>
        <v>246.86666666666667</v>
      </c>
      <c r="I354" s="29">
        <f t="shared" si="25"/>
        <v>0.238381304364748</v>
      </c>
      <c r="J354" s="52">
        <v>0.46100000000000002</v>
      </c>
      <c r="K354" s="75">
        <v>-5.0728999999999997</v>
      </c>
      <c r="L354" s="81">
        <v>1009.9</v>
      </c>
      <c r="M354" s="13">
        <v>8.6999999999999994E-3</v>
      </c>
      <c r="N354" s="12">
        <v>-8.4788999999999994E-6</v>
      </c>
      <c r="O354" s="93">
        <v>0.2467</v>
      </c>
      <c r="P354" s="94">
        <v>0.2571</v>
      </c>
      <c r="Q354" s="95">
        <v>0.28570000000000001</v>
      </c>
      <c r="R354" s="111">
        <v>25.844999999999999</v>
      </c>
      <c r="S354" s="118">
        <v>-3507.1</v>
      </c>
      <c r="T354" s="125">
        <v>-5.7742000000000004</v>
      </c>
      <c r="U354" s="14">
        <v>0</v>
      </c>
      <c r="V354" s="30">
        <v>0</v>
      </c>
      <c r="W354" s="138">
        <v>208.80500000000001</v>
      </c>
      <c r="X354" s="13">
        <v>1.0138</v>
      </c>
      <c r="Y354" s="14">
        <v>-2.7128E-3</v>
      </c>
      <c r="Z354" s="30">
        <v>3.4738000000000001E-6</v>
      </c>
      <c r="AA354" s="77">
        <v>0.15790000000000001</v>
      </c>
      <c r="AB354" s="5">
        <v>-5.8394999999999999E-5</v>
      </c>
      <c r="AC354" s="15">
        <v>-2.1345E-7</v>
      </c>
      <c r="AD354" s="146">
        <v>66.384</v>
      </c>
      <c r="AE354" s="147">
        <v>0.38</v>
      </c>
      <c r="AF354" s="150">
        <v>51.268999999999998</v>
      </c>
      <c r="AG354" s="152">
        <v>1.2222</v>
      </c>
    </row>
    <row r="355" spans="1:33" x14ac:dyDescent="0.2">
      <c r="A355" s="27">
        <v>12</v>
      </c>
      <c r="B355" s="69">
        <v>5.9865113000000001</v>
      </c>
      <c r="C355" s="28">
        <f t="shared" si="23"/>
        <v>0.29987007314331954</v>
      </c>
      <c r="D355" s="52">
        <v>170.33799999999999</v>
      </c>
      <c r="E355" s="47">
        <v>642.54999999999995</v>
      </c>
      <c r="F355" s="44">
        <v>18.22</v>
      </c>
      <c r="G355" s="11">
        <v>6.9050000000000003E-4</v>
      </c>
      <c r="H355" s="61">
        <f t="shared" si="24"/>
        <v>246.86666666666667</v>
      </c>
      <c r="I355" s="29">
        <f t="shared" si="25"/>
        <v>0.23533174507460994</v>
      </c>
      <c r="J355" s="52">
        <v>0.46100000000000002</v>
      </c>
      <c r="K355" s="75">
        <v>-5.1977000000000002</v>
      </c>
      <c r="L355" s="81">
        <v>1039.9000000000001</v>
      </c>
      <c r="M355" s="13">
        <v>8.8000000000000005E-3</v>
      </c>
      <c r="N355" s="12">
        <v>-8.4583E-6</v>
      </c>
      <c r="O355" s="93">
        <v>0.2467</v>
      </c>
      <c r="P355" s="94">
        <v>0.25540000000000002</v>
      </c>
      <c r="Q355" s="95">
        <v>0.28570000000000001</v>
      </c>
      <c r="R355" s="111">
        <v>25.571000000000002</v>
      </c>
      <c r="S355" s="118">
        <v>-3529.6</v>
      </c>
      <c r="T355" s="125">
        <v>-5.6776999999999997</v>
      </c>
      <c r="U355" s="14">
        <v>0</v>
      </c>
      <c r="V355" s="30">
        <v>0</v>
      </c>
      <c r="W355" s="138">
        <v>212.20400000000001</v>
      </c>
      <c r="X355" s="13">
        <v>0.98768</v>
      </c>
      <c r="Y355" s="14">
        <v>-2.6158000000000002E-3</v>
      </c>
      <c r="Z355" s="30">
        <v>3.3361999999999999E-6</v>
      </c>
      <c r="AA355" s="77">
        <v>0.15809999999999999</v>
      </c>
      <c r="AB355" s="5">
        <v>-5.8109000000000002E-5</v>
      </c>
      <c r="AC355" s="15">
        <v>-2.0783E-7</v>
      </c>
      <c r="AD355" s="146">
        <v>67.325999999999993</v>
      </c>
      <c r="AE355" s="147">
        <v>0.38</v>
      </c>
      <c r="AF355" s="150">
        <v>51.500999999999998</v>
      </c>
      <c r="AG355" s="152">
        <v>1.2222</v>
      </c>
    </row>
    <row r="356" spans="1:33" x14ac:dyDescent="0.2">
      <c r="A356" s="27">
        <v>12</v>
      </c>
      <c r="B356" s="69">
        <v>6.4721803487500003</v>
      </c>
      <c r="C356" s="28">
        <f t="shared" ref="C356:C419" si="26">(B356-MIN($B$292:$B$645))/(MAX($B$292:$B$645)-MIN($B$292:$B$645))</f>
        <v>0.33040579228460926</v>
      </c>
      <c r="D356" s="52">
        <v>170.33799999999999</v>
      </c>
      <c r="E356" s="47">
        <v>635.70000000000005</v>
      </c>
      <c r="F356" s="44">
        <v>18.22</v>
      </c>
      <c r="G356" s="11">
        <v>6.9050000000000003E-4</v>
      </c>
      <c r="H356" s="61">
        <f t="shared" si="24"/>
        <v>246.86666666666667</v>
      </c>
      <c r="I356" s="29">
        <f t="shared" si="25"/>
        <v>0.23786756771699008</v>
      </c>
      <c r="J356" s="52">
        <v>0.46100000000000002</v>
      </c>
      <c r="K356" s="75">
        <v>-5.0955000000000004</v>
      </c>
      <c r="L356" s="81">
        <v>1015.2</v>
      </c>
      <c r="M356" s="13">
        <v>8.6999999999999994E-3</v>
      </c>
      <c r="N356" s="12">
        <v>-8.4780000000000008E-6</v>
      </c>
      <c r="O356" s="93">
        <v>0.2467</v>
      </c>
      <c r="P356" s="94">
        <v>0.2596</v>
      </c>
      <c r="Q356" s="95">
        <v>0.28570000000000001</v>
      </c>
      <c r="R356" s="111">
        <v>25.798999999999999</v>
      </c>
      <c r="S356" s="118">
        <v>-3510.8</v>
      </c>
      <c r="T356" s="125">
        <v>-5.7579000000000002</v>
      </c>
      <c r="U356" s="14">
        <v>0</v>
      </c>
      <c r="V356" s="30">
        <v>0</v>
      </c>
      <c r="W356" s="138">
        <v>210.90100000000001</v>
      </c>
      <c r="X356" s="13">
        <v>0.99783999999999995</v>
      </c>
      <c r="Y356" s="14">
        <v>-2.6619999999999999E-3</v>
      </c>
      <c r="Z356" s="30">
        <v>3.4077999999999998E-6</v>
      </c>
      <c r="AA356" s="77">
        <v>0.15790000000000001</v>
      </c>
      <c r="AB356" s="5">
        <v>-5.8347999999999998E-5</v>
      </c>
      <c r="AC356" s="15">
        <v>-2.125E-7</v>
      </c>
      <c r="AD356" s="146">
        <v>66.540999999999997</v>
      </c>
      <c r="AE356" s="147">
        <v>0.38</v>
      </c>
      <c r="AF356" s="150">
        <v>51.308</v>
      </c>
      <c r="AG356" s="152">
        <v>1.2222</v>
      </c>
    </row>
    <row r="357" spans="1:33" x14ac:dyDescent="0.2">
      <c r="A357" s="27">
        <v>12</v>
      </c>
      <c r="B357" s="69">
        <v>6.7454736937500002</v>
      </c>
      <c r="C357" s="28">
        <f t="shared" si="26"/>
        <v>0.34758870490294935</v>
      </c>
      <c r="D357" s="52">
        <v>170.33799999999999</v>
      </c>
      <c r="E357" s="47">
        <v>638.44000000000005</v>
      </c>
      <c r="F357" s="44">
        <v>18.22</v>
      </c>
      <c r="G357" s="11">
        <v>6.9050000000000003E-4</v>
      </c>
      <c r="H357" s="61">
        <f t="shared" si="24"/>
        <v>246.86666666666667</v>
      </c>
      <c r="I357" s="29">
        <f t="shared" si="25"/>
        <v>0.2368467088492115</v>
      </c>
      <c r="J357" s="52">
        <v>0.46100000000000002</v>
      </c>
      <c r="K357" s="75">
        <v>-5.1383999999999999</v>
      </c>
      <c r="L357" s="81">
        <v>1025.3</v>
      </c>
      <c r="M357" s="13">
        <v>8.8000000000000005E-3</v>
      </c>
      <c r="N357" s="12">
        <v>-8.4731000000000002E-6</v>
      </c>
      <c r="O357" s="93">
        <v>0.2467</v>
      </c>
      <c r="P357" s="94">
        <v>0.25990000000000002</v>
      </c>
      <c r="Q357" s="95">
        <v>0.28570000000000001</v>
      </c>
      <c r="R357" s="111">
        <v>25.707000000000001</v>
      </c>
      <c r="S357" s="118">
        <v>-3518.3</v>
      </c>
      <c r="T357" s="125">
        <v>-5.7255000000000003</v>
      </c>
      <c r="U357" s="14">
        <v>0</v>
      </c>
      <c r="V357" s="30">
        <v>0</v>
      </c>
      <c r="W357" s="138">
        <v>212.476</v>
      </c>
      <c r="X357" s="13">
        <v>0.98577999999999999</v>
      </c>
      <c r="Y357" s="14">
        <v>-2.6197999999999998E-3</v>
      </c>
      <c r="Z357" s="30">
        <v>3.3498000000000001E-6</v>
      </c>
      <c r="AA357" s="77">
        <v>0.158</v>
      </c>
      <c r="AB357" s="5">
        <v>-5.8252999999999999E-5</v>
      </c>
      <c r="AC357" s="15">
        <v>-2.1061E-7</v>
      </c>
      <c r="AD357" s="146">
        <v>66.855000000000004</v>
      </c>
      <c r="AE357" s="147">
        <v>0.38</v>
      </c>
      <c r="AF357" s="150">
        <v>51.384999999999998</v>
      </c>
      <c r="AG357" s="152">
        <v>1.2222</v>
      </c>
    </row>
    <row r="358" spans="1:33" x14ac:dyDescent="0.2">
      <c r="A358" s="27">
        <v>12</v>
      </c>
      <c r="B358" s="69">
        <v>7.5522662599999997</v>
      </c>
      <c r="C358" s="28">
        <f t="shared" si="26"/>
        <v>0.39831458762431632</v>
      </c>
      <c r="D358" s="52">
        <v>170.33799999999999</v>
      </c>
      <c r="E358" s="47">
        <v>632.97</v>
      </c>
      <c r="F358" s="44">
        <v>18.22</v>
      </c>
      <c r="G358" s="11">
        <v>6.9050000000000003E-4</v>
      </c>
      <c r="H358" s="61">
        <f t="shared" si="24"/>
        <v>246.86666666666667</v>
      </c>
      <c r="I358" s="29">
        <f t="shared" si="25"/>
        <v>0.23889349068311388</v>
      </c>
      <c r="J358" s="52">
        <v>0.46100000000000002</v>
      </c>
      <c r="K358" s="75">
        <v>-5.0496999999999996</v>
      </c>
      <c r="L358" s="81">
        <v>1004.6</v>
      </c>
      <c r="M358" s="13">
        <v>8.6E-3</v>
      </c>
      <c r="N358" s="12">
        <v>-8.4786000000000004E-6</v>
      </c>
      <c r="O358" s="93">
        <v>0.2467</v>
      </c>
      <c r="P358" s="94">
        <v>0.26419999999999999</v>
      </c>
      <c r="Q358" s="95">
        <v>0.28570000000000001</v>
      </c>
      <c r="R358" s="111">
        <v>25.891999999999999</v>
      </c>
      <c r="S358" s="118">
        <v>-3503.3</v>
      </c>
      <c r="T358" s="125">
        <v>-5.7906000000000004</v>
      </c>
      <c r="U358" s="14">
        <v>0</v>
      </c>
      <c r="V358" s="30">
        <v>0</v>
      </c>
      <c r="W358" s="138">
        <v>211.929</v>
      </c>
      <c r="X358" s="13">
        <v>0.99021000000000003</v>
      </c>
      <c r="Y358" s="14">
        <v>-2.6459000000000001E-3</v>
      </c>
      <c r="Z358" s="30">
        <v>3.3938E-6</v>
      </c>
      <c r="AA358" s="77">
        <v>0.15790000000000001</v>
      </c>
      <c r="AB358" s="5">
        <v>-5.8440999999999998E-5</v>
      </c>
      <c r="AC358" s="15">
        <v>-2.1441E-7</v>
      </c>
      <c r="AD358" s="146">
        <v>66.227000000000004</v>
      </c>
      <c r="AE358" s="147">
        <v>0.38</v>
      </c>
      <c r="AF358" s="150">
        <v>51.23</v>
      </c>
      <c r="AG358" s="152">
        <v>1.2222</v>
      </c>
    </row>
    <row r="359" spans="1:33" x14ac:dyDescent="0.2">
      <c r="A359" s="27">
        <v>12</v>
      </c>
      <c r="B359" s="69">
        <v>5.4063891999999996</v>
      </c>
      <c r="C359" s="28">
        <f t="shared" si="26"/>
        <v>0.26339575887756983</v>
      </c>
      <c r="D359" s="52">
        <v>170.33799999999999</v>
      </c>
      <c r="E359" s="47">
        <v>636.16</v>
      </c>
      <c r="F359" s="44">
        <v>18.170000000000002</v>
      </c>
      <c r="G359" s="11">
        <v>6.8950000000000001E-4</v>
      </c>
      <c r="H359" s="61">
        <f t="shared" si="24"/>
        <v>247.22496371552973</v>
      </c>
      <c r="I359" s="29">
        <f t="shared" si="25"/>
        <v>0.23669973443015568</v>
      </c>
      <c r="J359" s="52">
        <v>0.49099999999999999</v>
      </c>
      <c r="K359" s="75">
        <v>-5.4128999999999996</v>
      </c>
      <c r="L359" s="81">
        <v>1060.5</v>
      </c>
      <c r="M359" s="13">
        <v>9.4999999999999998E-3</v>
      </c>
      <c r="N359" s="12">
        <v>-9.1087999999999999E-6</v>
      </c>
      <c r="O359" s="93">
        <v>0.24709999999999999</v>
      </c>
      <c r="P359" s="94">
        <v>0.26019999999999999</v>
      </c>
      <c r="Q359" s="95">
        <v>0.28570000000000001</v>
      </c>
      <c r="R359" s="111">
        <v>25.992999999999999</v>
      </c>
      <c r="S359" s="118">
        <v>-3570.7</v>
      </c>
      <c r="T359" s="125">
        <v>-5.7945000000000002</v>
      </c>
      <c r="U359" s="14">
        <v>0</v>
      </c>
      <c r="V359" s="30">
        <v>0</v>
      </c>
      <c r="W359" s="138">
        <v>227.65700000000001</v>
      </c>
      <c r="X359" s="13">
        <v>0.90827000000000002</v>
      </c>
      <c r="Y359" s="14">
        <v>-2.4686999999999999E-3</v>
      </c>
      <c r="Z359" s="30">
        <v>3.2828999999999999E-6</v>
      </c>
      <c r="AA359" s="77">
        <v>0.16159999999999999</v>
      </c>
      <c r="AB359" s="5">
        <v>-6.7917999999999996E-5</v>
      </c>
      <c r="AC359" s="15">
        <v>-2.0529000000000001E-7</v>
      </c>
      <c r="AD359" s="146">
        <v>67.412000000000006</v>
      </c>
      <c r="AE359" s="147">
        <v>0.38</v>
      </c>
      <c r="AF359" s="150">
        <v>51.798000000000002</v>
      </c>
      <c r="AG359" s="152">
        <v>1.2222</v>
      </c>
    </row>
    <row r="360" spans="1:33" x14ac:dyDescent="0.2">
      <c r="A360" s="27">
        <v>12</v>
      </c>
      <c r="B360" s="69">
        <v>5.4068445000000001</v>
      </c>
      <c r="C360" s="28">
        <f t="shared" si="26"/>
        <v>0.26342438518793659</v>
      </c>
      <c r="D360" s="52">
        <v>170.33799999999999</v>
      </c>
      <c r="E360" s="47">
        <v>637.53</v>
      </c>
      <c r="F360" s="44">
        <v>18.170000000000002</v>
      </c>
      <c r="G360" s="11">
        <v>6.8950000000000001E-4</v>
      </c>
      <c r="H360" s="61">
        <f t="shared" si="24"/>
        <v>247.22496371552973</v>
      </c>
      <c r="I360" s="29">
        <f t="shared" si="25"/>
        <v>0.2361910859960909</v>
      </c>
      <c r="J360" s="52">
        <v>0.49099999999999999</v>
      </c>
      <c r="K360" s="75">
        <v>-5.4320000000000004</v>
      </c>
      <c r="L360" s="81">
        <v>1065.3</v>
      </c>
      <c r="M360" s="13">
        <v>9.4999999999999998E-3</v>
      </c>
      <c r="N360" s="12">
        <v>-9.1005000000000004E-6</v>
      </c>
      <c r="O360" s="93">
        <v>0.24709999999999999</v>
      </c>
      <c r="P360" s="94">
        <v>0.26040000000000002</v>
      </c>
      <c r="Q360" s="95">
        <v>0.28570000000000001</v>
      </c>
      <c r="R360" s="111">
        <v>25.946999999999999</v>
      </c>
      <c r="S360" s="118">
        <v>-3574.6</v>
      </c>
      <c r="T360" s="125">
        <v>-5.7784000000000004</v>
      </c>
      <c r="U360" s="14">
        <v>0</v>
      </c>
      <c r="V360" s="30">
        <v>0</v>
      </c>
      <c r="W360" s="138">
        <v>228.35900000000001</v>
      </c>
      <c r="X360" s="13">
        <v>0.90298999999999996</v>
      </c>
      <c r="Y360" s="14">
        <v>-2.4494999999999999E-3</v>
      </c>
      <c r="Z360" s="30">
        <v>3.2554000000000002E-6</v>
      </c>
      <c r="AA360" s="77">
        <v>0.16159999999999999</v>
      </c>
      <c r="AB360" s="5">
        <v>-6.7822000000000002E-5</v>
      </c>
      <c r="AC360" s="15">
        <v>-2.0440999999999999E-7</v>
      </c>
      <c r="AD360" s="146">
        <v>67.569999999999993</v>
      </c>
      <c r="AE360" s="147">
        <v>0.38</v>
      </c>
      <c r="AF360" s="150">
        <v>51.837000000000003</v>
      </c>
      <c r="AG360" s="152">
        <v>1.2222</v>
      </c>
    </row>
    <row r="361" spans="1:33" x14ac:dyDescent="0.2">
      <c r="A361" s="27">
        <v>12</v>
      </c>
      <c r="B361" s="69">
        <v>5.4070988399999997</v>
      </c>
      <c r="C361" s="28">
        <f t="shared" si="26"/>
        <v>0.26344037643717594</v>
      </c>
      <c r="D361" s="52">
        <v>170.33799999999999</v>
      </c>
      <c r="E361" s="47">
        <v>634.79999999999995</v>
      </c>
      <c r="F361" s="44">
        <v>18.170000000000002</v>
      </c>
      <c r="G361" s="11">
        <v>6.8950000000000001E-4</v>
      </c>
      <c r="H361" s="61">
        <f t="shared" si="24"/>
        <v>247.22496371552973</v>
      </c>
      <c r="I361" s="29">
        <f t="shared" si="25"/>
        <v>0.23720684161166958</v>
      </c>
      <c r="J361" s="52">
        <v>0.49099999999999999</v>
      </c>
      <c r="K361" s="75">
        <v>-5.3930999999999996</v>
      </c>
      <c r="L361" s="81">
        <v>1055.5999999999999</v>
      </c>
      <c r="M361" s="13">
        <v>9.4999999999999998E-3</v>
      </c>
      <c r="N361" s="12">
        <v>-9.1160000000000005E-6</v>
      </c>
      <c r="O361" s="93">
        <v>0.24709999999999999</v>
      </c>
      <c r="P361" s="94">
        <v>0.26019999999999999</v>
      </c>
      <c r="Q361" s="95">
        <v>0.28570000000000001</v>
      </c>
      <c r="R361" s="111">
        <v>26.039000000000001</v>
      </c>
      <c r="S361" s="118">
        <v>-3566.9</v>
      </c>
      <c r="T361" s="125">
        <v>-5.8108000000000004</v>
      </c>
      <c r="U361" s="14">
        <v>0</v>
      </c>
      <c r="V361" s="30">
        <v>0</v>
      </c>
      <c r="W361" s="138">
        <v>227.01</v>
      </c>
      <c r="X361" s="13">
        <v>0.91313999999999995</v>
      </c>
      <c r="Y361" s="14">
        <v>-2.4867000000000001E-3</v>
      </c>
      <c r="Z361" s="30">
        <v>3.309E-6</v>
      </c>
      <c r="AA361" s="77">
        <v>0.16159999999999999</v>
      </c>
      <c r="AB361" s="5">
        <v>-6.8013000000000001E-5</v>
      </c>
      <c r="AC361" s="15">
        <v>-2.0618000000000001E-7</v>
      </c>
      <c r="AD361" s="146">
        <v>67.253</v>
      </c>
      <c r="AE361" s="147">
        <v>0.38</v>
      </c>
      <c r="AF361" s="150">
        <v>51.759</v>
      </c>
      <c r="AG361" s="152">
        <v>1.2222</v>
      </c>
    </row>
    <row r="362" spans="1:33" x14ac:dyDescent="0.2">
      <c r="A362" s="27">
        <v>12</v>
      </c>
      <c r="B362" s="69">
        <v>4.4199042750000004</v>
      </c>
      <c r="C362" s="28">
        <f t="shared" si="26"/>
        <v>0.2013719863426596</v>
      </c>
      <c r="D362" s="52">
        <v>170.33799999999999</v>
      </c>
      <c r="E362" s="47">
        <v>641.61</v>
      </c>
      <c r="F362" s="44">
        <v>18.170000000000002</v>
      </c>
      <c r="G362" s="11">
        <v>6.8950000000000001E-4</v>
      </c>
      <c r="H362" s="61">
        <f t="shared" si="24"/>
        <v>247.22496371552973</v>
      </c>
      <c r="I362" s="29">
        <f t="shared" si="25"/>
        <v>0.2346891461403155</v>
      </c>
      <c r="J362" s="52">
        <v>0.49099999999999999</v>
      </c>
      <c r="K362" s="75">
        <v>-5.4855999999999998</v>
      </c>
      <c r="L362" s="81">
        <v>1079.2</v>
      </c>
      <c r="M362" s="13">
        <v>9.5999999999999992E-3</v>
      </c>
      <c r="N362" s="12">
        <v>-9.0704000000000004E-6</v>
      </c>
      <c r="O362" s="93">
        <v>0.24709999999999999</v>
      </c>
      <c r="P362" s="94">
        <v>0.25590000000000002</v>
      </c>
      <c r="Q362" s="95">
        <v>0.28570000000000001</v>
      </c>
      <c r="R362" s="111">
        <v>25.81</v>
      </c>
      <c r="S362" s="118">
        <v>-3586</v>
      </c>
      <c r="T362" s="125">
        <v>-5.7302999999999997</v>
      </c>
      <c r="U362" s="14">
        <v>0</v>
      </c>
      <c r="V362" s="30">
        <v>0</v>
      </c>
      <c r="W362" s="138">
        <v>228.35900000000001</v>
      </c>
      <c r="X362" s="13">
        <v>0.90298999999999996</v>
      </c>
      <c r="Y362" s="14">
        <v>-2.4494999999999999E-3</v>
      </c>
      <c r="Z362" s="30">
        <v>3.2554000000000002E-6</v>
      </c>
      <c r="AA362" s="77">
        <v>0.16170000000000001</v>
      </c>
      <c r="AB362" s="5">
        <v>-6.7535999999999998E-5</v>
      </c>
      <c r="AC362" s="15">
        <v>-2.0181000000000001E-7</v>
      </c>
      <c r="AD362" s="146">
        <v>68.043999999999997</v>
      </c>
      <c r="AE362" s="147">
        <v>0.38</v>
      </c>
      <c r="AF362" s="150">
        <v>51.953000000000003</v>
      </c>
      <c r="AG362" s="152">
        <v>1.2222</v>
      </c>
    </row>
    <row r="363" spans="1:33" x14ac:dyDescent="0.2">
      <c r="A363" s="27">
        <v>12</v>
      </c>
      <c r="B363" s="69">
        <v>6.4682975599999999</v>
      </c>
      <c r="C363" s="28">
        <f t="shared" si="26"/>
        <v>0.33016166771653122</v>
      </c>
      <c r="D363" s="52">
        <v>170.33799999999999</v>
      </c>
      <c r="E363" s="47">
        <v>642.54999999999995</v>
      </c>
      <c r="F363" s="44">
        <v>18.22</v>
      </c>
      <c r="G363" s="11">
        <v>6.9050000000000003E-4</v>
      </c>
      <c r="H363" s="61">
        <f t="shared" si="24"/>
        <v>246.86666666666667</v>
      </c>
      <c r="I363" s="29">
        <f t="shared" si="25"/>
        <v>0.23533174507460994</v>
      </c>
      <c r="J363" s="52">
        <v>0.46100000000000002</v>
      </c>
      <c r="K363" s="75">
        <v>-5.1977000000000002</v>
      </c>
      <c r="L363" s="81">
        <v>1039.9000000000001</v>
      </c>
      <c r="M363" s="13">
        <v>8.8000000000000005E-3</v>
      </c>
      <c r="N363" s="12">
        <v>-8.4583E-6</v>
      </c>
      <c r="O363" s="93">
        <v>0.2467</v>
      </c>
      <c r="P363" s="94">
        <v>0.26019999999999999</v>
      </c>
      <c r="Q363" s="95">
        <v>0.28570000000000001</v>
      </c>
      <c r="R363" s="111">
        <v>25.571000000000002</v>
      </c>
      <c r="S363" s="118">
        <v>-3529.6</v>
      </c>
      <c r="T363" s="125">
        <v>-5.6776999999999997</v>
      </c>
      <c r="U363" s="14">
        <v>0</v>
      </c>
      <c r="V363" s="30">
        <v>0</v>
      </c>
      <c r="W363" s="138">
        <v>214.75899999999999</v>
      </c>
      <c r="X363" s="13">
        <v>0.96840999999999999</v>
      </c>
      <c r="Y363" s="14">
        <v>-2.5590000000000001E-3</v>
      </c>
      <c r="Z363" s="30">
        <v>3.2661E-6</v>
      </c>
      <c r="AA363" s="77">
        <v>0.15809999999999999</v>
      </c>
      <c r="AB363" s="5">
        <v>-5.8109000000000002E-5</v>
      </c>
      <c r="AC363" s="15">
        <v>-2.0783E-7</v>
      </c>
      <c r="AD363" s="146">
        <v>67.325999999999993</v>
      </c>
      <c r="AE363" s="147">
        <v>0.38</v>
      </c>
      <c r="AF363" s="150">
        <v>51.500999999999998</v>
      </c>
      <c r="AG363" s="152">
        <v>1.2222</v>
      </c>
    </row>
    <row r="364" spans="1:33" x14ac:dyDescent="0.2">
      <c r="A364" s="27">
        <v>12</v>
      </c>
      <c r="B364" s="69">
        <v>5.7070376999999999</v>
      </c>
      <c r="C364" s="28">
        <f t="shared" si="26"/>
        <v>0.28229858618328058</v>
      </c>
      <c r="D364" s="52">
        <v>170.33799999999999</v>
      </c>
      <c r="E364" s="47">
        <v>633.44000000000005</v>
      </c>
      <c r="F364" s="44">
        <v>18.170000000000002</v>
      </c>
      <c r="G364" s="11">
        <v>6.8950000000000001E-4</v>
      </c>
      <c r="H364" s="61">
        <f t="shared" si="24"/>
        <v>247.22496371552973</v>
      </c>
      <c r="I364" s="29">
        <f t="shared" si="25"/>
        <v>0.23771612631833769</v>
      </c>
      <c r="J364" s="52">
        <v>0.49099999999999999</v>
      </c>
      <c r="K364" s="75">
        <v>-5.3726000000000003</v>
      </c>
      <c r="L364" s="81">
        <v>1050.5999999999999</v>
      </c>
      <c r="M364" s="13">
        <v>9.4000000000000004E-3</v>
      </c>
      <c r="N364" s="12">
        <v>-9.1223000000000007E-6</v>
      </c>
      <c r="O364" s="93">
        <v>0.24709999999999999</v>
      </c>
      <c r="P364" s="94">
        <v>0.26240000000000002</v>
      </c>
      <c r="Q364" s="95">
        <v>0.28570000000000001</v>
      </c>
      <c r="R364" s="111">
        <v>26.085999999999999</v>
      </c>
      <c r="S364" s="118">
        <v>-3563.1</v>
      </c>
      <c r="T364" s="125">
        <v>-5.8272000000000004</v>
      </c>
      <c r="U364" s="14">
        <v>0</v>
      </c>
      <c r="V364" s="30">
        <v>0</v>
      </c>
      <c r="W364" s="138">
        <v>227.43700000000001</v>
      </c>
      <c r="X364" s="13">
        <v>0.90978000000000003</v>
      </c>
      <c r="Y364" s="14">
        <v>-2.4794999999999999E-3</v>
      </c>
      <c r="Z364" s="30">
        <v>3.3028E-6</v>
      </c>
      <c r="AA364" s="77">
        <v>0.1615</v>
      </c>
      <c r="AB364" s="5">
        <v>-6.8108999999999995E-5</v>
      </c>
      <c r="AC364" s="15">
        <v>-2.0706999999999999E-7</v>
      </c>
      <c r="AD364" s="146">
        <v>67.094999999999999</v>
      </c>
      <c r="AE364" s="147">
        <v>0.38</v>
      </c>
      <c r="AF364" s="150">
        <v>51.72</v>
      </c>
      <c r="AG364" s="152">
        <v>1.2222</v>
      </c>
    </row>
    <row r="365" spans="1:33" x14ac:dyDescent="0.2">
      <c r="A365" s="27">
        <v>12</v>
      </c>
      <c r="B365" s="69">
        <v>4.7248691999999997</v>
      </c>
      <c r="C365" s="28">
        <f t="shared" si="26"/>
        <v>0.22054620245075263</v>
      </c>
      <c r="D365" s="52">
        <v>170.33799999999999</v>
      </c>
      <c r="E365" s="47">
        <v>641.61</v>
      </c>
      <c r="F365" s="44">
        <v>18.170000000000002</v>
      </c>
      <c r="G365" s="11">
        <v>6.8950000000000001E-4</v>
      </c>
      <c r="H365" s="61">
        <f t="shared" si="24"/>
        <v>247.22496371552973</v>
      </c>
      <c r="I365" s="29">
        <f t="shared" si="25"/>
        <v>0.2346891461403155</v>
      </c>
      <c r="J365" s="52">
        <v>0.49099999999999999</v>
      </c>
      <c r="K365" s="75">
        <v>-5.4855999999999998</v>
      </c>
      <c r="L365" s="81">
        <v>1079.2</v>
      </c>
      <c r="M365" s="13">
        <v>9.5999999999999992E-3</v>
      </c>
      <c r="N365" s="12">
        <v>-9.0704000000000004E-6</v>
      </c>
      <c r="O365" s="93">
        <v>0.24709999999999999</v>
      </c>
      <c r="P365" s="94">
        <v>0.25829999999999997</v>
      </c>
      <c r="Q365" s="95">
        <v>0.28570000000000001</v>
      </c>
      <c r="R365" s="111">
        <v>25.81</v>
      </c>
      <c r="S365" s="118">
        <v>-3586</v>
      </c>
      <c r="T365" s="125">
        <v>-5.7302999999999997</v>
      </c>
      <c r="U365" s="14">
        <v>0</v>
      </c>
      <c r="V365" s="30">
        <v>0</v>
      </c>
      <c r="W365" s="138">
        <v>229.23599999999999</v>
      </c>
      <c r="X365" s="13">
        <v>0.89663000000000004</v>
      </c>
      <c r="Y365" s="14">
        <v>-2.4210999999999998E-3</v>
      </c>
      <c r="Z365" s="30">
        <v>3.2102000000000002E-6</v>
      </c>
      <c r="AA365" s="77">
        <v>0.16170000000000001</v>
      </c>
      <c r="AB365" s="5">
        <v>-6.7535999999999998E-5</v>
      </c>
      <c r="AC365" s="15">
        <v>-2.0181000000000001E-7</v>
      </c>
      <c r="AD365" s="146">
        <v>68.043999999999997</v>
      </c>
      <c r="AE365" s="147">
        <v>0.38</v>
      </c>
      <c r="AF365" s="150">
        <v>51.953000000000003</v>
      </c>
      <c r="AG365" s="152">
        <v>1.2222</v>
      </c>
    </row>
    <row r="366" spans="1:33" x14ac:dyDescent="0.2">
      <c r="A366" s="27">
        <v>12</v>
      </c>
      <c r="B366" s="69">
        <v>6.4691056912500002</v>
      </c>
      <c r="C366" s="28">
        <f t="shared" si="26"/>
        <v>0.33021247776700247</v>
      </c>
      <c r="D366" s="52">
        <v>170.33799999999999</v>
      </c>
      <c r="E366" s="48">
        <v>635.70000000000005</v>
      </c>
      <c r="F366" s="48">
        <v>18.22</v>
      </c>
      <c r="G366" s="35">
        <v>6.9050000000000003E-4</v>
      </c>
      <c r="H366" s="61">
        <f t="shared" si="24"/>
        <v>246.86666666666667</v>
      </c>
      <c r="I366" s="29">
        <f t="shared" si="25"/>
        <v>0.23786756771699008</v>
      </c>
      <c r="J366" s="55">
        <v>0.46100000000000002</v>
      </c>
      <c r="K366" s="76">
        <v>-5.0955000000000004</v>
      </c>
      <c r="L366" s="82">
        <v>1015.2</v>
      </c>
      <c r="M366" s="85">
        <v>8.6999999999999994E-3</v>
      </c>
      <c r="N366" s="4">
        <v>-8.4780000000000008E-6</v>
      </c>
      <c r="O366" s="96">
        <v>0.2467</v>
      </c>
      <c r="P366" s="97">
        <v>0.2596</v>
      </c>
      <c r="Q366" s="98">
        <v>0.28570000000000001</v>
      </c>
      <c r="R366" s="114">
        <v>25.798999999999999</v>
      </c>
      <c r="S366" s="120">
        <v>-3510.8</v>
      </c>
      <c r="T366" s="127">
        <v>-5.7579000000000002</v>
      </c>
      <c r="U366" s="14">
        <v>0</v>
      </c>
      <c r="V366" s="14">
        <v>0</v>
      </c>
      <c r="W366" s="139">
        <v>210.90100000000001</v>
      </c>
      <c r="X366" s="7">
        <v>0.99783999999999995</v>
      </c>
      <c r="Y366" s="8">
        <v>-2.6619999999999999E-3</v>
      </c>
      <c r="Z366" s="33">
        <v>3.4077999999999998E-6</v>
      </c>
      <c r="AA366" s="141">
        <v>0.15790000000000001</v>
      </c>
      <c r="AB366" s="9">
        <v>-5.8347999999999998E-5</v>
      </c>
      <c r="AC366" s="10">
        <v>-2.125E-7</v>
      </c>
      <c r="AD366" s="146">
        <v>66.540999999999997</v>
      </c>
      <c r="AE366" s="147">
        <v>0.38</v>
      </c>
      <c r="AF366" s="150">
        <v>51.308</v>
      </c>
      <c r="AG366" s="152">
        <v>1.2222</v>
      </c>
    </row>
    <row r="367" spans="1:33" x14ac:dyDescent="0.2">
      <c r="A367" s="27">
        <v>12</v>
      </c>
      <c r="B367" s="69">
        <v>4.7225754249999996</v>
      </c>
      <c r="C367" s="28">
        <f t="shared" si="26"/>
        <v>0.22040198475898579</v>
      </c>
      <c r="D367" s="52">
        <v>170.33799999999999</v>
      </c>
      <c r="E367" s="48">
        <v>640.25</v>
      </c>
      <c r="F367" s="48">
        <v>18.170000000000002</v>
      </c>
      <c r="G367" s="35">
        <v>6.8950000000000001E-4</v>
      </c>
      <c r="H367" s="61">
        <f t="shared" si="24"/>
        <v>247.22496371552973</v>
      </c>
      <c r="I367" s="29">
        <f t="shared" si="25"/>
        <v>0.23518766584160536</v>
      </c>
      <c r="J367" s="55">
        <v>0.49099999999999999</v>
      </c>
      <c r="K367" s="76">
        <v>-5.4683000000000002</v>
      </c>
      <c r="L367" s="82">
        <v>1074.7</v>
      </c>
      <c r="M367" s="85">
        <v>9.4999999999999998E-3</v>
      </c>
      <c r="N367" s="4">
        <v>-9.0813000000000006E-6</v>
      </c>
      <c r="O367" s="96">
        <v>0.24709999999999999</v>
      </c>
      <c r="P367" s="97">
        <v>0.25819999999999999</v>
      </c>
      <c r="Q367" s="98">
        <v>0.28570000000000001</v>
      </c>
      <c r="R367" s="114">
        <v>25.855</v>
      </c>
      <c r="S367" s="120">
        <v>-3582.2</v>
      </c>
      <c r="T367" s="127">
        <v>-5.7462999999999997</v>
      </c>
      <c r="U367" s="14">
        <v>0</v>
      </c>
      <c r="V367" s="14">
        <v>0</v>
      </c>
      <c r="W367" s="139">
        <v>228.56299999999999</v>
      </c>
      <c r="X367" s="7">
        <v>0.90164999999999995</v>
      </c>
      <c r="Y367" s="8">
        <v>-2.4394E-3</v>
      </c>
      <c r="Z367" s="33">
        <v>3.2364999999999998E-6</v>
      </c>
      <c r="AA367" s="141">
        <v>0.16159999999999999</v>
      </c>
      <c r="AB367" s="9">
        <v>-6.7631000000000004E-5</v>
      </c>
      <c r="AC367" s="10">
        <v>-2.0267E-7</v>
      </c>
      <c r="AD367" s="146">
        <v>67.885999999999996</v>
      </c>
      <c r="AE367" s="147">
        <v>0.38</v>
      </c>
      <c r="AF367" s="150">
        <v>51.914000000000001</v>
      </c>
      <c r="AG367" s="152">
        <v>1.2222</v>
      </c>
    </row>
    <row r="368" spans="1:33" x14ac:dyDescent="0.2">
      <c r="A368" s="27">
        <v>12</v>
      </c>
      <c r="B368" s="69">
        <v>7.5531442599999998</v>
      </c>
      <c r="C368" s="28">
        <f t="shared" si="26"/>
        <v>0.39836979056853328</v>
      </c>
      <c r="D368" s="52">
        <v>170.33799999999999</v>
      </c>
      <c r="E368" s="47">
        <v>638.44000000000005</v>
      </c>
      <c r="F368" s="44">
        <v>18.22</v>
      </c>
      <c r="G368" s="11">
        <v>6.9050000000000003E-4</v>
      </c>
      <c r="H368" s="61">
        <f t="shared" si="24"/>
        <v>246.86666666666667</v>
      </c>
      <c r="I368" s="29">
        <f t="shared" si="25"/>
        <v>0.2368467088492115</v>
      </c>
      <c r="J368" s="52">
        <v>0.46100000000000002</v>
      </c>
      <c r="K368" s="75">
        <v>-5.1383999999999999</v>
      </c>
      <c r="L368" s="81">
        <v>1025.3</v>
      </c>
      <c r="M368" s="13">
        <v>8.8000000000000005E-3</v>
      </c>
      <c r="N368" s="12">
        <v>-8.4731000000000002E-6</v>
      </c>
      <c r="O368" s="93">
        <v>0.2467</v>
      </c>
      <c r="P368" s="94">
        <v>0.2646</v>
      </c>
      <c r="Q368" s="95">
        <v>0.28570000000000001</v>
      </c>
      <c r="R368" s="111">
        <v>25.707000000000001</v>
      </c>
      <c r="S368" s="118">
        <v>-3518.3</v>
      </c>
      <c r="T368" s="125">
        <v>-5.7255000000000003</v>
      </c>
      <c r="U368" s="14">
        <v>0</v>
      </c>
      <c r="V368" s="30">
        <v>0</v>
      </c>
      <c r="W368" s="138">
        <v>214.983</v>
      </c>
      <c r="X368" s="13">
        <v>0.96686000000000005</v>
      </c>
      <c r="Y368" s="14">
        <v>-2.5639E-3</v>
      </c>
      <c r="Z368" s="30">
        <v>3.2806E-6</v>
      </c>
      <c r="AA368" s="77">
        <v>0.158</v>
      </c>
      <c r="AB368" s="5">
        <v>-5.8252999999999999E-5</v>
      </c>
      <c r="AC368" s="15">
        <v>-2.1061E-7</v>
      </c>
      <c r="AD368" s="146">
        <v>66.855000000000004</v>
      </c>
      <c r="AE368" s="147">
        <v>0.38</v>
      </c>
      <c r="AF368" s="150">
        <v>51.384999999999998</v>
      </c>
      <c r="AG368" s="152">
        <v>1.2222</v>
      </c>
    </row>
    <row r="369" spans="1:33" x14ac:dyDescent="0.2">
      <c r="A369" s="27">
        <v>12</v>
      </c>
      <c r="B369" s="69">
        <v>5.4044486799999998</v>
      </c>
      <c r="C369" s="28">
        <f t="shared" si="26"/>
        <v>0.26327375156855859</v>
      </c>
      <c r="D369" s="52">
        <v>170.33799999999999</v>
      </c>
      <c r="E369" s="47">
        <v>640.25</v>
      </c>
      <c r="F369" s="44">
        <v>18.170000000000002</v>
      </c>
      <c r="G369" s="11">
        <v>6.8950000000000001E-4</v>
      </c>
      <c r="H369" s="61">
        <f t="shared" si="24"/>
        <v>247.22496371552973</v>
      </c>
      <c r="I369" s="29">
        <f t="shared" si="25"/>
        <v>0.23518766584160536</v>
      </c>
      <c r="J369" s="52">
        <v>0.49099999999999999</v>
      </c>
      <c r="K369" s="75">
        <v>-5.4683000000000002</v>
      </c>
      <c r="L369" s="81">
        <v>1074.7</v>
      </c>
      <c r="M369" s="13">
        <v>9.4999999999999998E-3</v>
      </c>
      <c r="N369" s="12">
        <v>-9.0813000000000006E-6</v>
      </c>
      <c r="O369" s="93">
        <v>0.24709999999999999</v>
      </c>
      <c r="P369" s="94">
        <v>0.2606</v>
      </c>
      <c r="Q369" s="95">
        <v>0.28570000000000001</v>
      </c>
      <c r="R369" s="111">
        <v>25.855</v>
      </c>
      <c r="S369" s="118">
        <v>-3582.2</v>
      </c>
      <c r="T369" s="125">
        <v>-5.7462999999999997</v>
      </c>
      <c r="U369" s="14">
        <v>0</v>
      </c>
      <c r="V369" s="30">
        <v>0</v>
      </c>
      <c r="W369" s="138">
        <v>229.727</v>
      </c>
      <c r="X369" s="13">
        <v>0.89276</v>
      </c>
      <c r="Y369" s="14">
        <v>-2.4123E-3</v>
      </c>
      <c r="Z369" s="30">
        <v>3.2018E-6</v>
      </c>
      <c r="AA369" s="77">
        <v>0.16159999999999999</v>
      </c>
      <c r="AB369" s="5">
        <v>-6.7631000000000004E-5</v>
      </c>
      <c r="AC369" s="15">
        <v>-2.0267E-7</v>
      </c>
      <c r="AD369" s="146">
        <v>67.885999999999996</v>
      </c>
      <c r="AE369" s="147">
        <v>0.38</v>
      </c>
      <c r="AF369" s="150">
        <v>51.914000000000001</v>
      </c>
      <c r="AG369" s="152">
        <v>1.2222</v>
      </c>
    </row>
    <row r="370" spans="1:33" x14ac:dyDescent="0.2">
      <c r="A370" s="27">
        <v>12</v>
      </c>
      <c r="B370" s="69">
        <v>6.7418841187499998</v>
      </c>
      <c r="C370" s="28">
        <f t="shared" si="26"/>
        <v>0.34736301571332789</v>
      </c>
      <c r="D370" s="52">
        <v>170.33799999999999</v>
      </c>
      <c r="E370" s="47">
        <v>645.29</v>
      </c>
      <c r="F370" s="44">
        <v>18.22</v>
      </c>
      <c r="G370" s="11">
        <v>6.9050000000000003E-4</v>
      </c>
      <c r="H370" s="61">
        <f t="shared" si="24"/>
        <v>246.86666666666667</v>
      </c>
      <c r="I370" s="29">
        <f t="shared" si="25"/>
        <v>0.23433249050456478</v>
      </c>
      <c r="J370" s="52">
        <v>0.46100000000000002</v>
      </c>
      <c r="K370" s="75">
        <v>-5.2340999999999998</v>
      </c>
      <c r="L370" s="81">
        <v>1049.3</v>
      </c>
      <c r="M370" s="13">
        <v>8.8999999999999999E-3</v>
      </c>
      <c r="N370" s="12">
        <v>-8.4440000000000008E-6</v>
      </c>
      <c r="O370" s="93">
        <v>0.2467</v>
      </c>
      <c r="P370" s="94">
        <v>0.26040000000000002</v>
      </c>
      <c r="Q370" s="95">
        <v>0.28570000000000001</v>
      </c>
      <c r="R370" s="111">
        <v>25.481000000000002</v>
      </c>
      <c r="S370" s="118">
        <v>-3537.1</v>
      </c>
      <c r="T370" s="125">
        <v>-5.6462000000000003</v>
      </c>
      <c r="U370" s="14">
        <v>0</v>
      </c>
      <c r="V370" s="30">
        <v>0</v>
      </c>
      <c r="W370" s="138">
        <v>216.251</v>
      </c>
      <c r="X370" s="13">
        <v>0.95713000000000004</v>
      </c>
      <c r="Y370" s="14">
        <v>-2.5195999999999999E-3</v>
      </c>
      <c r="Z370" s="30">
        <v>3.2119000000000001E-6</v>
      </c>
      <c r="AA370" s="77">
        <v>0.15809999999999999</v>
      </c>
      <c r="AB370" s="5">
        <v>-5.8012E-5</v>
      </c>
      <c r="AC370" s="15">
        <v>-2.0601E-7</v>
      </c>
      <c r="AD370" s="146">
        <v>67.641000000000005</v>
      </c>
      <c r="AE370" s="147">
        <v>0.38</v>
      </c>
      <c r="AF370" s="150">
        <v>51.576999999999998</v>
      </c>
      <c r="AG370" s="152">
        <v>1.2222</v>
      </c>
    </row>
    <row r="371" spans="1:33" x14ac:dyDescent="0.2">
      <c r="A371" s="27">
        <v>12</v>
      </c>
      <c r="B371" s="69">
        <v>5.40539696</v>
      </c>
      <c r="C371" s="28">
        <f t="shared" si="26"/>
        <v>0.2633333732632534</v>
      </c>
      <c r="D371" s="52">
        <v>170.33799999999999</v>
      </c>
      <c r="E371" s="47">
        <v>642.97</v>
      </c>
      <c r="F371" s="44">
        <v>18.170000000000002</v>
      </c>
      <c r="G371" s="11">
        <v>6.8950000000000001E-4</v>
      </c>
      <c r="H371" s="61">
        <f t="shared" si="24"/>
        <v>247.22496371552973</v>
      </c>
      <c r="I371" s="29">
        <f t="shared" si="25"/>
        <v>0.23419273536103991</v>
      </c>
      <c r="J371" s="52">
        <v>0.49099999999999999</v>
      </c>
      <c r="K371" s="75">
        <v>-5.5022000000000002</v>
      </c>
      <c r="L371" s="81">
        <v>1083.7</v>
      </c>
      <c r="M371" s="13">
        <v>9.5999999999999992E-3</v>
      </c>
      <c r="N371" s="12">
        <v>-9.0587000000000002E-6</v>
      </c>
      <c r="O371" s="93">
        <v>0.24709999999999999</v>
      </c>
      <c r="P371" s="94">
        <v>0.26079999999999998</v>
      </c>
      <c r="Q371" s="95">
        <v>0.28570000000000001</v>
      </c>
      <c r="R371" s="111">
        <v>25.765000000000001</v>
      </c>
      <c r="S371" s="118">
        <v>-3589.9</v>
      </c>
      <c r="T371" s="125">
        <v>-5.7145000000000001</v>
      </c>
      <c r="U371" s="14">
        <v>0</v>
      </c>
      <c r="V371" s="30">
        <v>0</v>
      </c>
      <c r="W371" s="138">
        <v>231.03700000000001</v>
      </c>
      <c r="X371" s="13">
        <v>0.88302000000000003</v>
      </c>
      <c r="Y371" s="14">
        <v>-2.3768000000000001E-3</v>
      </c>
      <c r="Z371" s="30">
        <v>3.1506E-6</v>
      </c>
      <c r="AA371" s="77">
        <v>0.16170000000000001</v>
      </c>
      <c r="AB371" s="5">
        <v>-6.7440000000000005E-5</v>
      </c>
      <c r="AC371" s="15">
        <v>-2.0095000000000001E-7</v>
      </c>
      <c r="AD371" s="146">
        <v>68.201999999999998</v>
      </c>
      <c r="AE371" s="147">
        <v>0.38</v>
      </c>
      <c r="AF371" s="150">
        <v>51.991999999999997</v>
      </c>
      <c r="AG371" s="152">
        <v>1.2222</v>
      </c>
    </row>
    <row r="372" spans="1:33" x14ac:dyDescent="0.2">
      <c r="A372" s="27">
        <v>12</v>
      </c>
      <c r="B372" s="69">
        <v>3.8040906799999998</v>
      </c>
      <c r="C372" s="28">
        <f t="shared" si="26"/>
        <v>0.16265362241004766</v>
      </c>
      <c r="D372" s="52">
        <v>170.33799999999999</v>
      </c>
      <c r="E372" s="47">
        <v>638.02</v>
      </c>
      <c r="F372" s="44">
        <v>18.05</v>
      </c>
      <c r="G372" s="11">
        <v>6.9550000000000005E-4</v>
      </c>
      <c r="H372" s="61">
        <f t="shared" si="24"/>
        <v>245.09064748201439</v>
      </c>
      <c r="I372" s="29">
        <f t="shared" si="25"/>
        <v>0.23649267730557169</v>
      </c>
      <c r="J372" s="52">
        <v>0.51900000000000002</v>
      </c>
      <c r="K372" s="75">
        <v>-5.0415000000000001</v>
      </c>
      <c r="L372" s="81">
        <v>933.12</v>
      </c>
      <c r="M372" s="13">
        <v>9.4000000000000004E-3</v>
      </c>
      <c r="N372" s="12">
        <v>-9.4460000000000007E-6</v>
      </c>
      <c r="O372" s="93">
        <v>0.24490000000000001</v>
      </c>
      <c r="P372" s="94">
        <v>0.26169999999999999</v>
      </c>
      <c r="Q372" s="95">
        <v>0.28570000000000001</v>
      </c>
      <c r="R372" s="111">
        <v>26.117000000000001</v>
      </c>
      <c r="S372" s="118">
        <v>-3631</v>
      </c>
      <c r="T372" s="125">
        <v>-5.8094000000000001</v>
      </c>
      <c r="U372" s="14">
        <v>0</v>
      </c>
      <c r="V372" s="30">
        <v>0</v>
      </c>
      <c r="W372" s="138">
        <v>222.43299999999999</v>
      </c>
      <c r="X372" s="13">
        <v>0.98009000000000002</v>
      </c>
      <c r="Y372" s="14">
        <v>-2.6457E-3</v>
      </c>
      <c r="Z372" s="30">
        <v>3.422E-6</v>
      </c>
      <c r="AA372" s="77">
        <v>0.1615</v>
      </c>
      <c r="AB372" s="5">
        <v>-6.2508999999999994E-5</v>
      </c>
      <c r="AC372" s="15">
        <v>-2.1161E-7</v>
      </c>
      <c r="AD372" s="146">
        <v>68.450999999999993</v>
      </c>
      <c r="AE372" s="147">
        <v>0.38</v>
      </c>
      <c r="AF372" s="150">
        <v>52.234000000000002</v>
      </c>
      <c r="AG372" s="152">
        <v>1.2222</v>
      </c>
    </row>
    <row r="373" spans="1:33" x14ac:dyDescent="0.2">
      <c r="A373" s="27">
        <v>12</v>
      </c>
      <c r="B373" s="69">
        <v>3.8037967500000001</v>
      </c>
      <c r="C373" s="28">
        <f t="shared" si="26"/>
        <v>0.16263514199843754</v>
      </c>
      <c r="D373" s="52">
        <v>170.33799999999999</v>
      </c>
      <c r="E373" s="47">
        <v>639.37</v>
      </c>
      <c r="F373" s="44">
        <v>18.05</v>
      </c>
      <c r="G373" s="11">
        <v>6.9550000000000005E-4</v>
      </c>
      <c r="H373" s="61">
        <f t="shared" si="24"/>
        <v>245.09064748201439</v>
      </c>
      <c r="I373" s="29">
        <f t="shared" si="25"/>
        <v>0.23599333402333678</v>
      </c>
      <c r="J373" s="52">
        <v>0.51900000000000002</v>
      </c>
      <c r="K373" s="75">
        <v>-5.0492999999999997</v>
      </c>
      <c r="L373" s="81">
        <v>936.5</v>
      </c>
      <c r="M373" s="13">
        <v>9.4000000000000004E-3</v>
      </c>
      <c r="N373" s="12">
        <v>-9.4143999999999992E-6</v>
      </c>
      <c r="O373" s="93">
        <v>0.24490000000000001</v>
      </c>
      <c r="P373" s="94">
        <v>0.26179999999999998</v>
      </c>
      <c r="Q373" s="95">
        <v>0.28570000000000001</v>
      </c>
      <c r="R373" s="111">
        <v>26.071999999999999</v>
      </c>
      <c r="S373" s="118">
        <v>-3634.9</v>
      </c>
      <c r="T373" s="125">
        <v>-5.7934000000000001</v>
      </c>
      <c r="U373" s="14">
        <v>0</v>
      </c>
      <c r="V373" s="30">
        <v>0</v>
      </c>
      <c r="W373" s="138">
        <v>223.15299999999999</v>
      </c>
      <c r="X373" s="13">
        <v>0.97465000000000002</v>
      </c>
      <c r="Y373" s="14">
        <v>-2.6261000000000001E-3</v>
      </c>
      <c r="Z373" s="30">
        <v>3.3944999999999999E-6</v>
      </c>
      <c r="AA373" s="77">
        <v>0.1615</v>
      </c>
      <c r="AB373" s="5">
        <v>-6.2438000000000001E-5</v>
      </c>
      <c r="AC373" s="15">
        <v>-2.107E-7</v>
      </c>
      <c r="AD373" s="146">
        <v>68.61</v>
      </c>
      <c r="AE373" s="147">
        <v>0.38</v>
      </c>
      <c r="AF373" s="150">
        <v>52.273000000000003</v>
      </c>
      <c r="AG373" s="152">
        <v>1.2222</v>
      </c>
    </row>
    <row r="374" spans="1:33" x14ac:dyDescent="0.2">
      <c r="A374" s="27">
        <v>12</v>
      </c>
      <c r="B374" s="69">
        <v>5.2440634125000001</v>
      </c>
      <c r="C374" s="28">
        <f t="shared" si="26"/>
        <v>0.25318976640338159</v>
      </c>
      <c r="D374" s="52">
        <v>170.33799999999999</v>
      </c>
      <c r="E374" s="47">
        <v>640.20000000000005</v>
      </c>
      <c r="F374" s="44">
        <v>18.09</v>
      </c>
      <c r="G374" s="11">
        <v>6.9649999999999996E-4</v>
      </c>
      <c r="H374" s="61">
        <f t="shared" si="24"/>
        <v>244.73850574712645</v>
      </c>
      <c r="I374" s="29">
        <f t="shared" si="25"/>
        <v>0.23654954470942402</v>
      </c>
      <c r="J374" s="52">
        <v>0.48899999999999999</v>
      </c>
      <c r="K374" s="75">
        <v>-4.7534000000000001</v>
      </c>
      <c r="L374" s="81">
        <v>896.18</v>
      </c>
      <c r="M374" s="13">
        <v>8.6999999999999994E-3</v>
      </c>
      <c r="N374" s="12">
        <v>-8.7870000000000007E-6</v>
      </c>
      <c r="O374" s="93">
        <v>0.24460000000000001</v>
      </c>
      <c r="P374" s="94">
        <v>0.26129999999999998</v>
      </c>
      <c r="Q374" s="95">
        <v>0.28570000000000001</v>
      </c>
      <c r="R374" s="111">
        <v>25.832999999999998</v>
      </c>
      <c r="S374" s="118">
        <v>-3578.1</v>
      </c>
      <c r="T374" s="125">
        <v>-5.7411000000000003</v>
      </c>
      <c r="U374" s="14">
        <v>0</v>
      </c>
      <c r="V374" s="30">
        <v>0</v>
      </c>
      <c r="W374" s="138">
        <v>206.179</v>
      </c>
      <c r="X374" s="13">
        <v>1.0648</v>
      </c>
      <c r="Y374" s="14">
        <v>-2.8129000000000001E-3</v>
      </c>
      <c r="Z374" s="30">
        <v>3.5012E-6</v>
      </c>
      <c r="AA374" s="77">
        <v>0.15770000000000001</v>
      </c>
      <c r="AB374" s="5">
        <v>-5.2312000000000003E-5</v>
      </c>
      <c r="AC374" s="15">
        <v>-2.1745999999999999E-7</v>
      </c>
      <c r="AD374" s="146">
        <v>67.891000000000005</v>
      </c>
      <c r="AE374" s="147">
        <v>0.38</v>
      </c>
      <c r="AF374" s="150">
        <v>51.81</v>
      </c>
      <c r="AG374" s="152">
        <v>1.2222</v>
      </c>
    </row>
    <row r="375" spans="1:33" x14ac:dyDescent="0.2">
      <c r="A375" s="27">
        <v>12</v>
      </c>
      <c r="B375" s="69">
        <v>5.16275925375</v>
      </c>
      <c r="C375" s="28">
        <f t="shared" si="26"/>
        <v>0.2480778883395052</v>
      </c>
      <c r="D375" s="52">
        <v>170.33799999999999</v>
      </c>
      <c r="E375" s="47">
        <v>646.14</v>
      </c>
      <c r="F375" s="44">
        <v>18.05</v>
      </c>
      <c r="G375" s="11">
        <v>6.9550000000000005E-4</v>
      </c>
      <c r="H375" s="61">
        <f t="shared" si="24"/>
        <v>245.09064748201439</v>
      </c>
      <c r="I375" s="29">
        <f t="shared" si="25"/>
        <v>0.23352068897530079</v>
      </c>
      <c r="J375" s="52">
        <v>0.51900000000000002</v>
      </c>
      <c r="K375" s="75">
        <v>-5.0834999999999999</v>
      </c>
      <c r="L375" s="81">
        <v>952.71</v>
      </c>
      <c r="M375" s="13">
        <v>9.4000000000000004E-3</v>
      </c>
      <c r="N375" s="12">
        <v>-9.2529000000000008E-6</v>
      </c>
      <c r="O375" s="93">
        <v>0.24490000000000001</v>
      </c>
      <c r="P375" s="94">
        <v>0.2671</v>
      </c>
      <c r="Q375" s="95">
        <v>0.28570000000000001</v>
      </c>
      <c r="R375" s="111">
        <v>25.847000000000001</v>
      </c>
      <c r="S375" s="118">
        <v>-3654.5</v>
      </c>
      <c r="T375" s="125">
        <v>-5.7145000000000001</v>
      </c>
      <c r="U375" s="14">
        <v>0</v>
      </c>
      <c r="V375" s="30">
        <v>0</v>
      </c>
      <c r="W375" s="138">
        <v>229.18199999999999</v>
      </c>
      <c r="X375" s="13">
        <v>0.92925999999999997</v>
      </c>
      <c r="Y375" s="14">
        <v>-2.4748999999999999E-3</v>
      </c>
      <c r="Z375" s="30">
        <v>3.1910999999999998E-6</v>
      </c>
      <c r="AA375" s="77">
        <v>0.16159999999999999</v>
      </c>
      <c r="AB375" s="5">
        <v>-6.2084999999999999E-5</v>
      </c>
      <c r="AC375" s="15">
        <v>-2.0622999999999999E-7</v>
      </c>
      <c r="AD375" s="146">
        <v>69.406999999999996</v>
      </c>
      <c r="AE375" s="147">
        <v>0.38</v>
      </c>
      <c r="AF375" s="150">
        <v>52.466000000000001</v>
      </c>
      <c r="AG375" s="152">
        <v>1.2222</v>
      </c>
    </row>
    <row r="376" spans="1:33" x14ac:dyDescent="0.2">
      <c r="A376" s="27">
        <v>12</v>
      </c>
      <c r="B376" s="69">
        <v>6.3286321599999997</v>
      </c>
      <c r="C376" s="28">
        <f t="shared" si="26"/>
        <v>0.32138041340532392</v>
      </c>
      <c r="D376" s="52">
        <v>170.33799999999999</v>
      </c>
      <c r="E376" s="47">
        <v>645.65</v>
      </c>
      <c r="F376" s="44">
        <v>18.09</v>
      </c>
      <c r="G376" s="11">
        <v>6.9649999999999996E-4</v>
      </c>
      <c r="H376" s="61">
        <f t="shared" si="24"/>
        <v>244.73850574712645</v>
      </c>
      <c r="I376" s="29">
        <f t="shared" si="25"/>
        <v>0.23455280496085074</v>
      </c>
      <c r="J376" s="52">
        <v>0.48899999999999999</v>
      </c>
      <c r="K376" s="75">
        <v>-4.7893999999999997</v>
      </c>
      <c r="L376" s="81">
        <v>910.19</v>
      </c>
      <c r="M376" s="13">
        <v>8.6999999999999994E-3</v>
      </c>
      <c r="N376" s="12">
        <v>-8.6791999999999998E-6</v>
      </c>
      <c r="O376" s="93">
        <v>0.24460000000000001</v>
      </c>
      <c r="P376" s="94">
        <v>0.26650000000000001</v>
      </c>
      <c r="Q376" s="95">
        <v>0.28570000000000001</v>
      </c>
      <c r="R376" s="111">
        <v>25.654</v>
      </c>
      <c r="S376" s="118">
        <v>-3593.5</v>
      </c>
      <c r="T376" s="125">
        <v>-5.6779999999999999</v>
      </c>
      <c r="U376" s="14">
        <v>0</v>
      </c>
      <c r="V376" s="30">
        <v>0</v>
      </c>
      <c r="W376" s="138">
        <v>212.148</v>
      </c>
      <c r="X376" s="13">
        <v>1.0196000000000001</v>
      </c>
      <c r="Y376" s="14">
        <v>-2.6684E-3</v>
      </c>
      <c r="Z376" s="30">
        <v>3.3156000000000001E-6</v>
      </c>
      <c r="AA376" s="77">
        <v>0.1578</v>
      </c>
      <c r="AB376" s="5">
        <v>-5.2234999999999997E-5</v>
      </c>
      <c r="AC376" s="15">
        <v>-2.1362E-7</v>
      </c>
      <c r="AD376" s="146">
        <v>68.524000000000001</v>
      </c>
      <c r="AE376" s="147">
        <v>0.38</v>
      </c>
      <c r="AF376" s="150">
        <v>51.963999999999999</v>
      </c>
      <c r="AG376" s="152">
        <v>1.2222</v>
      </c>
    </row>
    <row r="377" spans="1:33" x14ac:dyDescent="0.2">
      <c r="A377" s="27">
        <v>12</v>
      </c>
      <c r="B377" s="69">
        <v>4.1830700399999996</v>
      </c>
      <c r="C377" s="28">
        <f t="shared" si="26"/>
        <v>0.18648138604269096</v>
      </c>
      <c r="D377" s="52">
        <v>170.33799999999999</v>
      </c>
      <c r="E377" s="47">
        <v>648.85</v>
      </c>
      <c r="F377" s="44">
        <v>18.05</v>
      </c>
      <c r="G377" s="11">
        <v>6.9550000000000005E-4</v>
      </c>
      <c r="H377" s="61">
        <f t="shared" si="24"/>
        <v>245.09064748201439</v>
      </c>
      <c r="I377" s="29">
        <f t="shared" si="25"/>
        <v>0.2325453617546441</v>
      </c>
      <c r="J377" s="52">
        <v>0.51900000000000002</v>
      </c>
      <c r="K377" s="75">
        <v>-5.0951000000000004</v>
      </c>
      <c r="L377" s="81">
        <v>958.88</v>
      </c>
      <c r="M377" s="13">
        <v>9.4000000000000004E-3</v>
      </c>
      <c r="N377" s="12">
        <v>-9.1870000000000003E-6</v>
      </c>
      <c r="O377" s="93">
        <v>0.24490000000000001</v>
      </c>
      <c r="P377" s="94">
        <v>0.26250000000000001</v>
      </c>
      <c r="Q377" s="95">
        <v>0.28570000000000001</v>
      </c>
      <c r="R377" s="111">
        <v>25.759</v>
      </c>
      <c r="S377" s="118">
        <v>-3662.3</v>
      </c>
      <c r="T377" s="125">
        <v>-5.6835000000000004</v>
      </c>
      <c r="U377" s="14">
        <v>0</v>
      </c>
      <c r="V377" s="30">
        <v>0</v>
      </c>
      <c r="W377" s="138">
        <v>228.19499999999999</v>
      </c>
      <c r="X377" s="13">
        <v>0.93701000000000001</v>
      </c>
      <c r="Y377" s="14">
        <v>-2.4919999999999999E-3</v>
      </c>
      <c r="Z377" s="30">
        <v>3.2069000000000002E-6</v>
      </c>
      <c r="AA377" s="77">
        <v>0.16170000000000001</v>
      </c>
      <c r="AB377" s="5">
        <v>-6.1943E-5</v>
      </c>
      <c r="AC377" s="15">
        <v>-2.0447999999999999E-7</v>
      </c>
      <c r="AD377" s="146">
        <v>69.724999999999994</v>
      </c>
      <c r="AE377" s="147">
        <v>0.38</v>
      </c>
      <c r="AF377" s="150">
        <v>52.542000000000002</v>
      </c>
      <c r="AG377" s="152">
        <v>1.2222</v>
      </c>
    </row>
    <row r="378" spans="1:33" x14ac:dyDescent="0.2">
      <c r="A378" s="27">
        <v>12</v>
      </c>
      <c r="B378" s="69">
        <v>3.5009623300000001</v>
      </c>
      <c r="C378" s="28">
        <f t="shared" si="26"/>
        <v>0.14359487822368044</v>
      </c>
      <c r="D378" s="52">
        <v>170.33799999999999</v>
      </c>
      <c r="E378" s="47">
        <v>642.08000000000004</v>
      </c>
      <c r="F378" s="44">
        <v>18.05</v>
      </c>
      <c r="G378" s="11">
        <v>6.9550000000000005E-4</v>
      </c>
      <c r="H378" s="61">
        <f t="shared" si="24"/>
        <v>245.09064748201439</v>
      </c>
      <c r="I378" s="29">
        <f t="shared" si="25"/>
        <v>0.2349972869027237</v>
      </c>
      <c r="J378" s="52">
        <v>0.51900000000000002</v>
      </c>
      <c r="K378" s="75">
        <v>-5.0640000000000001</v>
      </c>
      <c r="L378" s="81">
        <v>943.13</v>
      </c>
      <c r="M378" s="13">
        <v>9.4000000000000004E-3</v>
      </c>
      <c r="N378" s="12">
        <v>-9.3503999999999994E-6</v>
      </c>
      <c r="O378" s="93">
        <v>0.24490000000000001</v>
      </c>
      <c r="P378" s="94">
        <v>0.25969999999999999</v>
      </c>
      <c r="Q378" s="95">
        <v>0.28570000000000001</v>
      </c>
      <c r="R378" s="111">
        <v>25.981000000000002</v>
      </c>
      <c r="S378" s="118">
        <v>-3642.7</v>
      </c>
      <c r="T378" s="125">
        <v>-5.7615999999999996</v>
      </c>
      <c r="U378" s="14">
        <v>0</v>
      </c>
      <c r="V378" s="30">
        <v>0</v>
      </c>
      <c r="W378" s="138">
        <v>223.42</v>
      </c>
      <c r="X378" s="13">
        <v>0.9728</v>
      </c>
      <c r="Y378" s="14">
        <v>-2.6143E-3</v>
      </c>
      <c r="Z378" s="30">
        <v>3.3738000000000002E-6</v>
      </c>
      <c r="AA378" s="77">
        <v>0.16159999999999999</v>
      </c>
      <c r="AB378" s="5">
        <v>-6.2297000000000003E-5</v>
      </c>
      <c r="AC378" s="15">
        <v>-2.0889000000000001E-7</v>
      </c>
      <c r="AD378" s="146">
        <v>68.929000000000002</v>
      </c>
      <c r="AE378" s="147">
        <v>0.38</v>
      </c>
      <c r="AF378" s="150">
        <v>52.35</v>
      </c>
      <c r="AG378" s="152">
        <v>1.2222</v>
      </c>
    </row>
    <row r="379" spans="1:33" x14ac:dyDescent="0.2">
      <c r="A379" s="27">
        <v>12</v>
      </c>
      <c r="B379" s="69">
        <v>4.48365306</v>
      </c>
      <c r="C379" s="28">
        <f t="shared" si="26"/>
        <v>0.20538009639078514</v>
      </c>
      <c r="D379" s="52">
        <v>170.33799999999999</v>
      </c>
      <c r="E379" s="47">
        <v>638.02</v>
      </c>
      <c r="F379" s="44">
        <v>18.05</v>
      </c>
      <c r="G379" s="11">
        <v>6.9550000000000005E-4</v>
      </c>
      <c r="H379" s="61">
        <f t="shared" si="24"/>
        <v>245.09064748201439</v>
      </c>
      <c r="I379" s="29">
        <f t="shared" si="25"/>
        <v>0.23649267730557169</v>
      </c>
      <c r="J379" s="52">
        <v>0.51900000000000002</v>
      </c>
      <c r="K379" s="75">
        <v>-5.0415000000000001</v>
      </c>
      <c r="L379" s="81">
        <v>933.12</v>
      </c>
      <c r="M379" s="13">
        <v>9.4000000000000004E-3</v>
      </c>
      <c r="N379" s="12">
        <v>-9.4460000000000007E-6</v>
      </c>
      <c r="O379" s="93">
        <v>0.24490000000000001</v>
      </c>
      <c r="P379" s="94">
        <v>0.26400000000000001</v>
      </c>
      <c r="Q379" s="95">
        <v>0.28570000000000001</v>
      </c>
      <c r="R379" s="111">
        <v>26.117000000000001</v>
      </c>
      <c r="S379" s="118">
        <v>-3631</v>
      </c>
      <c r="T379" s="125">
        <v>-5.8094000000000001</v>
      </c>
      <c r="U379" s="14">
        <v>0</v>
      </c>
      <c r="V379" s="30">
        <v>0</v>
      </c>
      <c r="W379" s="138">
        <v>223.59200000000001</v>
      </c>
      <c r="X379" s="13">
        <v>0.97121000000000002</v>
      </c>
      <c r="Y379" s="14">
        <v>-2.6189999999999998E-3</v>
      </c>
      <c r="Z379" s="30">
        <v>3.3884999999999998E-6</v>
      </c>
      <c r="AA379" s="77">
        <v>0.1615</v>
      </c>
      <c r="AB379" s="5">
        <v>-6.2508999999999994E-5</v>
      </c>
      <c r="AC379" s="15">
        <v>-2.1161E-7</v>
      </c>
      <c r="AD379" s="146">
        <v>68.450999999999993</v>
      </c>
      <c r="AE379" s="147">
        <v>0.38</v>
      </c>
      <c r="AF379" s="150">
        <v>52.234000000000002</v>
      </c>
      <c r="AG379" s="152">
        <v>1.2222</v>
      </c>
    </row>
    <row r="380" spans="1:33" x14ac:dyDescent="0.2">
      <c r="A380" s="27">
        <v>12</v>
      </c>
      <c r="B380" s="69">
        <v>4.4815351950000002</v>
      </c>
      <c r="C380" s="28">
        <f t="shared" si="26"/>
        <v>0.20524693877865069</v>
      </c>
      <c r="D380" s="52">
        <v>170.33799999999999</v>
      </c>
      <c r="E380" s="47">
        <v>638.02</v>
      </c>
      <c r="F380" s="44">
        <v>18.05</v>
      </c>
      <c r="G380" s="11">
        <v>6.9550000000000005E-4</v>
      </c>
      <c r="H380" s="61">
        <f t="shared" si="24"/>
        <v>245.09064748201439</v>
      </c>
      <c r="I380" s="29">
        <f t="shared" si="25"/>
        <v>0.23649267730557169</v>
      </c>
      <c r="J380" s="52">
        <v>0.51900000000000002</v>
      </c>
      <c r="K380" s="75">
        <v>-5.0415000000000001</v>
      </c>
      <c r="L380" s="81">
        <v>933.12</v>
      </c>
      <c r="M380" s="13">
        <v>9.4000000000000004E-3</v>
      </c>
      <c r="N380" s="12">
        <v>-9.4460000000000007E-6</v>
      </c>
      <c r="O380" s="93">
        <v>0.24490000000000001</v>
      </c>
      <c r="P380" s="94">
        <v>0.26390000000000002</v>
      </c>
      <c r="Q380" s="95">
        <v>0.28570000000000001</v>
      </c>
      <c r="R380" s="111">
        <v>26.117000000000001</v>
      </c>
      <c r="S380" s="118">
        <v>-3631</v>
      </c>
      <c r="T380" s="125">
        <v>-5.8094000000000001</v>
      </c>
      <c r="U380" s="14">
        <v>0</v>
      </c>
      <c r="V380" s="30">
        <v>0</v>
      </c>
      <c r="W380" s="138">
        <v>223.57</v>
      </c>
      <c r="X380" s="13">
        <v>0.97138000000000002</v>
      </c>
      <c r="Y380" s="14">
        <v>-2.6194999999999999E-3</v>
      </c>
      <c r="Z380" s="30">
        <v>3.3892000000000001E-6</v>
      </c>
      <c r="AA380" s="77">
        <v>0.1615</v>
      </c>
      <c r="AB380" s="5">
        <v>-6.2508999999999994E-5</v>
      </c>
      <c r="AC380" s="15">
        <v>-2.1161E-7</v>
      </c>
      <c r="AD380" s="146">
        <v>68.450999999999993</v>
      </c>
      <c r="AE380" s="147">
        <v>0.38</v>
      </c>
      <c r="AF380" s="150">
        <v>52.234000000000002</v>
      </c>
      <c r="AG380" s="152">
        <v>1.2222</v>
      </c>
    </row>
    <row r="381" spans="1:33" x14ac:dyDescent="0.2">
      <c r="A381" s="27">
        <v>12</v>
      </c>
      <c r="B381" s="69">
        <v>4.4819441800000002</v>
      </c>
      <c r="C381" s="28">
        <f t="shared" si="26"/>
        <v>0.20527265310227322</v>
      </c>
      <c r="D381" s="52">
        <v>170.33799999999999</v>
      </c>
      <c r="E381" s="47">
        <v>640.72</v>
      </c>
      <c r="F381" s="44">
        <v>18.05</v>
      </c>
      <c r="G381" s="11">
        <v>6.9550000000000005E-4</v>
      </c>
      <c r="H381" s="61">
        <f t="shared" si="24"/>
        <v>245.09064748201439</v>
      </c>
      <c r="I381" s="29">
        <f t="shared" si="25"/>
        <v>0.23549609497830695</v>
      </c>
      <c r="J381" s="52">
        <v>0.51900000000000002</v>
      </c>
      <c r="K381" s="75">
        <v>-5.0568</v>
      </c>
      <c r="L381" s="81">
        <v>939.84</v>
      </c>
      <c r="M381" s="13">
        <v>9.4000000000000004E-3</v>
      </c>
      <c r="N381" s="12">
        <v>-9.3825000000000004E-6</v>
      </c>
      <c r="O381" s="93">
        <v>0.24490000000000001</v>
      </c>
      <c r="P381" s="94">
        <v>0.26569999999999999</v>
      </c>
      <c r="Q381" s="95">
        <v>0.28570000000000001</v>
      </c>
      <c r="R381" s="111">
        <v>26.026</v>
      </c>
      <c r="S381" s="118">
        <v>-3638.8</v>
      </c>
      <c r="T381" s="125">
        <v>-5.7774000000000001</v>
      </c>
      <c r="U381" s="14">
        <v>0</v>
      </c>
      <c r="V381" s="30">
        <v>0</v>
      </c>
      <c r="W381" s="138">
        <v>225.81800000000001</v>
      </c>
      <c r="X381" s="13">
        <v>0.95438999999999996</v>
      </c>
      <c r="Y381" s="14">
        <v>-2.5622000000000002E-3</v>
      </c>
      <c r="Z381" s="30">
        <v>3.3116000000000002E-6</v>
      </c>
      <c r="AA381" s="77">
        <v>0.1615</v>
      </c>
      <c r="AB381" s="5">
        <v>-6.2367999999999996E-5</v>
      </c>
      <c r="AC381" s="15">
        <v>-2.0979E-7</v>
      </c>
      <c r="AD381" s="146">
        <v>68.77</v>
      </c>
      <c r="AE381" s="147">
        <v>0.38</v>
      </c>
      <c r="AF381" s="150">
        <v>52.311</v>
      </c>
      <c r="AG381" s="152">
        <v>1.2222</v>
      </c>
    </row>
    <row r="382" spans="1:33" x14ac:dyDescent="0.2">
      <c r="A382" s="27">
        <v>12</v>
      </c>
      <c r="B382" s="69">
        <v>4.4854062250000002</v>
      </c>
      <c r="C382" s="28">
        <f t="shared" si="26"/>
        <v>0.20549032403281037</v>
      </c>
      <c r="D382" s="52">
        <v>170.33799999999999</v>
      </c>
      <c r="E382" s="47">
        <v>646.14</v>
      </c>
      <c r="F382" s="44">
        <v>18.05</v>
      </c>
      <c r="G382" s="11">
        <v>6.9550000000000005E-4</v>
      </c>
      <c r="H382" s="61">
        <f t="shared" si="24"/>
        <v>245.09064748201439</v>
      </c>
      <c r="I382" s="29">
        <f t="shared" si="25"/>
        <v>0.23352068897530079</v>
      </c>
      <c r="J382" s="52">
        <v>0.51900000000000002</v>
      </c>
      <c r="K382" s="75">
        <v>-5.0834999999999999</v>
      </c>
      <c r="L382" s="81">
        <v>952.71</v>
      </c>
      <c r="M382" s="13">
        <v>9.4000000000000004E-3</v>
      </c>
      <c r="N382" s="12">
        <v>-9.2529000000000008E-6</v>
      </c>
      <c r="O382" s="93">
        <v>0.24490000000000001</v>
      </c>
      <c r="P382" s="94">
        <v>0.2646</v>
      </c>
      <c r="Q382" s="95">
        <v>0.28570000000000001</v>
      </c>
      <c r="R382" s="111">
        <v>25.847000000000001</v>
      </c>
      <c r="S382" s="118">
        <v>-3654.5</v>
      </c>
      <c r="T382" s="125">
        <v>-5.7145000000000001</v>
      </c>
      <c r="U382" s="14">
        <v>0</v>
      </c>
      <c r="V382" s="30">
        <v>0</v>
      </c>
      <c r="W382" s="138">
        <v>227.96799999999999</v>
      </c>
      <c r="X382" s="13">
        <v>0.93847000000000003</v>
      </c>
      <c r="Y382" s="14">
        <v>-2.5024000000000001E-3</v>
      </c>
      <c r="Z382" s="30">
        <v>3.2254000000000001E-6</v>
      </c>
      <c r="AA382" s="77">
        <v>0.16159999999999999</v>
      </c>
      <c r="AB382" s="5">
        <v>-6.2084999999999999E-5</v>
      </c>
      <c r="AC382" s="15">
        <v>-2.0622999999999999E-7</v>
      </c>
      <c r="AD382" s="146">
        <v>69.406999999999996</v>
      </c>
      <c r="AE382" s="147">
        <v>0.38</v>
      </c>
      <c r="AF382" s="150">
        <v>52.466000000000001</v>
      </c>
      <c r="AG382" s="152">
        <v>1.2222</v>
      </c>
    </row>
    <row r="383" spans="1:33" x14ac:dyDescent="0.2">
      <c r="A383" s="27">
        <v>12</v>
      </c>
      <c r="B383" s="69">
        <v>3.5030001474999999</v>
      </c>
      <c r="C383" s="28">
        <f t="shared" si="26"/>
        <v>0.14372300296830098</v>
      </c>
      <c r="D383" s="52">
        <v>170.33799999999999</v>
      </c>
      <c r="E383" s="47">
        <v>643.42999999999995</v>
      </c>
      <c r="F383" s="44">
        <v>18.05</v>
      </c>
      <c r="G383" s="11">
        <v>6.9550000000000005E-4</v>
      </c>
      <c r="H383" s="61">
        <f t="shared" si="24"/>
        <v>245.09064748201439</v>
      </c>
      <c r="I383" s="29">
        <f t="shared" si="25"/>
        <v>0.23450423196695966</v>
      </c>
      <c r="J383" s="52">
        <v>0.51900000000000002</v>
      </c>
      <c r="K383" s="75">
        <v>-5.0708000000000002</v>
      </c>
      <c r="L383" s="81">
        <v>946.37</v>
      </c>
      <c r="M383" s="13">
        <v>9.4000000000000004E-3</v>
      </c>
      <c r="N383" s="12">
        <v>-9.3179999999999996E-6</v>
      </c>
      <c r="O383" s="93">
        <v>0.24490000000000001</v>
      </c>
      <c r="P383" s="94">
        <v>0.25979999999999998</v>
      </c>
      <c r="Q383" s="95">
        <v>0.28570000000000001</v>
      </c>
      <c r="R383" s="111">
        <v>25.936</v>
      </c>
      <c r="S383" s="118">
        <v>-3646.6</v>
      </c>
      <c r="T383" s="125">
        <v>-5.7458</v>
      </c>
      <c r="U383" s="14">
        <v>0</v>
      </c>
      <c r="V383" s="30">
        <v>0</v>
      </c>
      <c r="W383" s="138">
        <v>224.15100000000001</v>
      </c>
      <c r="X383" s="13">
        <v>0.96731</v>
      </c>
      <c r="Y383" s="14">
        <v>-2.5947000000000001E-3</v>
      </c>
      <c r="Z383" s="30">
        <v>3.3463999999999998E-6</v>
      </c>
      <c r="AA383" s="77">
        <v>0.16159999999999999</v>
      </c>
      <c r="AB383" s="5">
        <v>-6.2226999999999999E-5</v>
      </c>
      <c r="AC383" s="15">
        <v>-2.0800000000000001E-7</v>
      </c>
      <c r="AD383" s="146">
        <v>69.087999999999994</v>
      </c>
      <c r="AE383" s="147">
        <v>0.38</v>
      </c>
      <c r="AF383" s="150">
        <v>52.389000000000003</v>
      </c>
      <c r="AG383" s="152">
        <v>1.2222</v>
      </c>
    </row>
    <row r="384" spans="1:33" x14ac:dyDescent="0.2">
      <c r="A384" s="27">
        <v>12</v>
      </c>
      <c r="B384" s="69">
        <v>5.2452188887500002</v>
      </c>
      <c r="C384" s="28">
        <f t="shared" si="26"/>
        <v>0.25326241525414789</v>
      </c>
      <c r="D384" s="52">
        <v>170.33799999999999</v>
      </c>
      <c r="E384" s="47">
        <v>648.37</v>
      </c>
      <c r="F384" s="44">
        <v>18.09</v>
      </c>
      <c r="G384" s="11">
        <v>6.9649999999999996E-4</v>
      </c>
      <c r="H384" s="61">
        <f t="shared" si="24"/>
        <v>244.73850574712645</v>
      </c>
      <c r="I384" s="29">
        <f t="shared" si="25"/>
        <v>0.23356882416363076</v>
      </c>
      <c r="J384" s="52">
        <v>0.48899999999999999</v>
      </c>
      <c r="K384" s="75">
        <v>-4.8055000000000003</v>
      </c>
      <c r="L384" s="81">
        <v>916.9</v>
      </c>
      <c r="M384" s="13">
        <v>8.6999999999999994E-3</v>
      </c>
      <c r="N384" s="12">
        <v>-8.6238000000000003E-6</v>
      </c>
      <c r="O384" s="93">
        <v>0.24460000000000001</v>
      </c>
      <c r="P384" s="94">
        <v>0.26190000000000002</v>
      </c>
      <c r="Q384" s="95">
        <v>0.28570000000000001</v>
      </c>
      <c r="R384" s="111">
        <v>25.565000000000001</v>
      </c>
      <c r="S384" s="118">
        <v>-3601.2</v>
      </c>
      <c r="T384" s="125">
        <v>-5.6470000000000002</v>
      </c>
      <c r="U384" s="14">
        <v>0</v>
      </c>
      <c r="V384" s="30">
        <v>0</v>
      </c>
      <c r="W384" s="138">
        <v>211.07400000000001</v>
      </c>
      <c r="X384" s="13">
        <v>1.0276000000000001</v>
      </c>
      <c r="Y384" s="14">
        <v>-2.6851000000000002E-3</v>
      </c>
      <c r="Z384" s="30">
        <v>3.3301999999999999E-6</v>
      </c>
      <c r="AA384" s="77">
        <v>0.15790000000000001</v>
      </c>
      <c r="AB384" s="5">
        <v>-5.2194000000000002E-5</v>
      </c>
      <c r="AC384" s="15">
        <v>-2.1173999999999999E-7</v>
      </c>
      <c r="AD384" s="146">
        <v>68.840999999999994</v>
      </c>
      <c r="AE384" s="147">
        <v>0.38</v>
      </c>
      <c r="AF384" s="150">
        <v>52.040999999999997</v>
      </c>
      <c r="AG384" s="152">
        <v>1.2222</v>
      </c>
    </row>
    <row r="385" spans="1:33" x14ac:dyDescent="0.2">
      <c r="A385" s="27">
        <v>12</v>
      </c>
      <c r="B385" s="69">
        <v>3.5000064675</v>
      </c>
      <c r="C385" s="28">
        <f t="shared" si="26"/>
        <v>0.14353477979057497</v>
      </c>
      <c r="D385" s="52">
        <v>170.33799999999999</v>
      </c>
      <c r="E385" s="47">
        <v>647.49</v>
      </c>
      <c r="F385" s="44">
        <v>18.05</v>
      </c>
      <c r="G385" s="11">
        <v>6.9550000000000005E-4</v>
      </c>
      <c r="H385" s="61">
        <f t="shared" si="24"/>
        <v>245.09064748201439</v>
      </c>
      <c r="I385" s="29">
        <f t="shared" si="25"/>
        <v>0.23303380434369772</v>
      </c>
      <c r="J385" s="52">
        <v>0.51900000000000002</v>
      </c>
      <c r="K385" s="75">
        <v>-5.0895000000000001</v>
      </c>
      <c r="L385" s="81">
        <v>955.82</v>
      </c>
      <c r="M385" s="13">
        <v>9.4000000000000004E-3</v>
      </c>
      <c r="N385" s="12">
        <v>-9.2199999999999998E-6</v>
      </c>
      <c r="O385" s="93">
        <v>0.24490000000000001</v>
      </c>
      <c r="P385" s="94">
        <v>0.26</v>
      </c>
      <c r="Q385" s="95">
        <v>0.28570000000000001</v>
      </c>
      <c r="R385" s="111">
        <v>25.803000000000001</v>
      </c>
      <c r="S385" s="118">
        <v>-3658.4</v>
      </c>
      <c r="T385" s="125">
        <v>-5.6989000000000001</v>
      </c>
      <c r="U385" s="14">
        <v>0</v>
      </c>
      <c r="V385" s="30">
        <v>0</v>
      </c>
      <c r="W385" s="138">
        <v>226.292</v>
      </c>
      <c r="X385" s="13">
        <v>0.95133999999999996</v>
      </c>
      <c r="Y385" s="14">
        <v>-2.5376999999999999E-3</v>
      </c>
      <c r="Z385" s="30">
        <v>3.2666000000000002E-6</v>
      </c>
      <c r="AA385" s="77">
        <v>0.16159999999999999</v>
      </c>
      <c r="AB385" s="5">
        <v>-6.2014000000000006E-5</v>
      </c>
      <c r="AC385" s="15">
        <v>-2.0535E-7</v>
      </c>
      <c r="AD385" s="146">
        <v>69.566000000000003</v>
      </c>
      <c r="AE385" s="147">
        <v>0.38</v>
      </c>
      <c r="AF385" s="150">
        <v>52.503999999999998</v>
      </c>
      <c r="AG385" s="152">
        <v>1.2222</v>
      </c>
    </row>
    <row r="386" spans="1:33" x14ac:dyDescent="0.2">
      <c r="A386" s="27">
        <v>12</v>
      </c>
      <c r="B386" s="69">
        <v>3.8069592600000002</v>
      </c>
      <c r="C386" s="28">
        <f t="shared" si="26"/>
        <v>0.16283398011132547</v>
      </c>
      <c r="D386" s="52">
        <v>170.33799999999999</v>
      </c>
      <c r="E386" s="47">
        <v>640.72</v>
      </c>
      <c r="F386" s="44">
        <v>18.05</v>
      </c>
      <c r="G386" s="11">
        <v>6.9550000000000005E-4</v>
      </c>
      <c r="H386" s="61">
        <f t="shared" si="24"/>
        <v>245.09064748201439</v>
      </c>
      <c r="I386" s="29">
        <f t="shared" si="25"/>
        <v>0.23549609497830695</v>
      </c>
      <c r="J386" s="52">
        <v>0.51900000000000002</v>
      </c>
      <c r="K386" s="75">
        <v>-5.0568</v>
      </c>
      <c r="L386" s="81">
        <v>939.84</v>
      </c>
      <c r="M386" s="13">
        <v>9.4000000000000004E-3</v>
      </c>
      <c r="N386" s="12">
        <v>-9.3825000000000004E-6</v>
      </c>
      <c r="O386" s="93">
        <v>0.24490000000000001</v>
      </c>
      <c r="P386" s="94">
        <v>0.26190000000000002</v>
      </c>
      <c r="Q386" s="95">
        <v>0.28570000000000001</v>
      </c>
      <c r="R386" s="111">
        <v>26.026</v>
      </c>
      <c r="S386" s="118">
        <v>-3638.8</v>
      </c>
      <c r="T386" s="125">
        <v>-5.7774000000000001</v>
      </c>
      <c r="U386" s="14">
        <v>0</v>
      </c>
      <c r="V386" s="30">
        <v>0</v>
      </c>
      <c r="W386" s="138">
        <v>223.89</v>
      </c>
      <c r="X386" s="13">
        <v>0.96911000000000003</v>
      </c>
      <c r="Y386" s="14">
        <v>-2.6063000000000002E-3</v>
      </c>
      <c r="Z386" s="30">
        <v>3.3668000000000001E-6</v>
      </c>
      <c r="AA386" s="77">
        <v>0.1615</v>
      </c>
      <c r="AB386" s="5">
        <v>-6.2367999999999996E-5</v>
      </c>
      <c r="AC386" s="15">
        <v>-2.0979E-7</v>
      </c>
      <c r="AD386" s="146">
        <v>68.77</v>
      </c>
      <c r="AE386" s="147">
        <v>0.38</v>
      </c>
      <c r="AF386" s="150">
        <v>52.311</v>
      </c>
      <c r="AG386" s="152">
        <v>1.2222</v>
      </c>
    </row>
    <row r="387" spans="1:33" x14ac:dyDescent="0.2">
      <c r="A387" s="27">
        <v>12</v>
      </c>
      <c r="B387" s="69">
        <v>3.8054741399999998</v>
      </c>
      <c r="C387" s="28">
        <f t="shared" si="26"/>
        <v>0.16274060540003216</v>
      </c>
      <c r="D387" s="52">
        <v>170.33799999999999</v>
      </c>
      <c r="E387" s="47">
        <v>642.08000000000004</v>
      </c>
      <c r="F387" s="44">
        <v>18.05</v>
      </c>
      <c r="G387" s="11">
        <v>6.9550000000000005E-4</v>
      </c>
      <c r="H387" s="61">
        <f t="shared" ref="H387:H450" si="27">1/LEFT(G387,8)*D387/1000</f>
        <v>245.09064748201439</v>
      </c>
      <c r="I387" s="29">
        <f t="shared" ref="I387:I450" si="28">LEFT(F387,5)*100000/(H387*8.314/(D387/1000)*E387)</f>
        <v>0.2349972869027237</v>
      </c>
      <c r="J387" s="52">
        <v>0.51900000000000002</v>
      </c>
      <c r="K387" s="75">
        <v>-5.0640000000000001</v>
      </c>
      <c r="L387" s="81">
        <v>943.13</v>
      </c>
      <c r="M387" s="13">
        <v>9.4000000000000004E-3</v>
      </c>
      <c r="N387" s="12">
        <v>-9.3503999999999994E-6</v>
      </c>
      <c r="O387" s="93">
        <v>0.24490000000000001</v>
      </c>
      <c r="P387" s="94">
        <v>0.26200000000000001</v>
      </c>
      <c r="Q387" s="95">
        <v>0.28570000000000001</v>
      </c>
      <c r="R387" s="111">
        <v>25.981000000000002</v>
      </c>
      <c r="S387" s="118">
        <v>-3642.7</v>
      </c>
      <c r="T387" s="125">
        <v>-5.7615999999999996</v>
      </c>
      <c r="U387" s="14">
        <v>0</v>
      </c>
      <c r="V387" s="30">
        <v>0</v>
      </c>
      <c r="W387" s="138">
        <v>224.642</v>
      </c>
      <c r="X387" s="13">
        <v>0.96345999999999998</v>
      </c>
      <c r="Y387" s="14">
        <v>-2.5863000000000001E-3</v>
      </c>
      <c r="Z387" s="30">
        <v>3.3388000000000001E-6</v>
      </c>
      <c r="AA387" s="77">
        <v>0.16159999999999999</v>
      </c>
      <c r="AB387" s="5">
        <v>-6.2297000000000003E-5</v>
      </c>
      <c r="AC387" s="15">
        <v>-2.0889000000000001E-7</v>
      </c>
      <c r="AD387" s="146">
        <v>68.929000000000002</v>
      </c>
      <c r="AE387" s="147">
        <v>0.38</v>
      </c>
      <c r="AF387" s="150">
        <v>52.35</v>
      </c>
      <c r="AG387" s="152">
        <v>1.2222</v>
      </c>
    </row>
    <row r="388" spans="1:33" x14ac:dyDescent="0.2">
      <c r="A388" s="27">
        <v>12</v>
      </c>
      <c r="B388" s="69">
        <v>3.8019469799999999</v>
      </c>
      <c r="C388" s="28">
        <f t="shared" si="26"/>
        <v>0.16251884046071063</v>
      </c>
      <c r="D388" s="52">
        <v>170.33799999999999</v>
      </c>
      <c r="E388" s="47">
        <v>643.42999999999995</v>
      </c>
      <c r="F388" s="44">
        <v>18.05</v>
      </c>
      <c r="G388" s="11">
        <v>6.9550000000000005E-4</v>
      </c>
      <c r="H388" s="61">
        <f t="shared" si="27"/>
        <v>245.09064748201439</v>
      </c>
      <c r="I388" s="29">
        <f t="shared" si="28"/>
        <v>0.23450423196695966</v>
      </c>
      <c r="J388" s="52">
        <v>0.51900000000000002</v>
      </c>
      <c r="K388" s="75">
        <v>-5.0708000000000002</v>
      </c>
      <c r="L388" s="81">
        <v>946.37</v>
      </c>
      <c r="M388" s="13">
        <v>9.4000000000000004E-3</v>
      </c>
      <c r="N388" s="12">
        <v>-9.3179999999999996E-6</v>
      </c>
      <c r="O388" s="93">
        <v>0.24490000000000001</v>
      </c>
      <c r="P388" s="94">
        <v>0.2621</v>
      </c>
      <c r="Q388" s="95">
        <v>0.28570000000000001</v>
      </c>
      <c r="R388" s="111">
        <v>25.936</v>
      </c>
      <c r="S388" s="118">
        <v>-3646.6</v>
      </c>
      <c r="T388" s="125">
        <v>-5.7458</v>
      </c>
      <c r="U388" s="14">
        <v>0</v>
      </c>
      <c r="V388" s="30">
        <v>0</v>
      </c>
      <c r="W388" s="138">
        <v>225.346</v>
      </c>
      <c r="X388" s="13">
        <v>0.95818999999999999</v>
      </c>
      <c r="Y388" s="14">
        <v>-2.5674000000000001E-3</v>
      </c>
      <c r="Z388" s="30">
        <v>3.3123E-6</v>
      </c>
      <c r="AA388" s="77">
        <v>0.16159999999999999</v>
      </c>
      <c r="AB388" s="5">
        <v>-6.2226999999999999E-5</v>
      </c>
      <c r="AC388" s="15">
        <v>-2.0800000000000001E-7</v>
      </c>
      <c r="AD388" s="146">
        <v>69.087999999999994</v>
      </c>
      <c r="AE388" s="147">
        <v>0.38</v>
      </c>
      <c r="AF388" s="150">
        <v>52.389000000000003</v>
      </c>
      <c r="AG388" s="152">
        <v>1.2222</v>
      </c>
    </row>
    <row r="389" spans="1:33" x14ac:dyDescent="0.2">
      <c r="A389" s="27">
        <v>12</v>
      </c>
      <c r="B389" s="69">
        <v>3.8025392600000001</v>
      </c>
      <c r="C389" s="28">
        <f t="shared" si="26"/>
        <v>0.16255607918485737</v>
      </c>
      <c r="D389" s="52">
        <v>170.33799999999999</v>
      </c>
      <c r="E389" s="47">
        <v>647.49</v>
      </c>
      <c r="F389" s="44">
        <v>18.05</v>
      </c>
      <c r="G389" s="11">
        <v>6.9550000000000005E-4</v>
      </c>
      <c r="H389" s="61">
        <f t="shared" si="27"/>
        <v>245.09064748201439</v>
      </c>
      <c r="I389" s="29">
        <f t="shared" si="28"/>
        <v>0.23303380434369772</v>
      </c>
      <c r="J389" s="52">
        <v>0.51900000000000002</v>
      </c>
      <c r="K389" s="75">
        <v>-5.0895000000000001</v>
      </c>
      <c r="L389" s="81">
        <v>955.82</v>
      </c>
      <c r="M389" s="13">
        <v>9.4000000000000004E-3</v>
      </c>
      <c r="N389" s="12">
        <v>-9.2199999999999998E-6</v>
      </c>
      <c r="O389" s="93">
        <v>0.24490000000000001</v>
      </c>
      <c r="P389" s="94">
        <v>0.26240000000000002</v>
      </c>
      <c r="Q389" s="95">
        <v>0.28570000000000001</v>
      </c>
      <c r="R389" s="111">
        <v>25.803000000000001</v>
      </c>
      <c r="S389" s="118">
        <v>-3658.4</v>
      </c>
      <c r="T389" s="125">
        <v>-5.6989000000000001</v>
      </c>
      <c r="U389" s="14">
        <v>0</v>
      </c>
      <c r="V389" s="30">
        <v>0</v>
      </c>
      <c r="W389" s="138">
        <v>227.49</v>
      </c>
      <c r="X389" s="13">
        <v>0.94223000000000001</v>
      </c>
      <c r="Y389" s="14">
        <v>-2.5106E-3</v>
      </c>
      <c r="Z389" s="30">
        <v>3.2328000000000002E-6</v>
      </c>
      <c r="AA389" s="77">
        <v>0.16159999999999999</v>
      </c>
      <c r="AB389" s="5">
        <v>-6.2014000000000006E-5</v>
      </c>
      <c r="AC389" s="15">
        <v>-2.0535E-7</v>
      </c>
      <c r="AD389" s="146">
        <v>69.566000000000003</v>
      </c>
      <c r="AE389" s="147">
        <v>0.38</v>
      </c>
      <c r="AF389" s="150">
        <v>52.503999999999998</v>
      </c>
      <c r="AG389" s="152">
        <v>1.2222</v>
      </c>
    </row>
    <row r="390" spans="1:33" x14ac:dyDescent="0.2">
      <c r="A390" s="27">
        <v>12</v>
      </c>
      <c r="B390" s="69">
        <v>5.2435634174999999</v>
      </c>
      <c r="C390" s="28">
        <f t="shared" si="26"/>
        <v>0.25315832996136134</v>
      </c>
      <c r="D390" s="52">
        <v>170.33799999999999</v>
      </c>
      <c r="E390" s="47">
        <v>642.91999999999996</v>
      </c>
      <c r="F390" s="44">
        <v>18.09</v>
      </c>
      <c r="G390" s="11">
        <v>6.9649999999999996E-4</v>
      </c>
      <c r="H390" s="61">
        <f t="shared" si="27"/>
        <v>244.73850574712645</v>
      </c>
      <c r="I390" s="29">
        <f t="shared" si="28"/>
        <v>0.2355487751554988</v>
      </c>
      <c r="J390" s="52">
        <v>0.48899999999999999</v>
      </c>
      <c r="K390" s="75">
        <v>-4.7721</v>
      </c>
      <c r="L390" s="81">
        <v>903.29</v>
      </c>
      <c r="M390" s="13">
        <v>8.6999999999999994E-3</v>
      </c>
      <c r="N390" s="12">
        <v>-8.7337000000000008E-6</v>
      </c>
      <c r="O390" s="93">
        <v>0.24460000000000001</v>
      </c>
      <c r="P390" s="94">
        <v>0.26150000000000001</v>
      </c>
      <c r="Q390" s="95">
        <v>0.28570000000000001</v>
      </c>
      <c r="R390" s="111">
        <v>25.742999999999999</v>
      </c>
      <c r="S390" s="118">
        <v>-3585.8</v>
      </c>
      <c r="T390" s="125">
        <v>-5.7093999999999996</v>
      </c>
      <c r="U390" s="14">
        <v>0</v>
      </c>
      <c r="V390" s="30">
        <v>0</v>
      </c>
      <c r="W390" s="138">
        <v>207.845</v>
      </c>
      <c r="X390" s="13">
        <v>1.0521</v>
      </c>
      <c r="Y390" s="14">
        <v>-2.7691E-3</v>
      </c>
      <c r="Z390" s="30">
        <v>3.4425999999999999E-6</v>
      </c>
      <c r="AA390" s="77">
        <v>0.1578</v>
      </c>
      <c r="AB390" s="5">
        <v>-5.2274999999999997E-5</v>
      </c>
      <c r="AC390" s="15">
        <v>-2.1553E-7</v>
      </c>
      <c r="AD390" s="146">
        <v>68.207999999999998</v>
      </c>
      <c r="AE390" s="147">
        <v>0.38</v>
      </c>
      <c r="AF390" s="150">
        <v>51.887</v>
      </c>
      <c r="AG390" s="152">
        <v>1.2222</v>
      </c>
    </row>
    <row r="391" spans="1:33" x14ac:dyDescent="0.2">
      <c r="A391" s="27">
        <v>12</v>
      </c>
      <c r="B391" s="69">
        <v>4.4832779399999998</v>
      </c>
      <c r="C391" s="28">
        <f t="shared" si="26"/>
        <v>0.20535651127867277</v>
      </c>
      <c r="D391" s="52">
        <v>170.33799999999999</v>
      </c>
      <c r="E391" s="47">
        <v>643.42999999999995</v>
      </c>
      <c r="F391" s="44">
        <v>18.05</v>
      </c>
      <c r="G391" s="11">
        <v>6.9550000000000005E-4</v>
      </c>
      <c r="H391" s="61">
        <f t="shared" si="27"/>
        <v>245.09064748201439</v>
      </c>
      <c r="I391" s="29">
        <f t="shared" si="28"/>
        <v>0.23450423196695966</v>
      </c>
      <c r="J391" s="52">
        <v>0.51900000000000002</v>
      </c>
      <c r="K391" s="75">
        <v>-5.0708000000000002</v>
      </c>
      <c r="L391" s="81">
        <v>946.37</v>
      </c>
      <c r="M391" s="13">
        <v>9.4000000000000004E-3</v>
      </c>
      <c r="N391" s="12">
        <v>-9.3179999999999996E-6</v>
      </c>
      <c r="O391" s="93">
        <v>0.24490000000000001</v>
      </c>
      <c r="P391" s="94">
        <v>0.26450000000000001</v>
      </c>
      <c r="Q391" s="95">
        <v>0.28570000000000001</v>
      </c>
      <c r="R391" s="111">
        <v>25.936</v>
      </c>
      <c r="S391" s="118">
        <v>-3646.6</v>
      </c>
      <c r="T391" s="125">
        <v>-5.7458</v>
      </c>
      <c r="U391" s="14">
        <v>0</v>
      </c>
      <c r="V391" s="30">
        <v>0</v>
      </c>
      <c r="W391" s="138">
        <v>226.58799999999999</v>
      </c>
      <c r="X391" s="13">
        <v>0.94872999999999996</v>
      </c>
      <c r="Y391" s="14">
        <v>-2.5390999999999999E-3</v>
      </c>
      <c r="Z391" s="30">
        <v>3.2768999999999999E-6</v>
      </c>
      <c r="AA391" s="77">
        <v>0.16159999999999999</v>
      </c>
      <c r="AB391" s="5">
        <v>-6.2226999999999999E-5</v>
      </c>
      <c r="AC391" s="15">
        <v>-2.0800000000000001E-7</v>
      </c>
      <c r="AD391" s="146">
        <v>69.087999999999994</v>
      </c>
      <c r="AE391" s="147">
        <v>0.38</v>
      </c>
      <c r="AF391" s="150">
        <v>52.389000000000003</v>
      </c>
      <c r="AG391" s="152">
        <v>1.2222</v>
      </c>
    </row>
    <row r="392" spans="1:33" x14ac:dyDescent="0.2">
      <c r="A392" s="27">
        <v>12</v>
      </c>
      <c r="B392" s="69">
        <v>5.1738975437499999</v>
      </c>
      <c r="C392" s="28">
        <f t="shared" si="26"/>
        <v>0.24877819175811838</v>
      </c>
      <c r="D392" s="52">
        <v>170.33799999999999</v>
      </c>
      <c r="E392" s="48">
        <v>648.03</v>
      </c>
      <c r="F392" s="48">
        <v>18.22</v>
      </c>
      <c r="G392" s="35">
        <v>6.9050000000000003E-4</v>
      </c>
      <c r="H392" s="61">
        <f t="shared" si="27"/>
        <v>246.86666666666667</v>
      </c>
      <c r="I392" s="29">
        <f t="shared" si="28"/>
        <v>0.23334168602949029</v>
      </c>
      <c r="J392" s="55">
        <v>0.46100000000000002</v>
      </c>
      <c r="K392" s="76">
        <v>-4.5896999999999997</v>
      </c>
      <c r="L392" s="82">
        <v>884.73</v>
      </c>
      <c r="M392" s="85">
        <v>8.0999999999999996E-3</v>
      </c>
      <c r="N392" s="4">
        <v>-8.1854999999999998E-6</v>
      </c>
      <c r="O392" s="96">
        <v>0.2467</v>
      </c>
      <c r="P392" s="97">
        <v>0.25109999999999999</v>
      </c>
      <c r="Q392" s="98">
        <v>0.28570000000000001</v>
      </c>
      <c r="R392" s="114">
        <v>25.393000000000001</v>
      </c>
      <c r="S392" s="120">
        <v>-3544.7</v>
      </c>
      <c r="T392" s="127">
        <v>-5.6151</v>
      </c>
      <c r="U392" s="14">
        <v>0</v>
      </c>
      <c r="V392" s="14">
        <v>0</v>
      </c>
      <c r="W392" s="139">
        <v>212.67500000000001</v>
      </c>
      <c r="X392" s="7">
        <v>0.98399999999999999</v>
      </c>
      <c r="Y392" s="8">
        <v>-2.5923999999999999E-3</v>
      </c>
      <c r="Z392" s="33">
        <v>3.2959999999999999E-6</v>
      </c>
      <c r="AA392" s="141">
        <v>0.15820000000000001</v>
      </c>
      <c r="AB392" s="9">
        <v>-5.7912999999999999E-5</v>
      </c>
      <c r="AC392" s="10">
        <v>-2.0421E-7</v>
      </c>
      <c r="AD392" s="146">
        <v>67.954999999999998</v>
      </c>
      <c r="AE392" s="147">
        <v>0.38</v>
      </c>
      <c r="AF392" s="150">
        <v>51.654000000000003</v>
      </c>
      <c r="AG392" s="152">
        <v>1.2222</v>
      </c>
    </row>
    <row r="393" spans="1:33" x14ac:dyDescent="0.2">
      <c r="A393" s="27">
        <v>12</v>
      </c>
      <c r="B393" s="69">
        <v>4.42551185625</v>
      </c>
      <c r="C393" s="28">
        <f t="shared" si="26"/>
        <v>0.20172455467402159</v>
      </c>
      <c r="D393" s="52">
        <v>170.33799999999999</v>
      </c>
      <c r="E393" s="47">
        <v>637.53</v>
      </c>
      <c r="F393" s="44">
        <v>18.170000000000002</v>
      </c>
      <c r="G393" s="11">
        <v>6.8950000000000001E-4</v>
      </c>
      <c r="H393" s="61">
        <f t="shared" si="27"/>
        <v>247.22496371552973</v>
      </c>
      <c r="I393" s="29">
        <f t="shared" si="28"/>
        <v>0.2361910859960909</v>
      </c>
      <c r="J393" s="52">
        <v>0.49099999999999999</v>
      </c>
      <c r="K393" s="75">
        <v>-4.8171999999999997</v>
      </c>
      <c r="L393" s="81">
        <v>899.89</v>
      </c>
      <c r="M393" s="13">
        <v>8.8999999999999999E-3</v>
      </c>
      <c r="N393" s="12">
        <v>-8.9894000000000007E-6</v>
      </c>
      <c r="O393" s="93">
        <v>0.24709999999999999</v>
      </c>
      <c r="P393" s="94">
        <v>0.25559999999999999</v>
      </c>
      <c r="Q393" s="95">
        <v>0.28570000000000001</v>
      </c>
      <c r="R393" s="111">
        <v>25.946999999999999</v>
      </c>
      <c r="S393" s="118">
        <v>-3574.6</v>
      </c>
      <c r="T393" s="125">
        <v>-5.7784000000000004</v>
      </c>
      <c r="U393" s="14">
        <v>0</v>
      </c>
      <c r="V393" s="30">
        <v>0</v>
      </c>
      <c r="W393" s="138">
        <v>226.03299999999999</v>
      </c>
      <c r="X393" s="13">
        <v>0.92083000000000004</v>
      </c>
      <c r="Y393" s="14">
        <v>-2.5041E-3</v>
      </c>
      <c r="Z393" s="30">
        <v>3.3254E-6</v>
      </c>
      <c r="AA393" s="77">
        <v>0.16159999999999999</v>
      </c>
      <c r="AB393" s="5">
        <v>-6.7822000000000002E-5</v>
      </c>
      <c r="AC393" s="15">
        <v>-2.0440999999999999E-7</v>
      </c>
      <c r="AD393" s="146">
        <v>67.569999999999993</v>
      </c>
      <c r="AE393" s="147">
        <v>0.38</v>
      </c>
      <c r="AF393" s="150">
        <v>51.837000000000003</v>
      </c>
      <c r="AG393" s="152">
        <v>1.2222</v>
      </c>
    </row>
    <row r="394" spans="1:33" x14ac:dyDescent="0.2">
      <c r="A394" s="27">
        <v>12</v>
      </c>
      <c r="B394" s="69">
        <v>3.0710603700000001</v>
      </c>
      <c r="C394" s="28">
        <f t="shared" si="26"/>
        <v>0.11656543184937106</v>
      </c>
      <c r="D394" s="52">
        <v>170.33799999999999</v>
      </c>
      <c r="E394" s="47">
        <v>640.20000000000005</v>
      </c>
      <c r="F394" s="44">
        <v>18.09</v>
      </c>
      <c r="G394" s="11">
        <v>6.9649999999999996E-4</v>
      </c>
      <c r="H394" s="61">
        <f t="shared" si="27"/>
        <v>244.73850574712645</v>
      </c>
      <c r="I394" s="29">
        <f t="shared" si="28"/>
        <v>0.23654954470942402</v>
      </c>
      <c r="J394" s="52">
        <v>0.48899999999999999</v>
      </c>
      <c r="K394" s="75">
        <v>-4.7534000000000001</v>
      </c>
      <c r="L394" s="81">
        <v>896.18</v>
      </c>
      <c r="M394" s="13">
        <v>8.6999999999999994E-3</v>
      </c>
      <c r="N394" s="12">
        <v>-8.7870000000000007E-6</v>
      </c>
      <c r="O394" s="93">
        <v>0.24460000000000001</v>
      </c>
      <c r="P394" s="94">
        <v>0.25290000000000001</v>
      </c>
      <c r="Q394" s="95">
        <v>0.28570000000000001</v>
      </c>
      <c r="R394" s="111">
        <v>25.832999999999998</v>
      </c>
      <c r="S394" s="118">
        <v>-3578.1</v>
      </c>
      <c r="T394" s="125">
        <v>-5.7411000000000003</v>
      </c>
      <c r="U394" s="14">
        <v>0</v>
      </c>
      <c r="V394" s="30">
        <v>0</v>
      </c>
      <c r="W394" s="138">
        <v>201.131</v>
      </c>
      <c r="X394" s="13">
        <v>1.1031</v>
      </c>
      <c r="Y394" s="14">
        <v>-2.9247000000000001E-3</v>
      </c>
      <c r="Z394" s="30">
        <v>3.6360999999999998E-6</v>
      </c>
      <c r="AA394" s="77">
        <v>0.15770000000000001</v>
      </c>
      <c r="AB394" s="5">
        <v>-5.2312000000000003E-5</v>
      </c>
      <c r="AC394" s="15">
        <v>-2.1745999999999999E-7</v>
      </c>
      <c r="AD394" s="146">
        <v>67.891000000000005</v>
      </c>
      <c r="AE394" s="147">
        <v>0.38</v>
      </c>
      <c r="AF394" s="150">
        <v>51.81</v>
      </c>
      <c r="AG394" s="152">
        <v>1.2222</v>
      </c>
    </row>
    <row r="395" spans="1:33" x14ac:dyDescent="0.2">
      <c r="A395" s="27">
        <v>12</v>
      </c>
      <c r="B395" s="69">
        <v>2.1385996975000001</v>
      </c>
      <c r="C395" s="28">
        <f t="shared" si="26"/>
        <v>5.7938353844210991E-2</v>
      </c>
      <c r="D395" s="52">
        <v>170.33799999999999</v>
      </c>
      <c r="E395" s="47">
        <v>635.30999999999995</v>
      </c>
      <c r="F395" s="44">
        <v>18.05</v>
      </c>
      <c r="G395" s="11">
        <v>6.9550000000000005E-4</v>
      </c>
      <c r="H395" s="61">
        <f t="shared" si="27"/>
        <v>245.09064748201439</v>
      </c>
      <c r="I395" s="29">
        <f t="shared" si="28"/>
        <v>0.23750146853426021</v>
      </c>
      <c r="J395" s="52">
        <v>0.51900000000000002</v>
      </c>
      <c r="K395" s="75">
        <v>-5.0248999999999997</v>
      </c>
      <c r="L395" s="81">
        <v>926.18</v>
      </c>
      <c r="M395" s="13">
        <v>9.4000000000000004E-3</v>
      </c>
      <c r="N395" s="12">
        <v>-9.5085000000000005E-6</v>
      </c>
      <c r="O395" s="93">
        <v>0.24490000000000001</v>
      </c>
      <c r="P395" s="94">
        <v>0.25419999999999998</v>
      </c>
      <c r="Q395" s="95">
        <v>0.28570000000000001</v>
      </c>
      <c r="R395" s="111">
        <v>26.209</v>
      </c>
      <c r="S395" s="118">
        <v>-3623.3</v>
      </c>
      <c r="T395" s="125">
        <v>-5.8418000000000001</v>
      </c>
      <c r="U395" s="14">
        <v>0</v>
      </c>
      <c r="V395" s="30">
        <v>0</v>
      </c>
      <c r="W395" s="138">
        <v>216.99299999999999</v>
      </c>
      <c r="X395" s="13">
        <v>1.0218</v>
      </c>
      <c r="Y395" s="14">
        <v>-2.7783E-3</v>
      </c>
      <c r="Z395" s="30">
        <v>3.5941999999999998E-6</v>
      </c>
      <c r="AA395" s="77">
        <v>0.16139999999999999</v>
      </c>
      <c r="AB395" s="5">
        <v>-6.2649000000000003E-5</v>
      </c>
      <c r="AC395" s="15">
        <v>-2.1345E-7</v>
      </c>
      <c r="AD395" s="146">
        <v>68.132999999999996</v>
      </c>
      <c r="AE395" s="147">
        <v>0.38</v>
      </c>
      <c r="AF395" s="150">
        <v>52.155999999999999</v>
      </c>
      <c r="AG395" s="152">
        <v>1.2222</v>
      </c>
    </row>
    <row r="396" spans="1:33" x14ac:dyDescent="0.2">
      <c r="A396" s="27">
        <v>12</v>
      </c>
      <c r="B396" s="69">
        <v>1.2179088950000001</v>
      </c>
      <c r="C396" s="28">
        <f t="shared" si="26"/>
        <v>5.1288910862910353E-5</v>
      </c>
      <c r="D396" s="52">
        <v>170.33799999999999</v>
      </c>
      <c r="E396" s="47">
        <v>642.63</v>
      </c>
      <c r="F396" s="44">
        <v>17.920000000000002</v>
      </c>
      <c r="G396" s="11">
        <v>7.0149999999999998E-4</v>
      </c>
      <c r="H396" s="61">
        <f t="shared" si="27"/>
        <v>242.9928673323823</v>
      </c>
      <c r="I396" s="29">
        <f t="shared" si="28"/>
        <v>0.23511752812484538</v>
      </c>
      <c r="J396" s="52">
        <v>0.54800000000000004</v>
      </c>
      <c r="K396" s="75">
        <v>-5.2803000000000004</v>
      </c>
      <c r="L396" s="81">
        <v>975.45</v>
      </c>
      <c r="M396" s="13">
        <v>9.9000000000000008E-3</v>
      </c>
      <c r="N396" s="12">
        <v>-9.7845999999999995E-6</v>
      </c>
      <c r="O396" s="93">
        <v>0.24279999999999999</v>
      </c>
      <c r="P396" s="94">
        <v>0.25869999999999999</v>
      </c>
      <c r="Q396" s="95">
        <v>0.28570000000000001</v>
      </c>
      <c r="R396" s="111">
        <v>26.15</v>
      </c>
      <c r="S396" s="118">
        <v>-3699.8</v>
      </c>
      <c r="T396" s="125">
        <v>-5.7922000000000002</v>
      </c>
      <c r="U396" s="14">
        <v>0</v>
      </c>
      <c r="V396" s="30">
        <v>0</v>
      </c>
      <c r="W396" s="138">
        <v>215.334</v>
      </c>
      <c r="X396" s="13">
        <v>1.0658000000000001</v>
      </c>
      <c r="Y396" s="14">
        <v>-2.8522999999999999E-3</v>
      </c>
      <c r="Z396" s="30">
        <v>3.5841999999999999E-6</v>
      </c>
      <c r="AA396" s="77">
        <v>0.1613</v>
      </c>
      <c r="AB396" s="5">
        <v>-5.6644000000000002E-5</v>
      </c>
      <c r="AC396" s="15">
        <v>-2.1626000000000001E-7</v>
      </c>
      <c r="AD396" s="146">
        <v>69.817999999999998</v>
      </c>
      <c r="AE396" s="147">
        <v>0.38</v>
      </c>
      <c r="AF396" s="150">
        <v>52.756</v>
      </c>
      <c r="AG396" s="152">
        <v>1.2222</v>
      </c>
    </row>
    <row r="397" spans="1:33" x14ac:dyDescent="0.2">
      <c r="A397" s="27">
        <v>12</v>
      </c>
      <c r="B397" s="69">
        <v>1.217215545</v>
      </c>
      <c r="C397" s="28">
        <f t="shared" si="26"/>
        <v>7.6955607799486411E-6</v>
      </c>
      <c r="D397" s="52">
        <v>170.33799999999999</v>
      </c>
      <c r="E397" s="47">
        <v>648.96</v>
      </c>
      <c r="F397" s="44">
        <v>17.920000000000002</v>
      </c>
      <c r="G397" s="11">
        <v>7.0149999999999998E-4</v>
      </c>
      <c r="H397" s="61">
        <f t="shared" si="27"/>
        <v>242.9928673323823</v>
      </c>
      <c r="I397" s="29">
        <f t="shared" si="28"/>
        <v>0.23282417575639391</v>
      </c>
      <c r="J397" s="52">
        <v>0.54800000000000004</v>
      </c>
      <c r="K397" s="75">
        <v>-5.3032000000000004</v>
      </c>
      <c r="L397" s="81">
        <v>989.49</v>
      </c>
      <c r="M397" s="13">
        <v>9.9000000000000008E-3</v>
      </c>
      <c r="N397" s="12">
        <v>-9.6151000000000005E-6</v>
      </c>
      <c r="O397" s="93">
        <v>0.24279999999999999</v>
      </c>
      <c r="P397" s="94">
        <v>0.25669999999999998</v>
      </c>
      <c r="Q397" s="95">
        <v>0.28570000000000001</v>
      </c>
      <c r="R397" s="111">
        <v>25.942</v>
      </c>
      <c r="S397" s="118">
        <v>-3718.5</v>
      </c>
      <c r="T397" s="125">
        <v>-5.7190000000000003</v>
      </c>
      <c r="U397" s="14">
        <v>0</v>
      </c>
      <c r="V397" s="30">
        <v>0</v>
      </c>
      <c r="W397" s="138">
        <v>217.708</v>
      </c>
      <c r="X397" s="13">
        <v>1.0481</v>
      </c>
      <c r="Y397" s="14">
        <v>-2.7845000000000001E-3</v>
      </c>
      <c r="Z397" s="30">
        <v>3.4875000000000001E-6</v>
      </c>
      <c r="AA397" s="77">
        <v>0.1615</v>
      </c>
      <c r="AB397" s="5">
        <v>-5.6436E-5</v>
      </c>
      <c r="AC397" s="15">
        <v>-2.1192999999999999E-7</v>
      </c>
      <c r="AD397" s="146">
        <v>70.570999999999998</v>
      </c>
      <c r="AE397" s="147">
        <v>0.38</v>
      </c>
      <c r="AF397" s="150">
        <v>52.938000000000002</v>
      </c>
      <c r="AG397" s="152">
        <v>1.2222</v>
      </c>
    </row>
    <row r="398" spans="1:33" x14ac:dyDescent="0.2">
      <c r="A398" s="27">
        <v>12</v>
      </c>
      <c r="B398" s="69">
        <v>1.2170931475</v>
      </c>
      <c r="C398" s="28">
        <f t="shared" si="26"/>
        <v>0</v>
      </c>
      <c r="D398" s="52">
        <v>170.33799999999999</v>
      </c>
      <c r="E398" s="47">
        <v>639.94000000000005</v>
      </c>
      <c r="F398" s="44">
        <v>17.920000000000002</v>
      </c>
      <c r="G398" s="11">
        <v>7.0149999999999998E-4</v>
      </c>
      <c r="H398" s="61">
        <f t="shared" si="27"/>
        <v>242.9928673323823</v>
      </c>
      <c r="I398" s="29">
        <f t="shared" si="28"/>
        <v>0.2361058491403403</v>
      </c>
      <c r="J398" s="52">
        <v>0.54800000000000004</v>
      </c>
      <c r="K398" s="75">
        <v>-5.2686999999999999</v>
      </c>
      <c r="L398" s="81">
        <v>969.18</v>
      </c>
      <c r="M398" s="13">
        <v>0.01</v>
      </c>
      <c r="N398" s="12">
        <v>-9.8557999999999997E-6</v>
      </c>
      <c r="O398" s="93">
        <v>0.24279999999999999</v>
      </c>
      <c r="P398" s="94">
        <v>0.25850000000000001</v>
      </c>
      <c r="Q398" s="95">
        <v>0.28570000000000001</v>
      </c>
      <c r="R398" s="111">
        <v>26.24</v>
      </c>
      <c r="S398" s="118">
        <v>-3691.9</v>
      </c>
      <c r="T398" s="125">
        <v>-5.8239000000000001</v>
      </c>
      <c r="U398" s="14">
        <v>0</v>
      </c>
      <c r="V398" s="30">
        <v>0</v>
      </c>
      <c r="W398" s="138">
        <v>213.72300000000001</v>
      </c>
      <c r="X398" s="13">
        <v>1.0781000000000001</v>
      </c>
      <c r="Y398" s="14">
        <v>-2.8953999999999998E-3</v>
      </c>
      <c r="Z398" s="30">
        <v>3.6428999999999999E-6</v>
      </c>
      <c r="AA398" s="77">
        <v>0.1613</v>
      </c>
      <c r="AB398" s="5">
        <v>-5.6730000000000001E-5</v>
      </c>
      <c r="AC398" s="15">
        <v>-2.1815E-7</v>
      </c>
      <c r="AD398" s="146">
        <v>69.497</v>
      </c>
      <c r="AE398" s="147">
        <v>0.38</v>
      </c>
      <c r="AF398" s="150">
        <v>52.679000000000002</v>
      </c>
      <c r="AG398" s="152">
        <v>1.2222</v>
      </c>
    </row>
    <row r="399" spans="1:33" x14ac:dyDescent="0.2">
      <c r="A399" s="27">
        <v>12</v>
      </c>
      <c r="B399" s="69">
        <v>13.895529105</v>
      </c>
      <c r="C399" s="28">
        <f t="shared" si="26"/>
        <v>0.79713780514832244</v>
      </c>
      <c r="D399" s="52">
        <v>170.33799999999999</v>
      </c>
      <c r="E399" s="47">
        <v>672.82</v>
      </c>
      <c r="F399" s="44">
        <v>18.64</v>
      </c>
      <c r="G399" s="11">
        <v>6.7350000000000005E-4</v>
      </c>
      <c r="H399" s="61">
        <f t="shared" si="27"/>
        <v>253.10252600297176</v>
      </c>
      <c r="I399" s="29">
        <f t="shared" si="28"/>
        <v>0.22426012475455345</v>
      </c>
      <c r="J399" s="52">
        <v>0.34699999999999998</v>
      </c>
      <c r="K399" s="75">
        <v>-4.6360999999999999</v>
      </c>
      <c r="L399" s="81">
        <v>999.13</v>
      </c>
      <c r="M399" s="13">
        <v>7.0000000000000001E-3</v>
      </c>
      <c r="N399" s="12">
        <v>-6.4589000000000001E-6</v>
      </c>
      <c r="O399" s="93">
        <v>0.25290000000000001</v>
      </c>
      <c r="P399" s="94">
        <v>0.25259999999999999</v>
      </c>
      <c r="Q399" s="95">
        <v>0.28570000000000001</v>
      </c>
      <c r="R399" s="111">
        <v>23.911999999999999</v>
      </c>
      <c r="S399" s="118">
        <v>-3384.2</v>
      </c>
      <c r="T399" s="125">
        <v>-5.2110000000000003</v>
      </c>
      <c r="U399" s="14">
        <v>0</v>
      </c>
      <c r="V399" s="30">
        <v>0</v>
      </c>
      <c r="W399" s="138">
        <v>227.43199999999999</v>
      </c>
      <c r="X399" s="13">
        <v>0.74334999999999996</v>
      </c>
      <c r="Y399" s="14">
        <v>-1.8648E-3</v>
      </c>
      <c r="Z399" s="30">
        <v>2.4544000000000002E-6</v>
      </c>
      <c r="AA399" s="77">
        <v>0.15529999999999999</v>
      </c>
      <c r="AB399" s="5">
        <v>-6.2920000000000001E-5</v>
      </c>
      <c r="AC399" s="15">
        <v>-1.7478999999999999E-7</v>
      </c>
      <c r="AD399" s="146">
        <v>67.230999999999995</v>
      </c>
      <c r="AE399" s="147">
        <v>0.38</v>
      </c>
      <c r="AF399" s="150">
        <v>50.798000000000002</v>
      </c>
      <c r="AG399" s="152">
        <v>1.2222</v>
      </c>
    </row>
    <row r="400" spans="1:33" x14ac:dyDescent="0.2">
      <c r="A400" s="27">
        <v>12</v>
      </c>
      <c r="B400" s="69">
        <v>15.244739575000001</v>
      </c>
      <c r="C400" s="28">
        <f t="shared" si="26"/>
        <v>0.88196740687082165</v>
      </c>
      <c r="D400" s="52">
        <v>170.33799999999999</v>
      </c>
      <c r="E400" s="47">
        <v>691.43</v>
      </c>
      <c r="F400" s="44">
        <v>18.690000000000001</v>
      </c>
      <c r="G400" s="11">
        <v>6.7449999999999997E-4</v>
      </c>
      <c r="H400" s="61">
        <f t="shared" si="27"/>
        <v>252.72700296735906</v>
      </c>
      <c r="I400" s="29">
        <f t="shared" si="28"/>
        <v>0.21913460172598478</v>
      </c>
      <c r="J400" s="52">
        <v>0.318</v>
      </c>
      <c r="K400" s="75">
        <v>-4.5483000000000002</v>
      </c>
      <c r="L400" s="81">
        <v>1010.6</v>
      </c>
      <c r="M400" s="13">
        <v>6.4999999999999997E-3</v>
      </c>
      <c r="N400" s="12">
        <v>-5.8812999999999999E-6</v>
      </c>
      <c r="O400" s="93">
        <v>0.2525</v>
      </c>
      <c r="P400" s="94">
        <v>0.2485</v>
      </c>
      <c r="Q400" s="95">
        <v>0.28570000000000001</v>
      </c>
      <c r="R400" s="111">
        <v>23.207000000000001</v>
      </c>
      <c r="S400" s="118">
        <v>-3371.8</v>
      </c>
      <c r="T400" s="125">
        <v>-4.9946000000000002</v>
      </c>
      <c r="U400" s="14">
        <v>0</v>
      </c>
      <c r="V400" s="30">
        <v>0</v>
      </c>
      <c r="W400" s="138">
        <v>205.261</v>
      </c>
      <c r="X400" s="13">
        <v>0.66468000000000005</v>
      </c>
      <c r="Y400" s="14">
        <v>-1.6253000000000001E-3</v>
      </c>
      <c r="Z400" s="30">
        <v>2.1374000000000001E-6</v>
      </c>
      <c r="AA400" s="77">
        <v>0.15229999999999999</v>
      </c>
      <c r="AB400" s="5">
        <v>-5.4311000000000002E-5</v>
      </c>
      <c r="AC400" s="15">
        <v>-1.7011999999999999E-7</v>
      </c>
      <c r="AD400" s="146">
        <v>68.346999999999994</v>
      </c>
      <c r="AE400" s="147">
        <v>0.38</v>
      </c>
      <c r="AF400" s="150">
        <v>50.847000000000001</v>
      </c>
      <c r="AG400" s="152">
        <v>1.2222</v>
      </c>
    </row>
    <row r="401" spans="1:33" x14ac:dyDescent="0.2">
      <c r="A401" s="27">
        <v>12</v>
      </c>
      <c r="B401" s="69">
        <v>14.4930684375</v>
      </c>
      <c r="C401" s="28">
        <f t="shared" si="26"/>
        <v>0.83470720200417625</v>
      </c>
      <c r="D401" s="52">
        <v>170.33799999999999</v>
      </c>
      <c r="E401" s="48">
        <v>662.99</v>
      </c>
      <c r="F401" s="48">
        <v>18.64</v>
      </c>
      <c r="G401" s="35">
        <v>6.7350000000000005E-4</v>
      </c>
      <c r="H401" s="61">
        <f t="shared" si="27"/>
        <v>253.10252600297176</v>
      </c>
      <c r="I401" s="29">
        <f t="shared" si="28"/>
        <v>0.22758517796250119</v>
      </c>
      <c r="J401" s="55">
        <v>0.34699999999999998</v>
      </c>
      <c r="K401" s="76">
        <v>-4.5270999999999999</v>
      </c>
      <c r="L401" s="82">
        <v>969.96</v>
      </c>
      <c r="M401" s="85">
        <v>6.7999999999999996E-3</v>
      </c>
      <c r="N401" s="4">
        <v>-6.4856999999999996E-6</v>
      </c>
      <c r="O401" s="96">
        <v>0.25290000000000001</v>
      </c>
      <c r="P401" s="97">
        <v>0.2571</v>
      </c>
      <c r="Q401" s="98">
        <v>0.28570000000000001</v>
      </c>
      <c r="R401" s="114">
        <v>24.2</v>
      </c>
      <c r="S401" s="120">
        <v>-3359.2</v>
      </c>
      <c r="T401" s="127">
        <v>-5.3118999999999996</v>
      </c>
      <c r="U401" s="14">
        <v>0</v>
      </c>
      <c r="V401" s="14">
        <v>0</v>
      </c>
      <c r="W401" s="139">
        <v>225.637</v>
      </c>
      <c r="X401" s="7">
        <v>0.75641999999999998</v>
      </c>
      <c r="Y401" s="8">
        <v>-1.9193999999999999E-3</v>
      </c>
      <c r="Z401" s="33">
        <v>2.5388000000000002E-6</v>
      </c>
      <c r="AA401" s="141">
        <v>0.1552</v>
      </c>
      <c r="AB401" s="9">
        <v>-6.3483000000000002E-5</v>
      </c>
      <c r="AC401" s="10">
        <v>-1.8010999999999999E-7</v>
      </c>
      <c r="AD401" s="146">
        <v>66.156000000000006</v>
      </c>
      <c r="AE401" s="147">
        <v>0.38</v>
      </c>
      <c r="AF401" s="150">
        <v>50.536999999999999</v>
      </c>
      <c r="AG401" s="152">
        <v>1.2222</v>
      </c>
    </row>
    <row r="402" spans="1:33" x14ac:dyDescent="0.2">
      <c r="A402" s="27">
        <v>12</v>
      </c>
      <c r="B402" s="69">
        <v>14.603317137499999</v>
      </c>
      <c r="C402" s="28">
        <f t="shared" si="26"/>
        <v>0.8416389250521179</v>
      </c>
      <c r="D402" s="52">
        <v>170.33799999999999</v>
      </c>
      <c r="E402" s="47">
        <v>672.82</v>
      </c>
      <c r="F402" s="44">
        <v>18.64</v>
      </c>
      <c r="G402" s="11">
        <v>6.7350000000000005E-4</v>
      </c>
      <c r="H402" s="61">
        <f t="shared" si="27"/>
        <v>253.10252600297176</v>
      </c>
      <c r="I402" s="29">
        <f t="shared" si="28"/>
        <v>0.22426012475455345</v>
      </c>
      <c r="J402" s="52">
        <v>0.34699999999999998</v>
      </c>
      <c r="K402" s="75">
        <v>-4.6360999999999999</v>
      </c>
      <c r="L402" s="81">
        <v>999.13</v>
      </c>
      <c r="M402" s="13">
        <v>7.0000000000000001E-3</v>
      </c>
      <c r="N402" s="12">
        <v>-6.4589000000000001E-6</v>
      </c>
      <c r="O402" s="93">
        <v>0.25290000000000001</v>
      </c>
      <c r="P402" s="94">
        <v>0.25559999999999999</v>
      </c>
      <c r="Q402" s="95">
        <v>0.28570000000000001</v>
      </c>
      <c r="R402" s="111">
        <v>23.911999999999999</v>
      </c>
      <c r="S402" s="118">
        <v>-3384.2</v>
      </c>
      <c r="T402" s="125">
        <v>-5.2110000000000003</v>
      </c>
      <c r="U402" s="14">
        <v>0</v>
      </c>
      <c r="V402" s="30">
        <v>0</v>
      </c>
      <c r="W402" s="138">
        <v>228.68100000000001</v>
      </c>
      <c r="X402" s="13">
        <v>0.73438999999999999</v>
      </c>
      <c r="Y402" s="14">
        <v>-1.8391E-3</v>
      </c>
      <c r="Z402" s="30">
        <v>2.4217999999999998E-6</v>
      </c>
      <c r="AA402" s="77">
        <v>0.15529999999999999</v>
      </c>
      <c r="AB402" s="5">
        <v>-6.2920000000000001E-5</v>
      </c>
      <c r="AC402" s="15">
        <v>-1.7478999999999999E-7</v>
      </c>
      <c r="AD402" s="146">
        <v>67.230999999999995</v>
      </c>
      <c r="AE402" s="147">
        <v>0.38</v>
      </c>
      <c r="AF402" s="150">
        <v>50.798000000000002</v>
      </c>
      <c r="AG402" s="152">
        <v>1.2222</v>
      </c>
    </row>
    <row r="403" spans="1:33" x14ac:dyDescent="0.2">
      <c r="A403" s="27">
        <v>12</v>
      </c>
      <c r="B403" s="69">
        <v>17.122041922499999</v>
      </c>
      <c r="C403" s="28">
        <f t="shared" si="26"/>
        <v>1</v>
      </c>
      <c r="D403" s="52">
        <v>170.33799999999999</v>
      </c>
      <c r="E403" s="47">
        <v>661.75</v>
      </c>
      <c r="F403" s="44">
        <v>18.690000000000001</v>
      </c>
      <c r="G403" s="11">
        <v>6.7449999999999997E-4</v>
      </c>
      <c r="H403" s="61">
        <f t="shared" si="27"/>
        <v>252.72700296735906</v>
      </c>
      <c r="I403" s="29">
        <f t="shared" si="28"/>
        <v>0.22896295832474145</v>
      </c>
      <c r="J403" s="52">
        <v>0.318</v>
      </c>
      <c r="K403" s="75">
        <v>-4.2312000000000003</v>
      </c>
      <c r="L403" s="81">
        <v>925.2</v>
      </c>
      <c r="M403" s="13">
        <v>6.1000000000000004E-3</v>
      </c>
      <c r="N403" s="12">
        <v>-5.9332000000000002E-6</v>
      </c>
      <c r="O403" s="93">
        <v>0.2525</v>
      </c>
      <c r="P403" s="94">
        <v>0.26190000000000002</v>
      </c>
      <c r="Q403" s="95">
        <v>0.28570000000000001</v>
      </c>
      <c r="R403" s="111">
        <v>24.045999999999999</v>
      </c>
      <c r="S403" s="118">
        <v>-3297.7</v>
      </c>
      <c r="T403" s="125">
        <v>-5.2881999999999998</v>
      </c>
      <c r="U403" s="14">
        <v>0</v>
      </c>
      <c r="V403" s="30">
        <v>0</v>
      </c>
      <c r="W403" s="138">
        <v>214.321</v>
      </c>
      <c r="X403" s="13">
        <v>0.80730000000000002</v>
      </c>
      <c r="Y403" s="14">
        <v>-2.0181999999999999E-3</v>
      </c>
      <c r="Z403" s="30">
        <v>2.5755000000000002E-6</v>
      </c>
      <c r="AA403" s="77">
        <v>0.1517</v>
      </c>
      <c r="AB403" s="5">
        <v>-5.5158999999999998E-5</v>
      </c>
      <c r="AC403" s="15">
        <v>-1.8649E-7</v>
      </c>
      <c r="AD403" s="146">
        <v>65.14</v>
      </c>
      <c r="AE403" s="147">
        <v>0.38</v>
      </c>
      <c r="AF403" s="150">
        <v>50.072000000000003</v>
      </c>
      <c r="AG403" s="152">
        <v>1.2222</v>
      </c>
    </row>
    <row r="404" spans="1:33" x14ac:dyDescent="0.2">
      <c r="A404" s="27">
        <v>12</v>
      </c>
      <c r="B404" s="69">
        <v>15.20050376</v>
      </c>
      <c r="C404" s="28">
        <f t="shared" si="26"/>
        <v>0.87918614579128063</v>
      </c>
      <c r="D404" s="52">
        <v>170.33799999999999</v>
      </c>
      <c r="E404" s="47">
        <v>650.35</v>
      </c>
      <c r="F404" s="44">
        <v>18.64</v>
      </c>
      <c r="G404" s="11">
        <v>6.7350000000000005E-4</v>
      </c>
      <c r="H404" s="61">
        <f t="shared" si="27"/>
        <v>253.10252600297176</v>
      </c>
      <c r="I404" s="29">
        <f t="shared" si="28"/>
        <v>0.23200845258300709</v>
      </c>
      <c r="J404" s="52">
        <v>0.34699999999999998</v>
      </c>
      <c r="K404" s="75">
        <v>-4.3521999999999998</v>
      </c>
      <c r="L404" s="81">
        <v>927.67</v>
      </c>
      <c r="M404" s="13">
        <v>6.6E-3</v>
      </c>
      <c r="N404" s="12">
        <v>-6.4710999999999998E-6</v>
      </c>
      <c r="O404" s="93">
        <v>0.25290000000000001</v>
      </c>
      <c r="P404" s="94">
        <v>0.26129999999999998</v>
      </c>
      <c r="Q404" s="95">
        <v>0.28570000000000001</v>
      </c>
      <c r="R404" s="111">
        <v>24.587</v>
      </c>
      <c r="S404" s="118">
        <v>-3327.3</v>
      </c>
      <c r="T404" s="125">
        <v>-5.4476000000000004</v>
      </c>
      <c r="U404" s="14">
        <v>0</v>
      </c>
      <c r="V404" s="30">
        <v>0</v>
      </c>
      <c r="W404" s="138">
        <v>222.54300000000001</v>
      </c>
      <c r="X404" s="13">
        <v>0.77942</v>
      </c>
      <c r="Y404" s="14">
        <v>-2.0092999999999999E-3</v>
      </c>
      <c r="Z404" s="30">
        <v>2.6740999999999999E-6</v>
      </c>
      <c r="AA404" s="77">
        <v>0.155</v>
      </c>
      <c r="AB404" s="5">
        <v>-6.4204999999999999E-5</v>
      </c>
      <c r="AC404" s="15">
        <v>-1.8732000000000001E-7</v>
      </c>
      <c r="AD404" s="146">
        <v>64.775999999999996</v>
      </c>
      <c r="AE404" s="147">
        <v>0.38</v>
      </c>
      <c r="AF404" s="150">
        <v>50.198</v>
      </c>
      <c r="AG404" s="152">
        <v>1.2222</v>
      </c>
    </row>
    <row r="405" spans="1:33" x14ac:dyDescent="0.2">
      <c r="A405" s="27">
        <v>12</v>
      </c>
      <c r="B405" s="69">
        <v>3.5020117449999999</v>
      </c>
      <c r="C405" s="28">
        <f t="shared" si="26"/>
        <v>0.14366085863108982</v>
      </c>
      <c r="D405" s="52">
        <v>170.33799999999999</v>
      </c>
      <c r="E405" s="47">
        <v>638.02</v>
      </c>
      <c r="F405" s="44">
        <v>18.05</v>
      </c>
      <c r="G405" s="11">
        <v>6.9550000000000005E-4</v>
      </c>
      <c r="H405" s="61">
        <f t="shared" si="27"/>
        <v>245.09064748201439</v>
      </c>
      <c r="I405" s="29">
        <f t="shared" si="28"/>
        <v>0.23649267730557169</v>
      </c>
      <c r="J405" s="52">
        <v>0.51900000000000002</v>
      </c>
      <c r="K405" s="75">
        <v>-5.0415000000000001</v>
      </c>
      <c r="L405" s="81">
        <v>933.12</v>
      </c>
      <c r="M405" s="13">
        <v>9.4000000000000004E-3</v>
      </c>
      <c r="N405" s="12">
        <v>-9.4460000000000007E-6</v>
      </c>
      <c r="O405" s="93">
        <v>0.24490000000000001</v>
      </c>
      <c r="P405" s="94">
        <v>0.25950000000000001</v>
      </c>
      <c r="Q405" s="95">
        <v>0.28570000000000001</v>
      </c>
      <c r="R405" s="111">
        <v>26.117000000000001</v>
      </c>
      <c r="S405" s="118">
        <v>-3631</v>
      </c>
      <c r="T405" s="125">
        <v>-5.8094000000000001</v>
      </c>
      <c r="U405" s="14">
        <v>0</v>
      </c>
      <c r="V405" s="30">
        <v>0</v>
      </c>
      <c r="W405" s="138">
        <v>221.28</v>
      </c>
      <c r="X405" s="13">
        <v>0.98894000000000004</v>
      </c>
      <c r="Y405" s="14">
        <v>-2.6722999999999998E-3</v>
      </c>
      <c r="Z405" s="30">
        <v>3.4554E-6</v>
      </c>
      <c r="AA405" s="77">
        <v>0.1615</v>
      </c>
      <c r="AB405" s="5">
        <v>-6.2508999999999994E-5</v>
      </c>
      <c r="AC405" s="15">
        <v>-2.1161E-7</v>
      </c>
      <c r="AD405" s="146">
        <v>68.450999999999993</v>
      </c>
      <c r="AE405" s="147">
        <v>0.38</v>
      </c>
      <c r="AF405" s="150">
        <v>52.234000000000002</v>
      </c>
      <c r="AG405" s="152">
        <v>1.2222</v>
      </c>
    </row>
    <row r="406" spans="1:33" x14ac:dyDescent="0.2">
      <c r="A406" s="27">
        <v>12</v>
      </c>
      <c r="B406" s="69">
        <v>3.5013995862499998</v>
      </c>
      <c r="C406" s="28">
        <f t="shared" si="26"/>
        <v>0.14362237006010098</v>
      </c>
      <c r="D406" s="52">
        <v>170.33799999999999</v>
      </c>
      <c r="E406" s="47">
        <v>638.02</v>
      </c>
      <c r="F406" s="44">
        <v>18.05</v>
      </c>
      <c r="G406" s="11">
        <v>6.9550000000000005E-4</v>
      </c>
      <c r="H406" s="61">
        <f t="shared" si="27"/>
        <v>245.09064748201439</v>
      </c>
      <c r="I406" s="29">
        <f t="shared" si="28"/>
        <v>0.23649267730557169</v>
      </c>
      <c r="J406" s="52">
        <v>0.51900000000000002</v>
      </c>
      <c r="K406" s="75">
        <v>-5.0415000000000001</v>
      </c>
      <c r="L406" s="81">
        <v>933.12</v>
      </c>
      <c r="M406" s="13">
        <v>9.4000000000000004E-3</v>
      </c>
      <c r="N406" s="12">
        <v>-9.4460000000000007E-6</v>
      </c>
      <c r="O406" s="93">
        <v>0.24490000000000001</v>
      </c>
      <c r="P406" s="94">
        <v>0.25940000000000002</v>
      </c>
      <c r="Q406" s="95">
        <v>0.28570000000000001</v>
      </c>
      <c r="R406" s="111">
        <v>26.117000000000001</v>
      </c>
      <c r="S406" s="118">
        <v>-3631</v>
      </c>
      <c r="T406" s="125">
        <v>-5.8094000000000001</v>
      </c>
      <c r="U406" s="14">
        <v>0</v>
      </c>
      <c r="V406" s="30">
        <v>0</v>
      </c>
      <c r="W406" s="138">
        <v>221.19300000000001</v>
      </c>
      <c r="X406" s="13">
        <v>0.98960999999999999</v>
      </c>
      <c r="Y406" s="14">
        <v>-2.6743000000000001E-3</v>
      </c>
      <c r="Z406" s="30">
        <v>3.4579E-6</v>
      </c>
      <c r="AA406" s="77">
        <v>0.1615</v>
      </c>
      <c r="AB406" s="5">
        <v>-6.2508999999999994E-5</v>
      </c>
      <c r="AC406" s="15">
        <v>-2.1161E-7</v>
      </c>
      <c r="AD406" s="146">
        <v>68.450999999999993</v>
      </c>
      <c r="AE406" s="147">
        <v>0.38</v>
      </c>
      <c r="AF406" s="150">
        <v>52.234000000000002</v>
      </c>
      <c r="AG406" s="152">
        <v>1.2222</v>
      </c>
    </row>
    <row r="407" spans="1:33" x14ac:dyDescent="0.2">
      <c r="A407" s="27">
        <v>12</v>
      </c>
      <c r="B407" s="69">
        <v>5.1708792687500003</v>
      </c>
      <c r="C407" s="28">
        <f t="shared" si="26"/>
        <v>0.24858842220634567</v>
      </c>
      <c r="D407" s="52">
        <v>170.33799999999999</v>
      </c>
      <c r="E407" s="47">
        <v>652.14</v>
      </c>
      <c r="F407" s="44">
        <v>18.22</v>
      </c>
      <c r="G407" s="11">
        <v>6.9050000000000003E-4</v>
      </c>
      <c r="H407" s="61">
        <f t="shared" si="27"/>
        <v>246.86666666666667</v>
      </c>
      <c r="I407" s="29">
        <f t="shared" si="28"/>
        <v>0.23187109025315211</v>
      </c>
      <c r="J407" s="52">
        <v>0.46100000000000002</v>
      </c>
      <c r="K407" s="75">
        <v>-5.3152999999999997</v>
      </c>
      <c r="L407" s="81">
        <v>1071.0999999999999</v>
      </c>
      <c r="M407" s="13">
        <v>8.9999999999999993E-3</v>
      </c>
      <c r="N407" s="12">
        <v>-8.3947999999999997E-6</v>
      </c>
      <c r="O407" s="93">
        <v>0.2467</v>
      </c>
      <c r="P407" s="94">
        <v>0.25119999999999998</v>
      </c>
      <c r="Q407" s="95">
        <v>0.28570000000000001</v>
      </c>
      <c r="R407" s="111">
        <v>25.262</v>
      </c>
      <c r="S407" s="118">
        <v>-3556.1</v>
      </c>
      <c r="T407" s="125">
        <v>-5.569</v>
      </c>
      <c r="U407" s="14">
        <v>0</v>
      </c>
      <c r="V407" s="30">
        <v>0</v>
      </c>
      <c r="W407" s="138">
        <v>214.83199999999999</v>
      </c>
      <c r="X407" s="13">
        <v>0.96774000000000004</v>
      </c>
      <c r="Y407" s="14">
        <v>-2.5355E-3</v>
      </c>
      <c r="Z407" s="30">
        <v>3.2177000000000001E-6</v>
      </c>
      <c r="AA407" s="77">
        <v>0.1583</v>
      </c>
      <c r="AB407" s="5">
        <v>-5.7763000000000002E-5</v>
      </c>
      <c r="AC407" s="15">
        <v>-2.0156000000000001E-7</v>
      </c>
      <c r="AD407" s="146">
        <v>68.427000000000007</v>
      </c>
      <c r="AE407" s="147">
        <v>0.38</v>
      </c>
      <c r="AF407" s="150">
        <v>51.768000000000001</v>
      </c>
      <c r="AG407" s="152">
        <v>1.2222</v>
      </c>
    </row>
    <row r="408" spans="1:33" x14ac:dyDescent="0.2">
      <c r="A408" s="27">
        <v>12</v>
      </c>
      <c r="B408" s="69">
        <v>4.4922482700000002</v>
      </c>
      <c r="C408" s="28">
        <f t="shared" si="26"/>
        <v>0.20592050743652901</v>
      </c>
      <c r="D408" s="52">
        <v>170.33799999999999</v>
      </c>
      <c r="E408" s="44">
        <v>654.88</v>
      </c>
      <c r="F408" s="44">
        <v>18.22</v>
      </c>
      <c r="G408" s="11">
        <v>6.9050000000000003E-4</v>
      </c>
      <c r="H408" s="61">
        <f t="shared" si="27"/>
        <v>246.86666666666667</v>
      </c>
      <c r="I408" s="29">
        <f t="shared" si="28"/>
        <v>0.23090094795640514</v>
      </c>
      <c r="J408" s="52">
        <v>0.46100000000000002</v>
      </c>
      <c r="K408" s="75">
        <v>-5.3441999999999998</v>
      </c>
      <c r="L408" s="81">
        <v>1079.4000000000001</v>
      </c>
      <c r="M408" s="13">
        <v>8.9999999999999993E-3</v>
      </c>
      <c r="N408" s="12">
        <v>-8.3703000000000001E-6</v>
      </c>
      <c r="O408" s="93">
        <v>0.2467</v>
      </c>
      <c r="P408" s="94">
        <v>0.249</v>
      </c>
      <c r="Q408" s="95">
        <v>0.28570000000000001</v>
      </c>
      <c r="R408" s="111">
        <v>25.175000000000001</v>
      </c>
      <c r="S408" s="118">
        <v>-3563.7</v>
      </c>
      <c r="T408" s="125">
        <v>-5.5387000000000004</v>
      </c>
      <c r="U408" s="14">
        <v>0</v>
      </c>
      <c r="V408" s="30">
        <v>0</v>
      </c>
      <c r="W408" s="138">
        <v>214.965</v>
      </c>
      <c r="X408" s="13">
        <v>0.96675999999999995</v>
      </c>
      <c r="Y408" s="14">
        <v>-2.5265999999999999E-3</v>
      </c>
      <c r="Z408" s="30">
        <v>3.2013000000000002E-6</v>
      </c>
      <c r="AA408" s="77">
        <v>0.1583</v>
      </c>
      <c r="AB408" s="5">
        <v>-5.7661999999999998E-5</v>
      </c>
      <c r="AC408" s="15">
        <v>-1.9982E-7</v>
      </c>
      <c r="AD408" s="146">
        <v>68.742000000000004</v>
      </c>
      <c r="AE408" s="147">
        <v>0.38</v>
      </c>
      <c r="AF408" s="150">
        <v>51.844000000000001</v>
      </c>
      <c r="AG408" s="152">
        <v>1.2222</v>
      </c>
    </row>
    <row r="409" spans="1:33" x14ac:dyDescent="0.2">
      <c r="A409" s="27">
        <v>12</v>
      </c>
      <c r="B409" s="69">
        <v>4.8932530762499997</v>
      </c>
      <c r="C409" s="28">
        <f t="shared" si="26"/>
        <v>0.23113308824535966</v>
      </c>
      <c r="D409" s="52">
        <v>170.33799999999999</v>
      </c>
      <c r="E409" s="47">
        <v>649.4</v>
      </c>
      <c r="F409" s="44">
        <v>18.22</v>
      </c>
      <c r="G409" s="11">
        <v>6.9050000000000003E-4</v>
      </c>
      <c r="H409" s="61">
        <f t="shared" si="27"/>
        <v>246.86666666666667</v>
      </c>
      <c r="I409" s="29">
        <f t="shared" si="28"/>
        <v>0.23284941915258794</v>
      </c>
      <c r="J409" s="52">
        <v>0.46100000000000002</v>
      </c>
      <c r="K409" s="75">
        <v>-5.2843999999999998</v>
      </c>
      <c r="L409" s="81">
        <v>1062.5999999999999</v>
      </c>
      <c r="M409" s="13">
        <v>8.8999999999999999E-3</v>
      </c>
      <c r="N409" s="12">
        <v>-8.4166E-6</v>
      </c>
      <c r="O409" s="93">
        <v>0.2467</v>
      </c>
      <c r="P409" s="94">
        <v>0.25130000000000002</v>
      </c>
      <c r="Q409" s="95">
        <v>0.28570000000000001</v>
      </c>
      <c r="R409" s="111">
        <v>25.349</v>
      </c>
      <c r="S409" s="118">
        <v>-3548.5</v>
      </c>
      <c r="T409" s="125">
        <v>-5.5995999999999997</v>
      </c>
      <c r="U409" s="14">
        <v>0</v>
      </c>
      <c r="V409" s="30">
        <v>0</v>
      </c>
      <c r="W409" s="138">
        <v>213.46799999999999</v>
      </c>
      <c r="X409" s="13">
        <v>0.97801000000000005</v>
      </c>
      <c r="Y409" s="14">
        <v>-2.5717000000000001E-3</v>
      </c>
      <c r="Z409" s="30">
        <v>3.2677000000000001E-6</v>
      </c>
      <c r="AA409" s="77">
        <v>0.15820000000000001</v>
      </c>
      <c r="AB409" s="5">
        <v>-5.7862999999999998E-5</v>
      </c>
      <c r="AC409" s="15">
        <v>-2.0332E-7</v>
      </c>
      <c r="AD409" s="146">
        <v>68.113</v>
      </c>
      <c r="AE409" s="147">
        <v>0.38</v>
      </c>
      <c r="AF409" s="150">
        <v>51.692</v>
      </c>
      <c r="AG409" s="152">
        <v>1.2222</v>
      </c>
    </row>
    <row r="410" spans="1:33" x14ac:dyDescent="0.2">
      <c r="A410" s="27">
        <v>12</v>
      </c>
      <c r="B410" s="69">
        <v>4.4211270000000003</v>
      </c>
      <c r="C410" s="28">
        <f t="shared" si="26"/>
        <v>0.20144886335856813</v>
      </c>
      <c r="D410" s="52">
        <v>170.33799999999999</v>
      </c>
      <c r="E410" s="47">
        <v>637.53</v>
      </c>
      <c r="F410" s="44">
        <v>18.170000000000002</v>
      </c>
      <c r="G410" s="11">
        <v>6.8950000000000001E-4</v>
      </c>
      <c r="H410" s="61">
        <f t="shared" si="27"/>
        <v>247.22496371552973</v>
      </c>
      <c r="I410" s="29">
        <f t="shared" si="28"/>
        <v>0.2361910859960909</v>
      </c>
      <c r="J410" s="52">
        <v>0.49099999999999999</v>
      </c>
      <c r="K410" s="75">
        <v>-5.4320000000000004</v>
      </c>
      <c r="L410" s="81">
        <v>1065.3</v>
      </c>
      <c r="M410" s="13">
        <v>9.4999999999999998E-3</v>
      </c>
      <c r="N410" s="12">
        <v>-9.1005000000000004E-6</v>
      </c>
      <c r="O410" s="93">
        <v>0.24709999999999999</v>
      </c>
      <c r="P410" s="94">
        <v>0.25559999999999999</v>
      </c>
      <c r="Q410" s="95">
        <v>0.28570000000000001</v>
      </c>
      <c r="R410" s="111">
        <v>25.946999999999999</v>
      </c>
      <c r="S410" s="118">
        <v>-3574.6</v>
      </c>
      <c r="T410" s="125">
        <v>-5.7784000000000004</v>
      </c>
      <c r="U410" s="14">
        <v>0</v>
      </c>
      <c r="V410" s="30">
        <v>0</v>
      </c>
      <c r="W410" s="138">
        <v>226.03299999999999</v>
      </c>
      <c r="X410" s="13">
        <v>0.92083000000000004</v>
      </c>
      <c r="Y410" s="14">
        <v>-2.5041E-3</v>
      </c>
      <c r="Z410" s="30">
        <v>3.3254E-6</v>
      </c>
      <c r="AA410" s="77">
        <v>0.16159999999999999</v>
      </c>
      <c r="AB410" s="5">
        <v>-6.7822000000000002E-5</v>
      </c>
      <c r="AC410" s="15">
        <v>-2.0440999999999999E-7</v>
      </c>
      <c r="AD410" s="146">
        <v>67.569999999999993</v>
      </c>
      <c r="AE410" s="147">
        <v>0.38</v>
      </c>
      <c r="AF410" s="150">
        <v>51.837000000000003</v>
      </c>
      <c r="AG410" s="152">
        <v>1.2222</v>
      </c>
    </row>
    <row r="411" spans="1:33" x14ac:dyDescent="0.2">
      <c r="A411" s="27">
        <v>12</v>
      </c>
      <c r="B411" s="69">
        <v>4.8960537862500004</v>
      </c>
      <c r="C411" s="28">
        <f t="shared" si="26"/>
        <v>0.23130917872132542</v>
      </c>
      <c r="D411" s="52">
        <v>170.33799999999999</v>
      </c>
      <c r="E411" s="47">
        <v>649.4</v>
      </c>
      <c r="F411" s="44">
        <v>18.22</v>
      </c>
      <c r="G411" s="11">
        <v>6.9050000000000003E-4</v>
      </c>
      <c r="H411" s="61">
        <f t="shared" si="27"/>
        <v>246.86666666666667</v>
      </c>
      <c r="I411" s="29">
        <f t="shared" si="28"/>
        <v>0.23284941915258794</v>
      </c>
      <c r="J411" s="52">
        <v>0.46100000000000002</v>
      </c>
      <c r="K411" s="75">
        <v>-5.2843999999999998</v>
      </c>
      <c r="L411" s="81">
        <v>1062.5999999999999</v>
      </c>
      <c r="M411" s="13">
        <v>8.8999999999999999E-3</v>
      </c>
      <c r="N411" s="12">
        <v>-8.4166E-6</v>
      </c>
      <c r="O411" s="93">
        <v>0.2467</v>
      </c>
      <c r="P411" s="94">
        <v>0.25130000000000002</v>
      </c>
      <c r="Q411" s="95">
        <v>0.28570000000000001</v>
      </c>
      <c r="R411" s="111">
        <v>25.349</v>
      </c>
      <c r="S411" s="118">
        <v>-3548.5</v>
      </c>
      <c r="T411" s="125">
        <v>-5.5995999999999997</v>
      </c>
      <c r="U411" s="14">
        <v>0</v>
      </c>
      <c r="V411" s="30">
        <v>0</v>
      </c>
      <c r="W411" s="138">
        <v>213.46799999999999</v>
      </c>
      <c r="X411" s="13">
        <v>0.97801000000000005</v>
      </c>
      <c r="Y411" s="14">
        <v>-2.5717000000000001E-3</v>
      </c>
      <c r="Z411" s="30">
        <v>3.2677000000000001E-6</v>
      </c>
      <c r="AA411" s="77">
        <v>0.15820000000000001</v>
      </c>
      <c r="AB411" s="5">
        <v>-5.7862999999999998E-5</v>
      </c>
      <c r="AC411" s="15">
        <v>-2.0332E-7</v>
      </c>
      <c r="AD411" s="146">
        <v>68.113</v>
      </c>
      <c r="AE411" s="147">
        <v>0.38</v>
      </c>
      <c r="AF411" s="150">
        <v>51.692</v>
      </c>
      <c r="AG411" s="152">
        <v>1.2222</v>
      </c>
    </row>
    <row r="412" spans="1:33" x14ac:dyDescent="0.2">
      <c r="A412" s="27">
        <v>12</v>
      </c>
      <c r="B412" s="69">
        <v>4.7246963437499998</v>
      </c>
      <c r="C412" s="28">
        <f t="shared" si="26"/>
        <v>0.22053533437110992</v>
      </c>
      <c r="D412" s="52">
        <v>170.33799999999999</v>
      </c>
      <c r="E412" s="47">
        <v>637.53</v>
      </c>
      <c r="F412" s="44">
        <v>18.170000000000002</v>
      </c>
      <c r="G412" s="11">
        <v>6.8950000000000001E-4</v>
      </c>
      <c r="H412" s="61">
        <f t="shared" si="27"/>
        <v>247.22496371552973</v>
      </c>
      <c r="I412" s="29">
        <f t="shared" si="28"/>
        <v>0.2361910859960909</v>
      </c>
      <c r="J412" s="52">
        <v>0.49099999999999999</v>
      </c>
      <c r="K412" s="75">
        <v>-5.4320000000000004</v>
      </c>
      <c r="L412" s="81">
        <v>1065.3</v>
      </c>
      <c r="M412" s="13">
        <v>9.4999999999999998E-3</v>
      </c>
      <c r="N412" s="12">
        <v>-9.1005000000000004E-6</v>
      </c>
      <c r="O412" s="93">
        <v>0.24709999999999999</v>
      </c>
      <c r="P412" s="94">
        <v>0.25800000000000001</v>
      </c>
      <c r="Q412" s="95">
        <v>0.28570000000000001</v>
      </c>
      <c r="R412" s="111">
        <v>25.946999999999999</v>
      </c>
      <c r="S412" s="118">
        <v>-3574.6</v>
      </c>
      <c r="T412" s="125">
        <v>-5.7784000000000004</v>
      </c>
      <c r="U412" s="14">
        <v>0</v>
      </c>
      <c r="V412" s="30">
        <v>0</v>
      </c>
      <c r="W412" s="138">
        <v>227.203</v>
      </c>
      <c r="X412" s="13">
        <v>0.91185000000000005</v>
      </c>
      <c r="Y412" s="14">
        <v>-2.4765999999999998E-3</v>
      </c>
      <c r="Z412" s="30">
        <v>3.2901000000000001E-6</v>
      </c>
      <c r="AA412" s="77">
        <v>0.16159999999999999</v>
      </c>
      <c r="AB412" s="5">
        <v>-6.7822000000000002E-5</v>
      </c>
      <c r="AC412" s="15">
        <v>-2.0440999999999999E-7</v>
      </c>
      <c r="AD412" s="146">
        <v>67.569999999999993</v>
      </c>
      <c r="AE412" s="147">
        <v>0.38</v>
      </c>
      <c r="AF412" s="150">
        <v>51.837000000000003</v>
      </c>
      <c r="AG412" s="152">
        <v>1.2222</v>
      </c>
    </row>
    <row r="413" spans="1:33" x14ac:dyDescent="0.2">
      <c r="A413" s="27">
        <v>12</v>
      </c>
      <c r="B413" s="69">
        <v>5.3794290362500004</v>
      </c>
      <c r="C413" s="28">
        <f t="shared" si="26"/>
        <v>0.26170067867760238</v>
      </c>
      <c r="D413" s="52">
        <v>170.33799999999999</v>
      </c>
      <c r="E413" s="47">
        <v>643.91999999999996</v>
      </c>
      <c r="F413" s="44">
        <v>18.22</v>
      </c>
      <c r="G413" s="11">
        <v>6.9050000000000003E-4</v>
      </c>
      <c r="H413" s="61">
        <f t="shared" si="27"/>
        <v>246.86666666666667</v>
      </c>
      <c r="I413" s="29">
        <f t="shared" si="28"/>
        <v>0.23483105478582839</v>
      </c>
      <c r="J413" s="52">
        <v>0.46100000000000002</v>
      </c>
      <c r="K413" s="75">
        <v>-5.2161999999999997</v>
      </c>
      <c r="L413" s="81">
        <v>1044.5999999999999</v>
      </c>
      <c r="M413" s="13">
        <v>8.8999999999999999E-3</v>
      </c>
      <c r="N413" s="12">
        <v>-8.4516000000000005E-6</v>
      </c>
      <c r="O413" s="93">
        <v>0.2467</v>
      </c>
      <c r="P413" s="94">
        <v>0.25559999999999999</v>
      </c>
      <c r="Q413" s="95">
        <v>0.28570000000000001</v>
      </c>
      <c r="R413" s="111">
        <v>25.526</v>
      </c>
      <c r="S413" s="118">
        <v>-3533.3</v>
      </c>
      <c r="T413" s="125">
        <v>-5.6619000000000002</v>
      </c>
      <c r="U413" s="14">
        <v>0</v>
      </c>
      <c r="V413" s="30">
        <v>0</v>
      </c>
      <c r="W413" s="138">
        <v>213.00899999999999</v>
      </c>
      <c r="X413" s="13">
        <v>0.98155999999999999</v>
      </c>
      <c r="Y413" s="14">
        <v>-2.5945999999999999E-3</v>
      </c>
      <c r="Z413" s="30">
        <v>3.3071999999999999E-6</v>
      </c>
      <c r="AA413" s="77">
        <v>0.15809999999999999</v>
      </c>
      <c r="AB413" s="5">
        <v>-5.8060000000000003E-5</v>
      </c>
      <c r="AC413" s="15">
        <v>-2.0690999999999999E-7</v>
      </c>
      <c r="AD413" s="146">
        <v>67.483999999999995</v>
      </c>
      <c r="AE413" s="147">
        <v>0.38</v>
      </c>
      <c r="AF413" s="150">
        <v>51.539000000000001</v>
      </c>
      <c r="AG413" s="152">
        <v>1.2222</v>
      </c>
    </row>
    <row r="414" spans="1:33" x14ac:dyDescent="0.2">
      <c r="A414" s="27">
        <v>12</v>
      </c>
      <c r="B414" s="69">
        <v>3.7414556024999999</v>
      </c>
      <c r="C414" s="28">
        <f t="shared" si="26"/>
        <v>0.15871553506465161</v>
      </c>
      <c r="D414" s="52">
        <v>170.33799999999999</v>
      </c>
      <c r="E414" s="47">
        <v>644.34</v>
      </c>
      <c r="F414" s="44">
        <v>18.170000000000002</v>
      </c>
      <c r="G414" s="11">
        <v>6.8950000000000001E-4</v>
      </c>
      <c r="H414" s="61">
        <f t="shared" si="27"/>
        <v>247.22496371552973</v>
      </c>
      <c r="I414" s="29">
        <f t="shared" si="28"/>
        <v>0.23369479320713882</v>
      </c>
      <c r="J414" s="52">
        <v>0.49099999999999999</v>
      </c>
      <c r="K414" s="75">
        <v>-5.5182000000000002</v>
      </c>
      <c r="L414" s="81">
        <v>1088.0999999999999</v>
      </c>
      <c r="M414" s="13">
        <v>9.5999999999999992E-3</v>
      </c>
      <c r="N414" s="12">
        <v>-9.0461999999999999E-6</v>
      </c>
      <c r="O414" s="93">
        <v>0.24709999999999999</v>
      </c>
      <c r="P414" s="94">
        <v>0.25369999999999998</v>
      </c>
      <c r="Q414" s="95">
        <v>0.28570000000000001</v>
      </c>
      <c r="R414" s="111">
        <v>25.72</v>
      </c>
      <c r="S414" s="118">
        <v>-3593.7</v>
      </c>
      <c r="T414" s="125">
        <v>-5.6986999999999997</v>
      </c>
      <c r="U414" s="14">
        <v>0</v>
      </c>
      <c r="V414" s="30">
        <v>0</v>
      </c>
      <c r="W414" s="138">
        <v>228.28700000000001</v>
      </c>
      <c r="X414" s="13">
        <v>0.90412000000000003</v>
      </c>
      <c r="Y414" s="14">
        <v>-2.4378999999999998E-3</v>
      </c>
      <c r="Z414" s="30">
        <v>3.2260000000000001E-6</v>
      </c>
      <c r="AA414" s="77">
        <v>0.16170000000000001</v>
      </c>
      <c r="AB414" s="5">
        <v>-6.7345E-5</v>
      </c>
      <c r="AC414" s="15">
        <v>-2.001E-7</v>
      </c>
      <c r="AD414" s="146">
        <v>68.36</v>
      </c>
      <c r="AE414" s="147">
        <v>0.38</v>
      </c>
      <c r="AF414" s="150">
        <v>52.03</v>
      </c>
      <c r="AG414" s="152">
        <v>1.2222</v>
      </c>
    </row>
    <row r="415" spans="1:33" x14ac:dyDescent="0.2">
      <c r="A415" s="27">
        <v>12</v>
      </c>
      <c r="B415" s="69">
        <v>7.2741688875000001</v>
      </c>
      <c r="C415" s="28">
        <f t="shared" si="26"/>
        <v>0.38082962892158073</v>
      </c>
      <c r="D415" s="52">
        <v>170.33799999999999</v>
      </c>
      <c r="E415" s="47">
        <v>648.03</v>
      </c>
      <c r="F415" s="44">
        <v>18.22</v>
      </c>
      <c r="G415" s="11">
        <v>6.9050000000000003E-4</v>
      </c>
      <c r="H415" s="61">
        <f t="shared" si="27"/>
        <v>246.86666666666667</v>
      </c>
      <c r="I415" s="29">
        <f t="shared" si="28"/>
        <v>0.23334168602949029</v>
      </c>
      <c r="J415" s="52">
        <v>0.46100000000000002</v>
      </c>
      <c r="K415" s="75">
        <v>-5.2682000000000002</v>
      </c>
      <c r="L415" s="81">
        <v>1058.2</v>
      </c>
      <c r="M415" s="13">
        <v>8.8999999999999999E-3</v>
      </c>
      <c r="N415" s="12">
        <v>-8.4264999999999997E-6</v>
      </c>
      <c r="O415" s="93">
        <v>0.2467</v>
      </c>
      <c r="P415" s="94">
        <v>0.24660000000000001</v>
      </c>
      <c r="Q415" s="95">
        <v>0.28570000000000001</v>
      </c>
      <c r="R415" s="111">
        <v>25.393000000000001</v>
      </c>
      <c r="S415" s="118">
        <v>-3544.7</v>
      </c>
      <c r="T415" s="125">
        <v>-5.6151</v>
      </c>
      <c r="U415" s="14">
        <v>0</v>
      </c>
      <c r="V415" s="30">
        <v>0</v>
      </c>
      <c r="W415" s="138">
        <v>210.19300000000001</v>
      </c>
      <c r="X415" s="13">
        <v>1.0026999999999999</v>
      </c>
      <c r="Y415" s="14">
        <v>-2.6476E-3</v>
      </c>
      <c r="Z415" s="30">
        <v>3.3637999999999999E-6</v>
      </c>
      <c r="AA415" s="77">
        <v>0.15820000000000001</v>
      </c>
      <c r="AB415" s="5">
        <v>-5.7912999999999999E-5</v>
      </c>
      <c r="AC415" s="15">
        <v>-2.0421E-7</v>
      </c>
      <c r="AD415" s="146">
        <v>67.954999999999998</v>
      </c>
      <c r="AE415" s="147">
        <v>0.38</v>
      </c>
      <c r="AF415" s="150">
        <v>51.654000000000003</v>
      </c>
      <c r="AG415" s="152">
        <v>1.2222</v>
      </c>
    </row>
    <row r="416" spans="1:33" x14ac:dyDescent="0.2">
      <c r="A416" s="27">
        <v>12</v>
      </c>
      <c r="B416" s="69">
        <v>3.1214057099999999</v>
      </c>
      <c r="C416" s="28">
        <f t="shared" si="26"/>
        <v>0.11973082022705225</v>
      </c>
      <c r="D416" s="52">
        <v>170.33799999999999</v>
      </c>
      <c r="E416" s="47">
        <v>639.37</v>
      </c>
      <c r="F416" s="44">
        <v>18.05</v>
      </c>
      <c r="G416" s="11">
        <v>6.9550000000000005E-4</v>
      </c>
      <c r="H416" s="61">
        <f t="shared" si="27"/>
        <v>245.09064748201439</v>
      </c>
      <c r="I416" s="29">
        <f t="shared" si="28"/>
        <v>0.23599333402333678</v>
      </c>
      <c r="J416" s="52">
        <v>0.51900000000000002</v>
      </c>
      <c r="K416" s="75">
        <v>-5.0492999999999997</v>
      </c>
      <c r="L416" s="81">
        <v>936.5</v>
      </c>
      <c r="M416" s="13">
        <v>9.4000000000000004E-3</v>
      </c>
      <c r="N416" s="12">
        <v>-9.4143999999999992E-6</v>
      </c>
      <c r="O416" s="93">
        <v>0.24490000000000001</v>
      </c>
      <c r="P416" s="94">
        <v>0.25950000000000001</v>
      </c>
      <c r="Q416" s="95">
        <v>0.28570000000000001</v>
      </c>
      <c r="R416" s="111">
        <v>26.071999999999999</v>
      </c>
      <c r="S416" s="118">
        <v>-3634.9</v>
      </c>
      <c r="T416" s="125">
        <v>-5.7934000000000001</v>
      </c>
      <c r="U416" s="14">
        <v>0</v>
      </c>
      <c r="V416" s="30">
        <v>0</v>
      </c>
      <c r="W416" s="138">
        <v>221.941</v>
      </c>
      <c r="X416" s="13">
        <v>0.98394999999999999</v>
      </c>
      <c r="Y416" s="14">
        <v>-2.6540999999999999E-3</v>
      </c>
      <c r="Z416" s="30">
        <v>3.4294999999999999E-6</v>
      </c>
      <c r="AA416" s="77">
        <v>0.1615</v>
      </c>
      <c r="AB416" s="5">
        <v>-6.2438000000000001E-5</v>
      </c>
      <c r="AC416" s="15">
        <v>-2.107E-7</v>
      </c>
      <c r="AD416" s="146">
        <v>68.61</v>
      </c>
      <c r="AE416" s="147">
        <v>0.38</v>
      </c>
      <c r="AF416" s="150">
        <v>52.273000000000003</v>
      </c>
      <c r="AG416" s="152">
        <v>1.2222</v>
      </c>
    </row>
    <row r="417" spans="1:33" x14ac:dyDescent="0.2">
      <c r="A417" s="27">
        <v>12</v>
      </c>
      <c r="B417" s="69">
        <v>4.1582937624999996</v>
      </c>
      <c r="C417" s="28">
        <f t="shared" si="26"/>
        <v>0.18492361444276326</v>
      </c>
      <c r="D417" s="52">
        <v>170.33799999999999</v>
      </c>
      <c r="E417" s="47">
        <v>649.73</v>
      </c>
      <c r="F417" s="44">
        <v>18.09</v>
      </c>
      <c r="G417" s="11">
        <v>6.9649999999999996E-4</v>
      </c>
      <c r="H417" s="61">
        <f t="shared" si="27"/>
        <v>244.73850574712645</v>
      </c>
      <c r="I417" s="29">
        <f t="shared" si="28"/>
        <v>0.23307992323422538</v>
      </c>
      <c r="J417" s="52">
        <v>0.48899999999999999</v>
      </c>
      <c r="K417" s="75">
        <v>-4.8131000000000004</v>
      </c>
      <c r="L417" s="81">
        <v>920.19</v>
      </c>
      <c r="M417" s="13">
        <v>8.6999999999999994E-3</v>
      </c>
      <c r="N417" s="12">
        <v>-8.5956999999999997E-6</v>
      </c>
      <c r="O417" s="93">
        <v>0.24460000000000001</v>
      </c>
      <c r="P417" s="94">
        <v>0.25729999999999997</v>
      </c>
      <c r="Q417" s="95">
        <v>0.28570000000000001</v>
      </c>
      <c r="R417" s="111">
        <v>25.521000000000001</v>
      </c>
      <c r="S417" s="118">
        <v>-3605</v>
      </c>
      <c r="T417" s="125">
        <v>-5.6315999999999997</v>
      </c>
      <c r="U417" s="14">
        <v>0</v>
      </c>
      <c r="V417" s="30">
        <v>0</v>
      </c>
      <c r="W417" s="138">
        <v>209.17699999999999</v>
      </c>
      <c r="X417" s="13">
        <v>1.0418000000000001</v>
      </c>
      <c r="Y417" s="14">
        <v>-2.7231E-3</v>
      </c>
      <c r="Z417" s="30">
        <v>3.3728999999999999E-6</v>
      </c>
      <c r="AA417" s="77">
        <v>0.15790000000000001</v>
      </c>
      <c r="AB417" s="5">
        <v>-5.2172000000000001E-5</v>
      </c>
      <c r="AC417" s="15">
        <v>-2.1080999999999999E-7</v>
      </c>
      <c r="AD417" s="146">
        <v>68.998999999999995</v>
      </c>
      <c r="AE417" s="147">
        <v>0.38</v>
      </c>
      <c r="AF417" s="150">
        <v>52.079000000000001</v>
      </c>
      <c r="AG417" s="152">
        <v>1.2222</v>
      </c>
    </row>
    <row r="418" spans="1:33" x14ac:dyDescent="0.2">
      <c r="A418" s="27">
        <v>12</v>
      </c>
      <c r="B418" s="69">
        <v>3.5004782974999999</v>
      </c>
      <c r="C418" s="28">
        <f t="shared" si="26"/>
        <v>0.14356444540010788</v>
      </c>
      <c r="D418" s="52">
        <v>170.33799999999999</v>
      </c>
      <c r="E418" s="47">
        <v>642.08000000000004</v>
      </c>
      <c r="F418" s="44">
        <v>18.05</v>
      </c>
      <c r="G418" s="11">
        <v>6.9550000000000005E-4</v>
      </c>
      <c r="H418" s="61">
        <f t="shared" si="27"/>
        <v>245.09064748201439</v>
      </c>
      <c r="I418" s="29">
        <f t="shared" si="28"/>
        <v>0.2349972869027237</v>
      </c>
      <c r="J418" s="52">
        <v>0.51900000000000002</v>
      </c>
      <c r="K418" s="75">
        <v>-5.0640000000000001</v>
      </c>
      <c r="L418" s="81">
        <v>943.13</v>
      </c>
      <c r="M418" s="13">
        <v>9.4000000000000004E-3</v>
      </c>
      <c r="N418" s="12">
        <v>-9.3503999999999994E-6</v>
      </c>
      <c r="O418" s="93">
        <v>0.24490000000000001</v>
      </c>
      <c r="P418" s="94">
        <v>0.25950000000000001</v>
      </c>
      <c r="Q418" s="95">
        <v>0.28570000000000001</v>
      </c>
      <c r="R418" s="111">
        <v>25.981000000000002</v>
      </c>
      <c r="S418" s="118">
        <v>-3642.7</v>
      </c>
      <c r="T418" s="125">
        <v>-5.7615999999999996</v>
      </c>
      <c r="U418" s="14">
        <v>0</v>
      </c>
      <c r="V418" s="30">
        <v>0</v>
      </c>
      <c r="W418" s="138">
        <v>223.334</v>
      </c>
      <c r="X418" s="13">
        <v>0.97345999999999999</v>
      </c>
      <c r="Y418" s="14">
        <v>-2.6161999999999999E-3</v>
      </c>
      <c r="Z418" s="30">
        <v>3.3762E-6</v>
      </c>
      <c r="AA418" s="77">
        <v>0.16159999999999999</v>
      </c>
      <c r="AB418" s="5">
        <v>-6.2297000000000003E-5</v>
      </c>
      <c r="AC418" s="15">
        <v>-2.0889000000000001E-7</v>
      </c>
      <c r="AD418" s="146">
        <v>68.929000000000002</v>
      </c>
      <c r="AE418" s="147">
        <v>0.38</v>
      </c>
      <c r="AF418" s="150">
        <v>52.35</v>
      </c>
      <c r="AG418" s="152">
        <v>1.2222</v>
      </c>
    </row>
    <row r="419" spans="1:33" x14ac:dyDescent="0.2">
      <c r="A419" s="27">
        <v>12</v>
      </c>
      <c r="B419" s="69">
        <v>2.8199183925</v>
      </c>
      <c r="C419" s="28">
        <f t="shared" si="26"/>
        <v>0.10077525351853893</v>
      </c>
      <c r="D419" s="52">
        <v>170.33799999999999</v>
      </c>
      <c r="E419" s="47">
        <v>640.72</v>
      </c>
      <c r="F419" s="44">
        <v>18.05</v>
      </c>
      <c r="G419" s="11">
        <v>6.9550000000000005E-4</v>
      </c>
      <c r="H419" s="61">
        <f t="shared" si="27"/>
        <v>245.09064748201439</v>
      </c>
      <c r="I419" s="29">
        <f t="shared" si="28"/>
        <v>0.23549609497830695</v>
      </c>
      <c r="J419" s="52">
        <v>0.51900000000000002</v>
      </c>
      <c r="K419" s="75">
        <v>-5.0568</v>
      </c>
      <c r="L419" s="81">
        <v>939.84</v>
      </c>
      <c r="M419" s="13">
        <v>9.4000000000000004E-3</v>
      </c>
      <c r="N419" s="12">
        <v>-9.3825000000000004E-6</v>
      </c>
      <c r="O419" s="93">
        <v>0.24490000000000001</v>
      </c>
      <c r="P419" s="94">
        <v>0.25700000000000001</v>
      </c>
      <c r="Q419" s="95">
        <v>0.28570000000000001</v>
      </c>
      <c r="R419" s="111">
        <v>26.026</v>
      </c>
      <c r="S419" s="118">
        <v>-3638.8</v>
      </c>
      <c r="T419" s="125">
        <v>-5.7774000000000001</v>
      </c>
      <c r="U419" s="14">
        <v>0</v>
      </c>
      <c r="V419" s="30">
        <v>0</v>
      </c>
      <c r="W419" s="138">
        <v>221.31</v>
      </c>
      <c r="X419" s="13">
        <v>0.98887999999999998</v>
      </c>
      <c r="Y419" s="14">
        <v>-2.6657E-3</v>
      </c>
      <c r="Z419" s="30">
        <v>3.4410000000000002E-6</v>
      </c>
      <c r="AA419" s="77">
        <v>0.1615</v>
      </c>
      <c r="AB419" s="5">
        <v>-6.2367999999999996E-5</v>
      </c>
      <c r="AC419" s="15">
        <v>-2.0979E-7</v>
      </c>
      <c r="AD419" s="146">
        <v>68.77</v>
      </c>
      <c r="AE419" s="147">
        <v>0.38</v>
      </c>
      <c r="AF419" s="150">
        <v>52.311</v>
      </c>
      <c r="AG419" s="152">
        <v>1.2222</v>
      </c>
    </row>
    <row r="420" spans="1:33" x14ac:dyDescent="0.2">
      <c r="A420" s="27">
        <v>12</v>
      </c>
      <c r="B420" s="69">
        <v>5.7852950400000003</v>
      </c>
      <c r="C420" s="28">
        <f t="shared" ref="C420:C483" si="29">(B420-MIN($B$292:$B$645))/(MAX($B$292:$B$645)-MIN($B$292:$B$645))</f>
        <v>0.28721890004955397</v>
      </c>
      <c r="D420" s="52">
        <v>170.33799999999999</v>
      </c>
      <c r="E420" s="47">
        <v>638.89</v>
      </c>
      <c r="F420" s="44">
        <v>18.170000000000002</v>
      </c>
      <c r="G420" s="11">
        <v>6.8950000000000001E-4</v>
      </c>
      <c r="H420" s="61">
        <f t="shared" si="27"/>
        <v>247.22496371552973</v>
      </c>
      <c r="I420" s="29">
        <f t="shared" si="28"/>
        <v>0.23568830793264542</v>
      </c>
      <c r="J420" s="52">
        <v>0.49099999999999999</v>
      </c>
      <c r="K420" s="75">
        <v>-4.8266</v>
      </c>
      <c r="L420" s="81">
        <v>903.46</v>
      </c>
      <c r="M420" s="13">
        <v>8.8999999999999999E-3</v>
      </c>
      <c r="N420" s="12">
        <v>-8.9615000000000005E-6</v>
      </c>
      <c r="O420" s="93">
        <v>0.24709999999999999</v>
      </c>
      <c r="P420" s="94">
        <v>0.26050000000000001</v>
      </c>
      <c r="Q420" s="95">
        <v>0.28570000000000001</v>
      </c>
      <c r="R420" s="111">
        <v>25.901</v>
      </c>
      <c r="S420" s="118">
        <v>-3578.4</v>
      </c>
      <c r="T420" s="125">
        <v>-5.7622999999999998</v>
      </c>
      <c r="U420" s="14">
        <v>0</v>
      </c>
      <c r="V420" s="30">
        <v>0</v>
      </c>
      <c r="W420" s="138">
        <v>229.036</v>
      </c>
      <c r="X420" s="13">
        <v>0.89792000000000005</v>
      </c>
      <c r="Y420" s="14">
        <v>-2.431E-3</v>
      </c>
      <c r="Z420" s="30">
        <v>3.2287000000000001E-6</v>
      </c>
      <c r="AA420" s="77">
        <v>0.16159999999999999</v>
      </c>
      <c r="AB420" s="5">
        <v>-6.7725999999999995E-5</v>
      </c>
      <c r="AC420" s="15">
        <v>-2.0354000000000001E-7</v>
      </c>
      <c r="AD420" s="146">
        <v>67.727999999999994</v>
      </c>
      <c r="AE420" s="147">
        <v>0.38</v>
      </c>
      <c r="AF420" s="150">
        <v>51.875999999999998</v>
      </c>
      <c r="AG420" s="152">
        <v>1.2222</v>
      </c>
    </row>
    <row r="421" spans="1:33" x14ac:dyDescent="0.2">
      <c r="A421" s="27">
        <v>12</v>
      </c>
      <c r="B421" s="69">
        <v>5.6561291875000004</v>
      </c>
      <c r="C421" s="28">
        <f t="shared" si="29"/>
        <v>0.27909778917222577</v>
      </c>
      <c r="D421" s="52">
        <v>170.33799999999999</v>
      </c>
      <c r="E421" s="47">
        <v>639.80999999999995</v>
      </c>
      <c r="F421" s="44">
        <v>18.22</v>
      </c>
      <c r="G421" s="11">
        <v>6.9050000000000003E-4</v>
      </c>
      <c r="H421" s="61">
        <f t="shared" si="27"/>
        <v>246.86666666666667</v>
      </c>
      <c r="I421" s="29">
        <f t="shared" si="28"/>
        <v>0.23633955830276271</v>
      </c>
      <c r="J421" s="52">
        <v>0.46100000000000002</v>
      </c>
      <c r="K421" s="75">
        <v>-5.1588000000000003</v>
      </c>
      <c r="L421" s="81">
        <v>1030.3</v>
      </c>
      <c r="M421" s="13">
        <v>8.8000000000000005E-3</v>
      </c>
      <c r="N421" s="12">
        <v>-8.4690999999999999E-6</v>
      </c>
      <c r="O421" s="93">
        <v>0.2467</v>
      </c>
      <c r="P421" s="94">
        <v>0.25540000000000002</v>
      </c>
      <c r="Q421" s="95">
        <v>0.28570000000000001</v>
      </c>
      <c r="R421" s="111">
        <v>25.661000000000001</v>
      </c>
      <c r="S421" s="118">
        <v>-3522.1</v>
      </c>
      <c r="T421" s="125">
        <v>-5.7095000000000002</v>
      </c>
      <c r="U421" s="14">
        <v>0</v>
      </c>
      <c r="V421" s="30">
        <v>0</v>
      </c>
      <c r="W421" s="138">
        <v>210.791</v>
      </c>
      <c r="X421" s="13">
        <v>0.99846999999999997</v>
      </c>
      <c r="Y421" s="14">
        <v>-2.6540999999999999E-3</v>
      </c>
      <c r="Z421" s="30">
        <v>3.3892999999999999E-6</v>
      </c>
      <c r="AA421" s="77">
        <v>0.158</v>
      </c>
      <c r="AB421" s="5">
        <v>-5.8205000000000003E-5</v>
      </c>
      <c r="AC421" s="15">
        <v>-2.0968000000000001E-7</v>
      </c>
      <c r="AD421" s="146">
        <v>67.012</v>
      </c>
      <c r="AE421" s="147">
        <v>0.38</v>
      </c>
      <c r="AF421" s="150">
        <v>51.423999999999999</v>
      </c>
      <c r="AG421" s="152">
        <v>1.2222</v>
      </c>
    </row>
    <row r="422" spans="1:33" x14ac:dyDescent="0.2">
      <c r="A422" s="27">
        <v>12</v>
      </c>
      <c r="B422" s="69">
        <v>4.4945357250000004</v>
      </c>
      <c r="C422" s="28">
        <f t="shared" si="29"/>
        <v>0.20606432776769509</v>
      </c>
      <c r="D422" s="52">
        <v>170.33799999999999</v>
      </c>
      <c r="E422" s="44">
        <v>653.51</v>
      </c>
      <c r="F422" s="44">
        <v>18.22</v>
      </c>
      <c r="G422" s="11">
        <v>6.9050000000000003E-4</v>
      </c>
      <c r="H422" s="61">
        <f t="shared" si="27"/>
        <v>246.86666666666667</v>
      </c>
      <c r="I422" s="29">
        <f t="shared" si="28"/>
        <v>0.23138500221525396</v>
      </c>
      <c r="J422" s="52">
        <v>0.46100000000000002</v>
      </c>
      <c r="K422" s="75">
        <v>-5.33</v>
      </c>
      <c r="L422" s="81">
        <v>1075.3</v>
      </c>
      <c r="M422" s="13">
        <v>8.9999999999999993E-3</v>
      </c>
      <c r="N422" s="12">
        <v>-8.3828000000000004E-6</v>
      </c>
      <c r="O422" s="93">
        <v>0.2467</v>
      </c>
      <c r="P422" s="94">
        <v>0.2492</v>
      </c>
      <c r="Q422" s="95">
        <v>0.28570000000000001</v>
      </c>
      <c r="R422" s="111">
        <v>25.218</v>
      </c>
      <c r="S422" s="118">
        <v>-3559.9</v>
      </c>
      <c r="T422" s="125">
        <v>-5.5537999999999998</v>
      </c>
      <c r="U422" s="14">
        <v>0</v>
      </c>
      <c r="V422" s="30">
        <v>0</v>
      </c>
      <c r="W422" s="138">
        <v>214.39</v>
      </c>
      <c r="X422" s="13">
        <v>0.97106000000000003</v>
      </c>
      <c r="Y422" s="14">
        <v>-2.5422000000000001E-3</v>
      </c>
      <c r="Z422" s="30">
        <v>3.2231999999999999E-6</v>
      </c>
      <c r="AA422" s="77">
        <v>0.1583</v>
      </c>
      <c r="AB422" s="5">
        <v>-5.7713000000000001E-5</v>
      </c>
      <c r="AC422" s="15">
        <v>-2.0069000000000001E-7</v>
      </c>
      <c r="AD422" s="146">
        <v>68.584999999999994</v>
      </c>
      <c r="AE422" s="147">
        <v>0.38</v>
      </c>
      <c r="AF422" s="150">
        <v>51.805999999999997</v>
      </c>
      <c r="AG422" s="152">
        <v>1.2222</v>
      </c>
    </row>
    <row r="423" spans="1:33" x14ac:dyDescent="0.2">
      <c r="A423" s="27">
        <v>12</v>
      </c>
      <c r="B423" s="69">
        <v>4.7272974187500001</v>
      </c>
      <c r="C423" s="28">
        <f t="shared" si="29"/>
        <v>0.22069887309335268</v>
      </c>
      <c r="D423" s="52">
        <v>170.33799999999999</v>
      </c>
      <c r="E423" s="44">
        <v>634.79999999999995</v>
      </c>
      <c r="F423" s="68" t="str" cm="1">
        <f t="array" ref="F423">LEFT(INDEX($F$292:$F$645, MATCH(MIN(IF(ABS($B$292:$B$645-B423)&lt;&gt;0, ABS($B$292:$B$645-B423))), IF(ABS($B$292:$B$645-B423)&lt;&gt;0, ABS($B$292:$B$645-B423)), 0)),5)</f>
        <v>18.17</v>
      </c>
      <c r="G423" s="39" t="str" cm="1">
        <f t="array" ref="G423">LEFT(INDEX($G$292:$G$645, MATCH(MIN(IF(ABS($B$292:$B$645-B423)&lt;&gt;0, ABS($B$292:$B$645-B423))), IF(ABS($B$292:$B$645-B423)&lt;&gt;0, ABS($B$292:$B$645-B423)), 0)),8)</f>
        <v>0.000689</v>
      </c>
      <c r="H423" s="46">
        <f t="shared" si="27"/>
        <v>247.22496371552973</v>
      </c>
      <c r="I423" s="54">
        <f t="shared" si="28"/>
        <v>0.23720684161166958</v>
      </c>
      <c r="J423" s="63" t="str" cm="1">
        <f t="array" ref="J423">LEFT(INDEX($J$292:$J$645, MATCH(MIN(IF(ABS($B$292:$B$645-B423)&lt;&gt;0, ABS($B$292:$B$645-B423))), IF(ABS($B$292:$B$645-B423)&lt;&gt;0, ABS($B$292:$B$645-B423)), 0)),5)</f>
        <v>0.491</v>
      </c>
      <c r="K423" s="75">
        <v>-5.3930999999999996</v>
      </c>
      <c r="L423" s="81">
        <v>1055.5999999999999</v>
      </c>
      <c r="M423" s="13">
        <v>9.4999999999999998E-3</v>
      </c>
      <c r="N423" s="12">
        <v>-9.1160000000000005E-6</v>
      </c>
      <c r="O423" s="93">
        <v>0.24709999999999999</v>
      </c>
      <c r="P423" s="94">
        <v>0.2576</v>
      </c>
      <c r="Q423" s="95">
        <v>0.28570000000000001</v>
      </c>
      <c r="R423" s="111">
        <v>26.039000000000001</v>
      </c>
      <c r="S423" s="118">
        <v>-3566.9</v>
      </c>
      <c r="T423" s="125">
        <v>-5.8108000000000004</v>
      </c>
      <c r="U423" s="14">
        <v>0</v>
      </c>
      <c r="V423" s="30">
        <v>0</v>
      </c>
      <c r="W423" s="138">
        <v>225.744</v>
      </c>
      <c r="X423" s="13">
        <v>0.92286999999999997</v>
      </c>
      <c r="Y423" s="14">
        <v>-2.5165000000000001E-3</v>
      </c>
      <c r="Z423" s="30">
        <v>3.3473999999999999E-6</v>
      </c>
      <c r="AA423" s="77">
        <v>0.16159999999999999</v>
      </c>
      <c r="AB423" s="5">
        <v>-6.8013000000000001E-5</v>
      </c>
      <c r="AC423" s="15">
        <v>-2.0618000000000001E-7</v>
      </c>
      <c r="AD423" s="146">
        <v>67.253</v>
      </c>
      <c r="AE423" s="147">
        <v>0.38</v>
      </c>
      <c r="AF423" s="150">
        <v>51.759</v>
      </c>
      <c r="AG423" s="152">
        <v>1.2222</v>
      </c>
    </row>
    <row r="424" spans="1:33" x14ac:dyDescent="0.2">
      <c r="A424" s="27">
        <v>12</v>
      </c>
      <c r="B424" s="69">
        <v>3.7417423725000001</v>
      </c>
      <c r="C424" s="28">
        <f t="shared" si="29"/>
        <v>0.15873356530191027</v>
      </c>
      <c r="D424" s="52">
        <v>170.33799999999999</v>
      </c>
      <c r="E424" s="44">
        <v>641.61</v>
      </c>
      <c r="F424" s="68" t="str" cm="1">
        <f t="array" ref="F424">LEFT(INDEX($F$292:$F$645, MATCH(MIN(IF(ABS($B$292:$B$645-B424)&lt;&gt;0, ABS($B$292:$B$645-B424))), IF(ABS($B$292:$B$645-B424)&lt;&gt;0, ABS($B$292:$B$645-B424)), 0)),5)</f>
        <v>18.17</v>
      </c>
      <c r="G424" s="39" t="str" cm="1">
        <f t="array" ref="G424">LEFT(INDEX($G$292:$G$645, MATCH(MIN(IF(ABS($B$292:$B$645-B424)&lt;&gt;0, ABS($B$292:$B$645-B424))), IF(ABS($B$292:$B$645-B424)&lt;&gt;0, ABS($B$292:$B$645-B424)), 0)),8)</f>
        <v>0.000689</v>
      </c>
      <c r="H424" s="46">
        <f t="shared" si="27"/>
        <v>247.22496371552973</v>
      </c>
      <c r="I424" s="54">
        <f t="shared" si="28"/>
        <v>0.2346891461403155</v>
      </c>
      <c r="J424" s="63" t="str" cm="1">
        <f t="array" ref="J424">LEFT(INDEX($J$292:$J$645, MATCH(MIN(IF(ABS($B$292:$B$645-B424)&lt;&gt;0, ABS($B$292:$B$645-B424))), IF(ABS($B$292:$B$645-B424)&lt;&gt;0, ABS($B$292:$B$645-B424)), 0)),5)</f>
        <v>0.491</v>
      </c>
      <c r="K424" s="75">
        <v>-5.4855999999999998</v>
      </c>
      <c r="L424" s="81">
        <v>1079.2</v>
      </c>
      <c r="M424" s="13">
        <v>9.5999999999999992E-3</v>
      </c>
      <c r="N424" s="12">
        <v>-9.0704000000000004E-6</v>
      </c>
      <c r="O424" s="93">
        <v>0.24709999999999999</v>
      </c>
      <c r="P424" s="94">
        <v>0.25340000000000001</v>
      </c>
      <c r="Q424" s="95">
        <v>0.28570000000000001</v>
      </c>
      <c r="R424" s="111">
        <v>25.81</v>
      </c>
      <c r="S424" s="118">
        <v>-3586</v>
      </c>
      <c r="T424" s="125">
        <v>-5.7302999999999997</v>
      </c>
      <c r="U424" s="14">
        <v>0</v>
      </c>
      <c r="V424" s="30">
        <v>0</v>
      </c>
      <c r="W424" s="138">
        <v>226.858</v>
      </c>
      <c r="X424" s="13">
        <v>0.91481999999999997</v>
      </c>
      <c r="Y424" s="14">
        <v>-2.4765E-3</v>
      </c>
      <c r="Z424" s="30">
        <v>3.2812E-6</v>
      </c>
      <c r="AA424" s="77">
        <v>0.16170000000000001</v>
      </c>
      <c r="AB424" s="5">
        <v>-6.7535999999999998E-5</v>
      </c>
      <c r="AC424" s="15">
        <v>-2.0181000000000001E-7</v>
      </c>
      <c r="AD424" s="146">
        <v>68.043999999999997</v>
      </c>
      <c r="AE424" s="147">
        <v>0.38</v>
      </c>
      <c r="AF424" s="150">
        <v>51.953000000000003</v>
      </c>
      <c r="AG424" s="152">
        <v>1.2222</v>
      </c>
    </row>
    <row r="425" spans="1:33" x14ac:dyDescent="0.2">
      <c r="A425" s="27">
        <v>12</v>
      </c>
      <c r="B425" s="69">
        <v>6.7115290300000003</v>
      </c>
      <c r="C425" s="28">
        <f t="shared" si="29"/>
        <v>0.34545448465300077</v>
      </c>
      <c r="D425" s="52">
        <v>170.33799999999999</v>
      </c>
      <c r="E425" s="47">
        <v>630.72</v>
      </c>
      <c r="F425" s="44">
        <v>18.170000000000002</v>
      </c>
      <c r="G425" s="11">
        <v>6.8950000000000001E-4</v>
      </c>
      <c r="H425" s="61">
        <f t="shared" si="27"/>
        <v>247.22496371552973</v>
      </c>
      <c r="I425" s="29">
        <f t="shared" si="28"/>
        <v>0.23874128465101443</v>
      </c>
      <c r="J425" s="52">
        <v>0.49099999999999999</v>
      </c>
      <c r="K425" s="75">
        <v>-5.3295000000000003</v>
      </c>
      <c r="L425" s="81">
        <v>1040.3</v>
      </c>
      <c r="M425" s="13">
        <v>9.4000000000000004E-3</v>
      </c>
      <c r="N425" s="12">
        <v>-9.1316000000000008E-6</v>
      </c>
      <c r="O425" s="93">
        <v>0.24709999999999999</v>
      </c>
      <c r="P425" s="94">
        <v>0.253</v>
      </c>
      <c r="Q425" s="95">
        <v>0.28570000000000001</v>
      </c>
      <c r="R425" s="111">
        <v>26.178999999999998</v>
      </c>
      <c r="S425" s="118">
        <v>-3555.5</v>
      </c>
      <c r="T425" s="125">
        <v>-5.8601999999999999</v>
      </c>
      <c r="U425" s="14">
        <v>0</v>
      </c>
      <c r="V425" s="30">
        <v>0</v>
      </c>
      <c r="W425" s="138">
        <v>221.518</v>
      </c>
      <c r="X425" s="13">
        <v>0.95526999999999995</v>
      </c>
      <c r="Y425" s="14">
        <v>-2.6256999999999999E-3</v>
      </c>
      <c r="Z425" s="30">
        <v>3.4972000000000002E-6</v>
      </c>
      <c r="AA425" s="77">
        <v>0.1615</v>
      </c>
      <c r="AB425" s="5">
        <v>-6.8300999999999995E-5</v>
      </c>
      <c r="AC425" s="15">
        <v>-2.0886999999999999E-7</v>
      </c>
      <c r="AD425" s="146">
        <v>66.78</v>
      </c>
      <c r="AE425" s="147">
        <v>0.38</v>
      </c>
      <c r="AF425" s="150">
        <v>51.643000000000001</v>
      </c>
      <c r="AG425" s="152">
        <v>1.2222</v>
      </c>
    </row>
    <row r="426" spans="1:33" x14ac:dyDescent="0.2">
      <c r="A426" s="27">
        <v>12</v>
      </c>
      <c r="B426" s="69">
        <v>2.8224617324999999</v>
      </c>
      <c r="C426" s="28">
        <f t="shared" si="29"/>
        <v>0.10093516223852157</v>
      </c>
      <c r="D426" s="52">
        <v>170.33799999999999</v>
      </c>
      <c r="E426" s="47">
        <v>642.08000000000004</v>
      </c>
      <c r="F426" s="44">
        <v>18.05</v>
      </c>
      <c r="G426" s="11">
        <v>6.9550000000000005E-4</v>
      </c>
      <c r="H426" s="61">
        <f t="shared" si="27"/>
        <v>245.09064748201439</v>
      </c>
      <c r="I426" s="29">
        <f t="shared" si="28"/>
        <v>0.2349972869027237</v>
      </c>
      <c r="J426" s="52">
        <v>0.51900000000000002</v>
      </c>
      <c r="K426" s="75">
        <v>-5.0640000000000001</v>
      </c>
      <c r="L426" s="81">
        <v>943.13</v>
      </c>
      <c r="M426" s="13">
        <v>9.4000000000000004E-3</v>
      </c>
      <c r="N426" s="12">
        <v>-9.3503999999999994E-6</v>
      </c>
      <c r="O426" s="93">
        <v>0.24490000000000001</v>
      </c>
      <c r="P426" s="94">
        <v>0.25729999999999997</v>
      </c>
      <c r="Q426" s="95">
        <v>0.28570000000000001</v>
      </c>
      <c r="R426" s="111">
        <v>25.981000000000002</v>
      </c>
      <c r="S426" s="118">
        <v>-3642.7</v>
      </c>
      <c r="T426" s="125">
        <v>-5.7615999999999996</v>
      </c>
      <c r="U426" s="14">
        <v>0</v>
      </c>
      <c r="V426" s="30">
        <v>0</v>
      </c>
      <c r="W426" s="138">
        <v>222.16</v>
      </c>
      <c r="X426" s="13">
        <v>0.98245000000000005</v>
      </c>
      <c r="Y426" s="14">
        <v>-2.6432000000000001E-3</v>
      </c>
      <c r="Z426" s="30">
        <v>3.4099000000000002E-6</v>
      </c>
      <c r="AA426" s="77">
        <v>0.16159999999999999</v>
      </c>
      <c r="AB426" s="5">
        <v>-6.2297000000000003E-5</v>
      </c>
      <c r="AC426" s="15">
        <v>-2.0889000000000001E-7</v>
      </c>
      <c r="AD426" s="146">
        <v>68.929000000000002</v>
      </c>
      <c r="AE426" s="147">
        <v>0.38</v>
      </c>
      <c r="AF426" s="150">
        <v>52.35</v>
      </c>
      <c r="AG426" s="152">
        <v>1.2222</v>
      </c>
    </row>
    <row r="427" spans="1:33" x14ac:dyDescent="0.2">
      <c r="A427" s="27">
        <v>12</v>
      </c>
      <c r="B427" s="69">
        <v>2.8208901712499999</v>
      </c>
      <c r="C427" s="28">
        <f t="shared" si="29"/>
        <v>0.10083635266219208</v>
      </c>
      <c r="D427" s="52">
        <v>170.33799999999999</v>
      </c>
      <c r="E427" s="47">
        <v>639.37</v>
      </c>
      <c r="F427" s="44">
        <v>18.05</v>
      </c>
      <c r="G427" s="11">
        <v>6.9550000000000005E-4</v>
      </c>
      <c r="H427" s="61">
        <f t="shared" si="27"/>
        <v>245.09064748201439</v>
      </c>
      <c r="I427" s="29">
        <f t="shared" si="28"/>
        <v>0.23599333402333678</v>
      </c>
      <c r="J427" s="52">
        <v>0.51900000000000002</v>
      </c>
      <c r="K427" s="75">
        <v>-5.0492999999999997</v>
      </c>
      <c r="L427" s="81">
        <v>936.5</v>
      </c>
      <c r="M427" s="13">
        <v>9.4000000000000004E-3</v>
      </c>
      <c r="N427" s="12">
        <v>-9.4143999999999992E-6</v>
      </c>
      <c r="O427" s="93">
        <v>0.24490000000000001</v>
      </c>
      <c r="P427" s="94">
        <v>0.2571</v>
      </c>
      <c r="Q427" s="95">
        <v>0.28570000000000001</v>
      </c>
      <c r="R427" s="111">
        <v>26.071999999999999</v>
      </c>
      <c r="S427" s="118">
        <v>-3634.9</v>
      </c>
      <c r="T427" s="125">
        <v>-5.7934000000000001</v>
      </c>
      <c r="U427" s="14">
        <v>0</v>
      </c>
      <c r="V427" s="30">
        <v>0</v>
      </c>
      <c r="W427" s="138">
        <v>220.69</v>
      </c>
      <c r="X427" s="13">
        <v>0.99355000000000004</v>
      </c>
      <c r="Y427" s="14">
        <v>-2.6830000000000001E-3</v>
      </c>
      <c r="Z427" s="30">
        <v>3.4657000000000001E-6</v>
      </c>
      <c r="AA427" s="77">
        <v>0.1615</v>
      </c>
      <c r="AB427" s="5">
        <v>-6.2438000000000001E-5</v>
      </c>
      <c r="AC427" s="15">
        <v>-2.107E-7</v>
      </c>
      <c r="AD427" s="146">
        <v>68.61</v>
      </c>
      <c r="AE427" s="147">
        <v>0.38</v>
      </c>
      <c r="AF427" s="150">
        <v>52.273000000000003</v>
      </c>
      <c r="AG427" s="152">
        <v>1.2222</v>
      </c>
    </row>
    <row r="428" spans="1:33" x14ac:dyDescent="0.2">
      <c r="A428" s="27">
        <v>12</v>
      </c>
      <c r="B428" s="69">
        <v>4.1592095212500002</v>
      </c>
      <c r="C428" s="28">
        <f t="shared" si="29"/>
        <v>0.18498119141223077</v>
      </c>
      <c r="D428" s="52">
        <v>170.33799999999999</v>
      </c>
      <c r="E428" s="47">
        <v>642.91999999999996</v>
      </c>
      <c r="F428" s="44">
        <v>18.09</v>
      </c>
      <c r="G428" s="11">
        <v>6.9649999999999996E-4</v>
      </c>
      <c r="H428" s="61">
        <f t="shared" si="27"/>
        <v>244.73850574712645</v>
      </c>
      <c r="I428" s="29">
        <f t="shared" si="28"/>
        <v>0.2355487751554988</v>
      </c>
      <c r="J428" s="52">
        <v>0.48899999999999999</v>
      </c>
      <c r="K428" s="75">
        <v>-4.7721</v>
      </c>
      <c r="L428" s="81">
        <v>903.29</v>
      </c>
      <c r="M428" s="13">
        <v>8.6999999999999994E-3</v>
      </c>
      <c r="N428" s="12">
        <v>-8.7337000000000008E-6</v>
      </c>
      <c r="O428" s="93">
        <v>0.24460000000000001</v>
      </c>
      <c r="P428" s="94">
        <v>0.25679999999999997</v>
      </c>
      <c r="Q428" s="95">
        <v>0.28570000000000001</v>
      </c>
      <c r="R428" s="111">
        <v>25.742999999999999</v>
      </c>
      <c r="S428" s="118">
        <v>-3585.8</v>
      </c>
      <c r="T428" s="125">
        <v>-5.7093999999999996</v>
      </c>
      <c r="U428" s="14">
        <v>0</v>
      </c>
      <c r="V428" s="30">
        <v>0</v>
      </c>
      <c r="W428" s="138">
        <v>205.078</v>
      </c>
      <c r="X428" s="13">
        <v>1.073</v>
      </c>
      <c r="Y428" s="14">
        <v>-2.8300000000000001E-3</v>
      </c>
      <c r="Z428" s="30">
        <v>3.5159999999999999E-6</v>
      </c>
      <c r="AA428" s="77">
        <v>0.1578</v>
      </c>
      <c r="AB428" s="5">
        <v>-5.2274999999999997E-5</v>
      </c>
      <c r="AC428" s="15">
        <v>-2.1553E-7</v>
      </c>
      <c r="AD428" s="146">
        <v>68.207999999999998</v>
      </c>
      <c r="AE428" s="147">
        <v>0.38</v>
      </c>
      <c r="AF428" s="150">
        <v>51.887</v>
      </c>
      <c r="AG428" s="152">
        <v>1.2222</v>
      </c>
    </row>
    <row r="429" spans="1:33" x14ac:dyDescent="0.2">
      <c r="A429" s="27">
        <v>12</v>
      </c>
      <c r="B429" s="69">
        <v>3.8016618900000001</v>
      </c>
      <c r="C429" s="28">
        <f t="shared" si="29"/>
        <v>0.16250091585095344</v>
      </c>
      <c r="D429" s="52">
        <v>170.33799999999999</v>
      </c>
      <c r="E429" s="47">
        <v>638.02</v>
      </c>
      <c r="F429" s="44">
        <v>18.05</v>
      </c>
      <c r="G429" s="11">
        <v>6.9550000000000005E-4</v>
      </c>
      <c r="H429" s="61">
        <f t="shared" si="27"/>
        <v>245.09064748201439</v>
      </c>
      <c r="I429" s="29">
        <f t="shared" si="28"/>
        <v>0.23649267730557169</v>
      </c>
      <c r="J429" s="52">
        <v>0.51900000000000002</v>
      </c>
      <c r="K429" s="75">
        <v>-5.0415000000000001</v>
      </c>
      <c r="L429" s="81">
        <v>933.12</v>
      </c>
      <c r="M429" s="13">
        <v>9.4000000000000004E-3</v>
      </c>
      <c r="N429" s="12">
        <v>-9.4460000000000007E-6</v>
      </c>
      <c r="O429" s="93">
        <v>0.24490000000000001</v>
      </c>
      <c r="P429" s="94">
        <v>0.26190000000000002</v>
      </c>
      <c r="Q429" s="95">
        <v>0.28570000000000001</v>
      </c>
      <c r="R429" s="111">
        <v>26.117000000000001</v>
      </c>
      <c r="S429" s="118">
        <v>-3631</v>
      </c>
      <c r="T429" s="125">
        <v>-5.8094000000000001</v>
      </c>
      <c r="U429" s="14">
        <v>0</v>
      </c>
      <c r="V429" s="30">
        <v>0</v>
      </c>
      <c r="W429" s="138">
        <v>222.52099999999999</v>
      </c>
      <c r="X429" s="13">
        <v>0.97941999999999996</v>
      </c>
      <c r="Y429" s="14">
        <v>-2.6435999999999999E-3</v>
      </c>
      <c r="Z429" s="30">
        <v>3.4195E-6</v>
      </c>
      <c r="AA429" s="77">
        <v>0.1615</v>
      </c>
      <c r="AB429" s="5">
        <v>-6.2508999999999994E-5</v>
      </c>
      <c r="AC429" s="15">
        <v>-2.1161E-7</v>
      </c>
      <c r="AD429" s="146">
        <v>68.450999999999993</v>
      </c>
      <c r="AE429" s="147">
        <v>0.38</v>
      </c>
      <c r="AF429" s="150">
        <v>52.234000000000002</v>
      </c>
      <c r="AG429" s="152">
        <v>1.2222</v>
      </c>
    </row>
    <row r="430" spans="1:33" x14ac:dyDescent="0.2">
      <c r="A430" s="27">
        <v>12</v>
      </c>
      <c r="B430" s="69">
        <v>6.0847581862500002</v>
      </c>
      <c r="C430" s="28">
        <f t="shared" si="29"/>
        <v>0.30604720000112046</v>
      </c>
      <c r="D430" s="52">
        <v>170.33799999999999</v>
      </c>
      <c r="E430" s="48">
        <v>630.72</v>
      </c>
      <c r="F430" s="48">
        <v>18.170000000000002</v>
      </c>
      <c r="G430" s="35">
        <v>6.8950000000000001E-4</v>
      </c>
      <c r="H430" s="61">
        <f t="shared" si="27"/>
        <v>247.22496371552973</v>
      </c>
      <c r="I430" s="29">
        <f t="shared" si="28"/>
        <v>0.23874128465101443</v>
      </c>
      <c r="J430" s="55">
        <v>0.49099999999999999</v>
      </c>
      <c r="K430" s="76">
        <v>-4.7647000000000004</v>
      </c>
      <c r="L430" s="82">
        <v>881.18</v>
      </c>
      <c r="M430" s="85">
        <v>8.8999999999999999E-3</v>
      </c>
      <c r="N430" s="4">
        <v>-9.1235E-6</v>
      </c>
      <c r="O430" s="99" t="str" cm="1">
        <f t="array" ref="O430">LEFT(INDEX($O$292:$O$645, MATCH(MIN(IF(ABS($B$292:$B$645-B430)&lt;&gt;0, ABS($B$292:$B$645-B430))), IF(ABS($B$292:$B$645-B430)&lt;&gt;0, ABS($B$292:$B$645-B430)), 0)),6)</f>
        <v>0.2471</v>
      </c>
      <c r="P430" s="106" cm="1">
        <f t="array" ref="P430">INDEX($P$292:$P$645, MATCH(MIN(IF(ABS($B$292:$B$645-B430)&lt;&gt;0, ABS($B$292:$B$645-B430))), IF(ABS($B$292:$B$645-B430)&lt;&gt;0, ABS($B$292:$B$645-B430)), 0))</f>
        <v>0.26279999999999998</v>
      </c>
      <c r="Q430" s="107" cm="1">
        <f t="array" ref="Q430">INDEX($Q$292:$Q$645, MATCH(MIN(IF(ABS($B$292:$B$645-B430)&lt;&gt;0, ABS($B$292:$B$645-B430))), IF(ABS($B$292:$B$645-B430)&lt;&gt;0, ABS($B$292:$B$645-B430)), 0))</f>
        <v>0.28570000000000001</v>
      </c>
      <c r="R430" s="114">
        <v>26.178999999999998</v>
      </c>
      <c r="S430" s="120">
        <v>-3555.5</v>
      </c>
      <c r="T430" s="127">
        <v>-5.8601999999999999</v>
      </c>
      <c r="U430" s="14">
        <v>0</v>
      </c>
      <c r="V430" s="14">
        <v>0</v>
      </c>
      <c r="W430" s="139">
        <v>226.06899999999999</v>
      </c>
      <c r="X430" s="7">
        <v>0.92013</v>
      </c>
      <c r="Y430" s="8">
        <v>-2.5175000000000002E-3</v>
      </c>
      <c r="Z430" s="33">
        <v>3.3577000000000001E-6</v>
      </c>
      <c r="AA430" s="141">
        <v>0.1615</v>
      </c>
      <c r="AB430" s="9">
        <v>-6.8300999999999995E-5</v>
      </c>
      <c r="AC430" s="10">
        <v>-2.0886999999999999E-7</v>
      </c>
      <c r="AD430" s="146">
        <v>66.78</v>
      </c>
      <c r="AE430" s="147">
        <v>0.38</v>
      </c>
      <c r="AF430" s="150">
        <v>51.643000000000001</v>
      </c>
      <c r="AG430" s="152">
        <v>1.2222</v>
      </c>
    </row>
    <row r="431" spans="1:33" x14ac:dyDescent="0.2">
      <c r="A431" s="27">
        <v>12</v>
      </c>
      <c r="B431" s="69">
        <v>6.2626162374999996</v>
      </c>
      <c r="C431" s="28">
        <f t="shared" si="29"/>
        <v>0.31722976045862805</v>
      </c>
      <c r="D431" s="52">
        <v>170.33799999999999</v>
      </c>
      <c r="E431" s="48">
        <v>645.29</v>
      </c>
      <c r="F431" s="48">
        <v>18.22</v>
      </c>
      <c r="G431" s="35">
        <v>6.9050000000000003E-4</v>
      </c>
      <c r="H431" s="61">
        <f t="shared" si="27"/>
        <v>246.86666666666667</v>
      </c>
      <c r="I431" s="29">
        <f t="shared" si="28"/>
        <v>0.23433249050456478</v>
      </c>
      <c r="J431" s="55">
        <v>0.46100000000000002</v>
      </c>
      <c r="K431" s="76">
        <v>-4.5708000000000002</v>
      </c>
      <c r="L431" s="82">
        <v>877.69</v>
      </c>
      <c r="M431" s="85">
        <v>8.0999999999999996E-3</v>
      </c>
      <c r="N431" s="4">
        <v>-8.2338999999999992E-6</v>
      </c>
      <c r="O431" s="99" t="str" cm="1">
        <f t="array" ref="O431">LEFT(INDEX($O$292:$O$645, MATCH(MIN(IF(ABS($B$292:$B$645-B431)&lt;&gt;0, ABS($B$292:$B$645-B431))), IF(ABS($B$292:$B$645-B431)&lt;&gt;0, ABS($B$292:$B$645-B431)), 0)),6)</f>
        <v>0.2467</v>
      </c>
      <c r="P431" s="106" cm="1">
        <f t="array" ref="P431">INDEX($P$292:$P$645, MATCH(MIN(IF(ABS($B$292:$B$645-B431)&lt;&gt;0, ABS($B$292:$B$645-B431))), IF(ABS($B$292:$B$645-B431)&lt;&gt;0, ABS($B$292:$B$645-B431)), 0))</f>
        <v>0.25600000000000001</v>
      </c>
      <c r="Q431" s="107" cm="1">
        <f t="array" ref="Q431">INDEX($Q$292:$Q$645, MATCH(MIN(IF(ABS($B$292:$B$645-B431)&lt;&gt;0, ABS($B$292:$B$645-B431))), IF(ABS($B$292:$B$645-B431)&lt;&gt;0, ABS($B$292:$B$645-B431)), 0))</f>
        <v>0.28570000000000001</v>
      </c>
      <c r="R431" s="114">
        <v>25.481000000000002</v>
      </c>
      <c r="S431" s="120">
        <v>-3537.1</v>
      </c>
      <c r="T431" s="127">
        <v>-5.6462000000000003</v>
      </c>
      <c r="U431" s="14">
        <v>0</v>
      </c>
      <c r="V431" s="14">
        <v>0</v>
      </c>
      <c r="W431" s="139">
        <v>213.72300000000001</v>
      </c>
      <c r="X431" s="7">
        <v>0.97614999999999996</v>
      </c>
      <c r="Y431" s="8">
        <v>-2.5755000000000001E-3</v>
      </c>
      <c r="Z431" s="33">
        <v>3.2808999999999998E-6</v>
      </c>
      <c r="AA431" s="141">
        <v>0.15809999999999999</v>
      </c>
      <c r="AB431" s="9">
        <v>-5.8012E-5</v>
      </c>
      <c r="AC431" s="10">
        <v>-2.0601E-7</v>
      </c>
      <c r="AD431" s="146">
        <v>67.641000000000005</v>
      </c>
      <c r="AE431" s="147">
        <v>0.38</v>
      </c>
      <c r="AF431" s="150">
        <v>51.576999999999998</v>
      </c>
      <c r="AG431" s="152">
        <v>1.2222</v>
      </c>
    </row>
    <row r="432" spans="1:33" x14ac:dyDescent="0.2">
      <c r="A432" s="27">
        <v>12</v>
      </c>
      <c r="B432" s="69">
        <v>5.1056440150000002</v>
      </c>
      <c r="C432" s="28">
        <f t="shared" si="29"/>
        <v>0.24448685264627645</v>
      </c>
      <c r="D432" s="52">
        <v>170.33799999999999</v>
      </c>
      <c r="E432" s="48">
        <v>637.53</v>
      </c>
      <c r="F432" s="48">
        <v>18.170000000000002</v>
      </c>
      <c r="G432" s="35">
        <v>6.8950000000000001E-4</v>
      </c>
      <c r="H432" s="61">
        <f t="shared" si="27"/>
        <v>247.22496371552973</v>
      </c>
      <c r="I432" s="29">
        <f t="shared" si="28"/>
        <v>0.2361910859960909</v>
      </c>
      <c r="J432" s="55">
        <v>0.49099999999999999</v>
      </c>
      <c r="K432" s="76">
        <v>-4.8171999999999997</v>
      </c>
      <c r="L432" s="82">
        <v>899.89</v>
      </c>
      <c r="M432" s="85">
        <v>8.8999999999999999E-3</v>
      </c>
      <c r="N432" s="4">
        <v>-8.9894000000000007E-6</v>
      </c>
      <c r="O432" s="99" t="str" cm="1">
        <f t="array" ref="O432">LEFT(INDEX($O$292:$O$645, MATCH(MIN(IF(ABS($B$292:$B$645-B432)&lt;&gt;0, ABS($B$292:$B$645-B432))), IF(ABS($B$292:$B$645-B432)&lt;&gt;0, ABS($B$292:$B$645-B432)), 0)),6)</f>
        <v>0.2471</v>
      </c>
      <c r="P432" s="106" cm="1">
        <f t="array" ref="P432">INDEX($P$292:$P$645, MATCH(MIN(IF(ABS($B$292:$B$645-B432)&lt;&gt;0, ABS($B$292:$B$645-B432))), IF(ABS($B$292:$B$645-B432)&lt;&gt;0, ABS($B$292:$B$645-B432)), 0))</f>
        <v>0.25819999999999999</v>
      </c>
      <c r="Q432" s="107" cm="1">
        <f t="array" ref="Q432">INDEX($Q$292:$Q$645, MATCH(MIN(IF(ABS($B$292:$B$645-B432)&lt;&gt;0, ABS($B$292:$B$645-B432))), IF(ABS($B$292:$B$645-B432)&lt;&gt;0, ABS($B$292:$B$645-B432)), 0))</f>
        <v>0.28570000000000001</v>
      </c>
      <c r="R432" s="114">
        <v>25.946999999999999</v>
      </c>
      <c r="S432" s="120">
        <v>-3574.6</v>
      </c>
      <c r="T432" s="127">
        <v>-5.7784000000000004</v>
      </c>
      <c r="U432" s="14">
        <v>0</v>
      </c>
      <c r="V432" s="14">
        <v>0</v>
      </c>
      <c r="W432" s="139">
        <v>227.203</v>
      </c>
      <c r="X432" s="7">
        <v>0.91185000000000005</v>
      </c>
      <c r="Y432" s="8">
        <v>-2.4765999999999998E-3</v>
      </c>
      <c r="Z432" s="33">
        <v>3.2901000000000001E-6</v>
      </c>
      <c r="AA432" s="141">
        <v>0.16159999999999999</v>
      </c>
      <c r="AB432" s="9">
        <v>-6.7822000000000002E-5</v>
      </c>
      <c r="AC432" s="10">
        <v>-2.0440999999999999E-7</v>
      </c>
      <c r="AD432" s="146">
        <v>67.569999999999993</v>
      </c>
      <c r="AE432" s="147">
        <v>0.38</v>
      </c>
      <c r="AF432" s="150">
        <v>51.837000000000003</v>
      </c>
      <c r="AG432" s="152">
        <v>1.2222</v>
      </c>
    </row>
    <row r="433" spans="1:33" x14ac:dyDescent="0.2">
      <c r="A433" s="27">
        <v>12</v>
      </c>
      <c r="B433" s="69">
        <v>4.1564066712500001</v>
      </c>
      <c r="C433" s="28">
        <f t="shared" si="29"/>
        <v>0.18480496638694771</v>
      </c>
      <c r="D433" s="52">
        <v>170.33799999999999</v>
      </c>
      <c r="E433" s="47">
        <v>637.48</v>
      </c>
      <c r="F433" s="44">
        <v>18.09</v>
      </c>
      <c r="G433" s="11">
        <v>6.9649999999999996E-4</v>
      </c>
      <c r="H433" s="61">
        <f t="shared" si="27"/>
        <v>244.73850574712645</v>
      </c>
      <c r="I433" s="29">
        <f t="shared" si="28"/>
        <v>0.23755885443146965</v>
      </c>
      <c r="J433" s="52">
        <v>0.48899999999999999</v>
      </c>
      <c r="K433" s="75">
        <v>-4.7332000000000001</v>
      </c>
      <c r="L433" s="81">
        <v>888.86</v>
      </c>
      <c r="M433" s="13">
        <v>8.6999999999999994E-3</v>
      </c>
      <c r="N433" s="12">
        <v>-8.8392E-6</v>
      </c>
      <c r="O433" s="93">
        <v>0.24460000000000001</v>
      </c>
      <c r="P433" s="94">
        <v>0.25640000000000002</v>
      </c>
      <c r="Q433" s="95">
        <v>0.28570000000000001</v>
      </c>
      <c r="R433" s="111">
        <v>25.923999999999999</v>
      </c>
      <c r="S433" s="118">
        <v>-3570.5</v>
      </c>
      <c r="T433" s="125">
        <v>-5.7732000000000001</v>
      </c>
      <c r="U433" s="14">
        <v>0</v>
      </c>
      <c r="V433" s="30">
        <v>0</v>
      </c>
      <c r="W433" s="138">
        <v>201.68299999999999</v>
      </c>
      <c r="X433" s="13">
        <v>1.0991</v>
      </c>
      <c r="Y433" s="14">
        <v>-2.9199E-3</v>
      </c>
      <c r="Z433" s="30">
        <v>3.6364999999999998E-6</v>
      </c>
      <c r="AA433" s="77">
        <v>0.15759999999999999</v>
      </c>
      <c r="AB433" s="5">
        <v>-5.2346999999999999E-5</v>
      </c>
      <c r="AC433" s="15">
        <v>-2.1941999999999999E-7</v>
      </c>
      <c r="AD433" s="146">
        <v>67.575000000000003</v>
      </c>
      <c r="AE433" s="147">
        <v>0.38</v>
      </c>
      <c r="AF433" s="150">
        <v>51.732999999999997</v>
      </c>
      <c r="AG433" s="152">
        <v>1.2222</v>
      </c>
    </row>
    <row r="434" spans="1:33" x14ac:dyDescent="0.2">
      <c r="A434" s="27">
        <v>12</v>
      </c>
      <c r="B434" s="69">
        <v>3.80530839</v>
      </c>
      <c r="C434" s="28">
        <f t="shared" si="29"/>
        <v>0.16273018411528961</v>
      </c>
      <c r="D434" s="52">
        <v>170.33799999999999</v>
      </c>
      <c r="E434" s="47">
        <v>628.54</v>
      </c>
      <c r="F434" s="44">
        <v>18.05</v>
      </c>
      <c r="G434" s="11">
        <v>6.9550000000000005E-4</v>
      </c>
      <c r="H434" s="61">
        <f t="shared" si="27"/>
        <v>245.09064748201439</v>
      </c>
      <c r="I434" s="29">
        <f t="shared" si="28"/>
        <v>0.24005959521192102</v>
      </c>
      <c r="J434" s="52">
        <v>0.51900000000000002</v>
      </c>
      <c r="K434" s="75">
        <v>-4.9763999999999999</v>
      </c>
      <c r="L434" s="81">
        <v>907.85</v>
      </c>
      <c r="M434" s="13">
        <v>9.4999999999999998E-3</v>
      </c>
      <c r="N434" s="12">
        <v>-9.6590000000000002E-6</v>
      </c>
      <c r="O434" s="93">
        <v>0.24490000000000001</v>
      </c>
      <c r="P434" s="94">
        <v>0.26090000000000002</v>
      </c>
      <c r="Q434" s="95">
        <v>0.28570000000000001</v>
      </c>
      <c r="R434" s="111">
        <v>26.443999999999999</v>
      </c>
      <c r="S434" s="118">
        <v>-3603.9</v>
      </c>
      <c r="T434" s="125">
        <v>-5.9242999999999997</v>
      </c>
      <c r="U434" s="14">
        <v>0</v>
      </c>
      <c r="V434" s="30">
        <v>0</v>
      </c>
      <c r="W434" s="138">
        <v>217.05799999999999</v>
      </c>
      <c r="X434" s="13">
        <v>1.0210999999999999</v>
      </c>
      <c r="Y434" s="14">
        <v>-2.7929000000000001E-3</v>
      </c>
      <c r="Z434" s="30">
        <v>3.6285999999999999E-6</v>
      </c>
      <c r="AA434" s="77">
        <v>0.1613</v>
      </c>
      <c r="AB434" s="5">
        <v>-6.2997999999999996E-5</v>
      </c>
      <c r="AC434" s="15">
        <v>-2.1817E-7</v>
      </c>
      <c r="AD434" s="146">
        <v>67.337999999999994</v>
      </c>
      <c r="AE434" s="147">
        <v>0.38</v>
      </c>
      <c r="AF434" s="150">
        <v>51.960999999999999</v>
      </c>
      <c r="AG434" s="152">
        <v>1.2222</v>
      </c>
    </row>
    <row r="435" spans="1:33" x14ac:dyDescent="0.2">
      <c r="A435" s="27">
        <v>12</v>
      </c>
      <c r="B435" s="69">
        <v>2.8208492024999998</v>
      </c>
      <c r="C435" s="28">
        <f t="shared" si="29"/>
        <v>0.10083377681296556</v>
      </c>
      <c r="D435" s="52">
        <v>170.33799999999999</v>
      </c>
      <c r="E435" s="47">
        <v>636.66</v>
      </c>
      <c r="F435" s="44">
        <v>18.05</v>
      </c>
      <c r="G435" s="11">
        <v>6.9550000000000005E-4</v>
      </c>
      <c r="H435" s="61">
        <f t="shared" si="27"/>
        <v>245.09064748201439</v>
      </c>
      <c r="I435" s="29">
        <f t="shared" si="28"/>
        <v>0.23699786067053191</v>
      </c>
      <c r="J435" s="52">
        <v>0.51900000000000002</v>
      </c>
      <c r="K435" s="75">
        <v>-5.0334000000000003</v>
      </c>
      <c r="L435" s="81">
        <v>929.68</v>
      </c>
      <c r="M435" s="13">
        <v>9.4000000000000004E-3</v>
      </c>
      <c r="N435" s="12">
        <v>-9.4774000000000001E-6</v>
      </c>
      <c r="O435" s="93">
        <v>0.24490000000000001</v>
      </c>
      <c r="P435" s="94">
        <v>0.25690000000000002</v>
      </c>
      <c r="Q435" s="95">
        <v>0.28570000000000001</v>
      </c>
      <c r="R435" s="111">
        <v>26.163</v>
      </c>
      <c r="S435" s="118">
        <v>-3627.2</v>
      </c>
      <c r="T435" s="125">
        <v>-5.8255999999999997</v>
      </c>
      <c r="U435" s="14">
        <v>0</v>
      </c>
      <c r="V435" s="30">
        <v>0</v>
      </c>
      <c r="W435" s="138">
        <v>219.17599999999999</v>
      </c>
      <c r="X435" s="13">
        <v>1.0051000000000001</v>
      </c>
      <c r="Y435" s="14">
        <v>-2.7242E-3</v>
      </c>
      <c r="Z435" s="30">
        <v>3.5234E-6</v>
      </c>
      <c r="AA435" s="77">
        <v>0.1615</v>
      </c>
      <c r="AB435" s="5">
        <v>-6.2578999999999998E-5</v>
      </c>
      <c r="AC435" s="15">
        <v>-2.1253000000000001E-7</v>
      </c>
      <c r="AD435" s="146">
        <v>68.292000000000002</v>
      </c>
      <c r="AE435" s="147">
        <v>0.38</v>
      </c>
      <c r="AF435" s="150">
        <v>52.195</v>
      </c>
      <c r="AG435" s="152">
        <v>1.2222</v>
      </c>
    </row>
    <row r="436" spans="1:33" x14ac:dyDescent="0.2">
      <c r="A436" s="27">
        <v>12</v>
      </c>
      <c r="B436" s="69">
        <v>9.7097175349999993</v>
      </c>
      <c r="C436" s="28">
        <f t="shared" si="29"/>
        <v>0.53396112792573269</v>
      </c>
      <c r="D436" s="52">
        <v>170.33799999999999</v>
      </c>
      <c r="E436" s="47">
        <v>653.12</v>
      </c>
      <c r="F436" s="44">
        <v>18.39</v>
      </c>
      <c r="G436" s="11">
        <v>6.8550000000000002E-4</v>
      </c>
      <c r="H436" s="61">
        <f t="shared" si="27"/>
        <v>248.66861313868614</v>
      </c>
      <c r="I436" s="29">
        <f t="shared" si="28"/>
        <v>0.23199001742838088</v>
      </c>
      <c r="J436" s="52">
        <v>0.40300000000000002</v>
      </c>
      <c r="K436" s="75">
        <v>-4.1222000000000003</v>
      </c>
      <c r="L436" s="81">
        <v>824.79</v>
      </c>
      <c r="M436" s="13">
        <v>6.8999999999999999E-3</v>
      </c>
      <c r="N436" s="12">
        <v>-7.0828000000000002E-6</v>
      </c>
      <c r="O436" s="93">
        <v>0.2485</v>
      </c>
      <c r="P436" s="94">
        <v>0.25430000000000003</v>
      </c>
      <c r="Q436" s="95">
        <v>0.28570000000000001</v>
      </c>
      <c r="R436" s="111">
        <v>24.849</v>
      </c>
      <c r="S436" s="118">
        <v>-3443.9</v>
      </c>
      <c r="T436" s="125">
        <v>-5.4835000000000003</v>
      </c>
      <c r="U436" s="14">
        <v>0</v>
      </c>
      <c r="V436" s="30">
        <v>0</v>
      </c>
      <c r="W436" s="138">
        <v>208.34700000000001</v>
      </c>
      <c r="X436" s="13">
        <v>0.94811999999999996</v>
      </c>
      <c r="Y436" s="14">
        <v>-2.4409000000000002E-3</v>
      </c>
      <c r="Z436" s="30">
        <v>3.0668E-6</v>
      </c>
      <c r="AA436" s="77">
        <v>0.15479999999999999</v>
      </c>
      <c r="AB436" s="5">
        <v>-5.3773999999999997E-5</v>
      </c>
      <c r="AC436" s="15">
        <v>-2.001E-7</v>
      </c>
      <c r="AD436" s="146">
        <v>66.825999999999993</v>
      </c>
      <c r="AE436" s="147">
        <v>0.38</v>
      </c>
      <c r="AF436" s="150">
        <v>50.963000000000001</v>
      </c>
      <c r="AG436" s="152">
        <v>1.2222</v>
      </c>
    </row>
    <row r="437" spans="1:33" x14ac:dyDescent="0.2">
      <c r="A437" s="27">
        <v>12</v>
      </c>
      <c r="B437" s="69">
        <v>9.6558123499999997</v>
      </c>
      <c r="C437" s="28">
        <f t="shared" si="29"/>
        <v>0.5305719195879649</v>
      </c>
      <c r="D437" s="52">
        <v>170.33799999999999</v>
      </c>
      <c r="E437" s="47">
        <v>631.25</v>
      </c>
      <c r="F437" s="44">
        <v>18.34</v>
      </c>
      <c r="G437" s="11">
        <v>6.845E-4</v>
      </c>
      <c r="H437" s="61">
        <f t="shared" si="27"/>
        <v>249.03216374269002</v>
      </c>
      <c r="I437" s="29">
        <f t="shared" si="28"/>
        <v>0.23902538245164426</v>
      </c>
      <c r="J437" s="52">
        <v>0.432</v>
      </c>
      <c r="K437" s="75">
        <v>-4.2175000000000002</v>
      </c>
      <c r="L437" s="81">
        <v>804.62</v>
      </c>
      <c r="M437" s="13">
        <v>7.4999999999999997E-3</v>
      </c>
      <c r="N437" s="12">
        <v>-7.9617000000000004E-6</v>
      </c>
      <c r="O437" s="93">
        <v>0.24890000000000001</v>
      </c>
      <c r="P437" s="94">
        <v>0.2626</v>
      </c>
      <c r="Q437" s="95">
        <v>0.28570000000000001</v>
      </c>
      <c r="R437" s="111">
        <v>25.766999999999999</v>
      </c>
      <c r="S437" s="118">
        <v>-3444.4</v>
      </c>
      <c r="T437" s="125">
        <v>-5.7752999999999997</v>
      </c>
      <c r="U437" s="14">
        <v>0</v>
      </c>
      <c r="V437" s="30">
        <v>0</v>
      </c>
      <c r="W437" s="138">
        <v>217.422</v>
      </c>
      <c r="X437" s="13">
        <v>0.91674</v>
      </c>
      <c r="Y437" s="14">
        <v>-2.4639000000000002E-3</v>
      </c>
      <c r="Z437" s="30">
        <v>3.2490999999999999E-6</v>
      </c>
      <c r="AA437" s="77">
        <v>0.158</v>
      </c>
      <c r="AB437" s="5">
        <v>-6.4096000000000004E-5</v>
      </c>
      <c r="AC437" s="15">
        <v>-2.0767000000000001E-7</v>
      </c>
      <c r="AD437" s="146">
        <v>65.201999999999998</v>
      </c>
      <c r="AE437" s="147">
        <v>0.38</v>
      </c>
      <c r="AF437" s="150">
        <v>50.816000000000003</v>
      </c>
      <c r="AG437" s="152">
        <v>1.2222</v>
      </c>
    </row>
    <row r="438" spans="1:33" x14ac:dyDescent="0.2">
      <c r="A438" s="27">
        <v>12</v>
      </c>
      <c r="B438" s="69">
        <v>8.6742368949999999</v>
      </c>
      <c r="C438" s="28">
        <f t="shared" si="29"/>
        <v>0.46885682267782092</v>
      </c>
      <c r="D438" s="52">
        <v>170.33799999999999</v>
      </c>
      <c r="E438" s="44">
        <v>638.14</v>
      </c>
      <c r="F438" s="44">
        <v>18.34</v>
      </c>
      <c r="G438" s="11">
        <v>6.845E-4</v>
      </c>
      <c r="H438" s="61">
        <f t="shared" si="27"/>
        <v>249.03216374269002</v>
      </c>
      <c r="I438" s="29">
        <f t="shared" si="28"/>
        <v>0.23644462449086476</v>
      </c>
      <c r="J438" s="52">
        <v>0.432</v>
      </c>
      <c r="K438" s="75">
        <v>-4.2889999999999997</v>
      </c>
      <c r="L438" s="81">
        <v>825.55</v>
      </c>
      <c r="M438" s="13">
        <v>7.4999999999999997E-3</v>
      </c>
      <c r="N438" s="12">
        <v>-7.8766000000000001E-6</v>
      </c>
      <c r="O438" s="93">
        <v>0.24890000000000001</v>
      </c>
      <c r="P438" s="94">
        <v>0.25869999999999999</v>
      </c>
      <c r="Q438" s="95">
        <v>0.28570000000000001</v>
      </c>
      <c r="R438" s="111">
        <v>25.535</v>
      </c>
      <c r="S438" s="118">
        <v>-3462.8</v>
      </c>
      <c r="T438" s="125">
        <v>-5.6935000000000002</v>
      </c>
      <c r="U438" s="14">
        <v>0</v>
      </c>
      <c r="V438" s="30">
        <v>0</v>
      </c>
      <c r="W438" s="138">
        <v>218.75899999999999</v>
      </c>
      <c r="X438" s="13">
        <v>0.90639000000000003</v>
      </c>
      <c r="Y438" s="14">
        <v>-2.4172999999999998E-3</v>
      </c>
      <c r="Z438" s="30">
        <v>3.1758000000000002E-6</v>
      </c>
      <c r="AA438" s="77">
        <v>0.15809999999999999</v>
      </c>
      <c r="AB438" s="5">
        <v>-6.3723E-5</v>
      </c>
      <c r="AC438" s="15">
        <v>-2.0311E-7</v>
      </c>
      <c r="AD438" s="146">
        <v>65.981999999999999</v>
      </c>
      <c r="AE438" s="147">
        <v>0.38</v>
      </c>
      <c r="AF438" s="150">
        <v>51.01</v>
      </c>
      <c r="AG438" s="152">
        <v>1.2222</v>
      </c>
    </row>
    <row r="439" spans="1:33" x14ac:dyDescent="0.2">
      <c r="A439" s="27">
        <v>12</v>
      </c>
      <c r="B439" s="69">
        <v>5.6569704674999999</v>
      </c>
      <c r="C439" s="28">
        <f t="shared" si="29"/>
        <v>0.27915068340105359</v>
      </c>
      <c r="D439" s="52">
        <v>170.33799999999999</v>
      </c>
      <c r="E439" s="47">
        <v>645.29</v>
      </c>
      <c r="F439" s="44">
        <v>18.22</v>
      </c>
      <c r="G439" s="11">
        <v>6.9050000000000003E-4</v>
      </c>
      <c r="H439" s="61">
        <f t="shared" si="27"/>
        <v>246.86666666666667</v>
      </c>
      <c r="I439" s="29">
        <f t="shared" si="28"/>
        <v>0.23433249050456478</v>
      </c>
      <c r="J439" s="52">
        <v>0.46100000000000002</v>
      </c>
      <c r="K439" s="75">
        <v>-5.2340999999999998</v>
      </c>
      <c r="L439" s="81">
        <v>1049.3</v>
      </c>
      <c r="M439" s="13">
        <v>8.8999999999999999E-3</v>
      </c>
      <c r="N439" s="12">
        <v>-8.4440000000000008E-6</v>
      </c>
      <c r="O439" s="93">
        <v>0.2467</v>
      </c>
      <c r="P439" s="94">
        <v>0.25540000000000002</v>
      </c>
      <c r="Q439" s="95">
        <v>0.28570000000000001</v>
      </c>
      <c r="R439" s="111">
        <v>25.481000000000002</v>
      </c>
      <c r="S439" s="118">
        <v>-3537.1</v>
      </c>
      <c r="T439" s="125">
        <v>-5.6462000000000003</v>
      </c>
      <c r="U439" s="14">
        <v>0</v>
      </c>
      <c r="V439" s="30">
        <v>0</v>
      </c>
      <c r="W439" s="138">
        <v>213.596</v>
      </c>
      <c r="X439" s="13">
        <v>0.97709999999999997</v>
      </c>
      <c r="Y439" s="14">
        <v>-2.5783999999999998E-3</v>
      </c>
      <c r="Z439" s="30">
        <v>3.2843E-6</v>
      </c>
      <c r="AA439" s="77">
        <v>0.15809999999999999</v>
      </c>
      <c r="AB439" s="5">
        <v>-5.8012E-5</v>
      </c>
      <c r="AC439" s="15">
        <v>-2.0601E-7</v>
      </c>
      <c r="AD439" s="146">
        <v>67.641000000000005</v>
      </c>
      <c r="AE439" s="147">
        <v>0.38</v>
      </c>
      <c r="AF439" s="150">
        <v>51.576999999999998</v>
      </c>
      <c r="AG439" s="152">
        <v>1.2222</v>
      </c>
    </row>
    <row r="440" spans="1:33" x14ac:dyDescent="0.2">
      <c r="A440" s="27">
        <v>12</v>
      </c>
      <c r="B440" s="69">
        <v>4.9785069824999999</v>
      </c>
      <c r="C440" s="28">
        <f t="shared" si="29"/>
        <v>0.23649330080913764</v>
      </c>
      <c r="D440" s="52">
        <v>170.33799999999999</v>
      </c>
      <c r="E440" s="44">
        <v>646.66</v>
      </c>
      <c r="F440" s="44">
        <v>18.22</v>
      </c>
      <c r="G440" s="11">
        <v>6.9050000000000003E-4</v>
      </c>
      <c r="H440" s="61">
        <f t="shared" si="27"/>
        <v>246.86666666666667</v>
      </c>
      <c r="I440" s="29">
        <f t="shared" si="28"/>
        <v>0.23383603871847741</v>
      </c>
      <c r="J440" s="52">
        <v>0.46100000000000002</v>
      </c>
      <c r="K440" s="75">
        <v>-5.2514000000000003</v>
      </c>
      <c r="L440" s="81">
        <v>1053.8</v>
      </c>
      <c r="M440" s="13">
        <v>8.8999999999999999E-3</v>
      </c>
      <c r="N440" s="12">
        <v>-8.4356999999999995E-6</v>
      </c>
      <c r="O440" s="93">
        <v>0.2467</v>
      </c>
      <c r="P440" s="94">
        <v>0.25319999999999998</v>
      </c>
      <c r="Q440" s="95">
        <v>0.28570000000000001</v>
      </c>
      <c r="R440" s="111">
        <v>25.437000000000001</v>
      </c>
      <c r="S440" s="118">
        <v>-3540.9</v>
      </c>
      <c r="T440" s="125">
        <v>-5.6306000000000003</v>
      </c>
      <c r="U440" s="14">
        <v>0</v>
      </c>
      <c r="V440" s="30">
        <v>0</v>
      </c>
      <c r="W440" s="138">
        <v>213.13</v>
      </c>
      <c r="X440" s="13">
        <v>0.98058999999999996</v>
      </c>
      <c r="Y440" s="14">
        <v>-2.5855000000000001E-3</v>
      </c>
      <c r="Z440" s="30">
        <v>3.2903000000000001E-6</v>
      </c>
      <c r="AA440" s="77">
        <v>0.15809999999999999</v>
      </c>
      <c r="AB440" s="5">
        <v>-5.7961999999999998E-5</v>
      </c>
      <c r="AC440" s="15">
        <v>-2.051E-7</v>
      </c>
      <c r="AD440" s="146">
        <v>67.798000000000002</v>
      </c>
      <c r="AE440" s="147">
        <v>0.38</v>
      </c>
      <c r="AF440" s="150">
        <v>51.616</v>
      </c>
      <c r="AG440" s="152">
        <v>1.2222</v>
      </c>
    </row>
    <row r="441" spans="1:33" x14ac:dyDescent="0.2">
      <c r="A441" s="27">
        <v>12</v>
      </c>
      <c r="B441" s="69">
        <v>3.1219988062500001</v>
      </c>
      <c r="C441" s="28">
        <f t="shared" si="29"/>
        <v>0.1197681102717038</v>
      </c>
      <c r="D441" s="52">
        <v>170.33799999999999</v>
      </c>
      <c r="E441" s="47">
        <v>633.95000000000005</v>
      </c>
      <c r="F441" s="44">
        <v>18.05</v>
      </c>
      <c r="G441" s="11">
        <v>6.9550000000000005E-4</v>
      </c>
      <c r="H441" s="61">
        <f t="shared" si="27"/>
        <v>245.09064748201439</v>
      </c>
      <c r="I441" s="29">
        <f t="shared" si="28"/>
        <v>0.23801097558877016</v>
      </c>
      <c r="J441" s="52">
        <v>0.51900000000000002</v>
      </c>
      <c r="K441" s="75">
        <v>-5.016</v>
      </c>
      <c r="L441" s="81">
        <v>922.64</v>
      </c>
      <c r="M441" s="13">
        <v>9.4000000000000004E-3</v>
      </c>
      <c r="N441" s="12">
        <v>-9.5393000000000003E-6</v>
      </c>
      <c r="O441" s="93">
        <v>0.24490000000000001</v>
      </c>
      <c r="P441" s="94">
        <v>0.25929999999999997</v>
      </c>
      <c r="Q441" s="95">
        <v>0.28570000000000001</v>
      </c>
      <c r="R441" s="111">
        <v>26.256</v>
      </c>
      <c r="S441" s="118">
        <v>-3619.4</v>
      </c>
      <c r="T441" s="125">
        <v>-5.8581000000000003</v>
      </c>
      <c r="U441" s="14">
        <v>0</v>
      </c>
      <c r="V441" s="30">
        <v>0</v>
      </c>
      <c r="W441" s="138">
        <v>219.06899999999999</v>
      </c>
      <c r="X441" s="13">
        <v>1.0057</v>
      </c>
      <c r="Y441" s="14">
        <v>-2.7328999999999999E-3</v>
      </c>
      <c r="Z441" s="30">
        <v>3.5404999999999998E-6</v>
      </c>
      <c r="AA441" s="77">
        <v>0.16139999999999999</v>
      </c>
      <c r="AB441" s="5">
        <v>-6.2718999999999994E-5</v>
      </c>
      <c r="AC441" s="15">
        <v>-2.1437999999999999E-7</v>
      </c>
      <c r="AD441" s="146">
        <v>67.974000000000004</v>
      </c>
      <c r="AE441" s="147">
        <v>0.38</v>
      </c>
      <c r="AF441" s="150">
        <v>52.116999999999997</v>
      </c>
      <c r="AG441" s="152">
        <v>1.2222</v>
      </c>
    </row>
    <row r="442" spans="1:33" x14ac:dyDescent="0.2">
      <c r="A442" s="27">
        <v>12</v>
      </c>
      <c r="B442" s="69">
        <v>3.80395145</v>
      </c>
      <c r="C442" s="28">
        <f t="shared" si="29"/>
        <v>0.16264486853086391</v>
      </c>
      <c r="D442" s="52">
        <v>170.33799999999999</v>
      </c>
      <c r="E442" s="47">
        <v>635.30999999999995</v>
      </c>
      <c r="F442" s="44">
        <v>18.05</v>
      </c>
      <c r="G442" s="11">
        <v>6.9550000000000005E-4</v>
      </c>
      <c r="H442" s="61">
        <f t="shared" si="27"/>
        <v>245.09064748201439</v>
      </c>
      <c r="I442" s="29">
        <f t="shared" si="28"/>
        <v>0.23750146853426021</v>
      </c>
      <c r="J442" s="52">
        <v>0.51900000000000002</v>
      </c>
      <c r="K442" s="75">
        <v>-5.0248999999999997</v>
      </c>
      <c r="L442" s="81">
        <v>926.18</v>
      </c>
      <c r="M442" s="13">
        <v>9.4000000000000004E-3</v>
      </c>
      <c r="N442" s="12">
        <v>-9.5085000000000005E-6</v>
      </c>
      <c r="O442" s="93">
        <v>0.24490000000000001</v>
      </c>
      <c r="P442" s="94">
        <v>0.26150000000000001</v>
      </c>
      <c r="Q442" s="95">
        <v>0.28570000000000001</v>
      </c>
      <c r="R442" s="111">
        <v>26.209</v>
      </c>
      <c r="S442" s="118">
        <v>-3623.3</v>
      </c>
      <c r="T442" s="125">
        <v>-5.8418000000000001</v>
      </c>
      <c r="U442" s="14">
        <v>0</v>
      </c>
      <c r="V442" s="30">
        <v>0</v>
      </c>
      <c r="W442" s="138">
        <v>220.93299999999999</v>
      </c>
      <c r="X442" s="13">
        <v>0.99146000000000001</v>
      </c>
      <c r="Y442" s="14">
        <v>-2.6863999999999998E-3</v>
      </c>
      <c r="Z442" s="30">
        <v>3.4790999999999999E-6</v>
      </c>
      <c r="AA442" s="77">
        <v>0.16139999999999999</v>
      </c>
      <c r="AB442" s="5">
        <v>-6.2649000000000003E-5</v>
      </c>
      <c r="AC442" s="15">
        <v>-2.1345E-7</v>
      </c>
      <c r="AD442" s="146">
        <v>68.132999999999996</v>
      </c>
      <c r="AE442" s="147">
        <v>0.38</v>
      </c>
      <c r="AF442" s="150">
        <v>52.155999999999999</v>
      </c>
      <c r="AG442" s="152">
        <v>1.2222</v>
      </c>
    </row>
    <row r="443" spans="1:33" x14ac:dyDescent="0.2">
      <c r="A443" s="27">
        <v>12</v>
      </c>
      <c r="B443" s="69">
        <v>2.82148995375</v>
      </c>
      <c r="C443" s="28">
        <f t="shared" si="29"/>
        <v>0.10087406309486842</v>
      </c>
      <c r="D443" s="52">
        <v>170.33799999999999</v>
      </c>
      <c r="E443" s="44">
        <v>638.02</v>
      </c>
      <c r="F443" s="44">
        <v>18.05</v>
      </c>
      <c r="G443" s="11">
        <v>6.9550000000000005E-4</v>
      </c>
      <c r="H443" s="61">
        <f t="shared" si="27"/>
        <v>245.09064748201439</v>
      </c>
      <c r="I443" s="29">
        <f t="shared" si="28"/>
        <v>0.23649267730557169</v>
      </c>
      <c r="J443" s="52">
        <v>0.51900000000000002</v>
      </c>
      <c r="K443" s="75">
        <v>-5.0415000000000001</v>
      </c>
      <c r="L443" s="81">
        <v>933.12</v>
      </c>
      <c r="M443" s="13">
        <v>9.4000000000000004E-3</v>
      </c>
      <c r="N443" s="12">
        <v>-9.4460000000000007E-6</v>
      </c>
      <c r="O443" s="93">
        <v>0.24490000000000001</v>
      </c>
      <c r="P443" s="94">
        <v>0.25700000000000001</v>
      </c>
      <c r="Q443" s="95">
        <v>0.28570000000000001</v>
      </c>
      <c r="R443" s="111">
        <v>26.117000000000001</v>
      </c>
      <c r="S443" s="118">
        <v>-3631</v>
      </c>
      <c r="T443" s="125">
        <v>-5.8094000000000001</v>
      </c>
      <c r="U443" s="14">
        <v>0</v>
      </c>
      <c r="V443" s="30">
        <v>0</v>
      </c>
      <c r="W443" s="138">
        <v>219.91399999999999</v>
      </c>
      <c r="X443" s="13">
        <v>0.99944</v>
      </c>
      <c r="Y443" s="14">
        <v>-2.7039999999999998E-3</v>
      </c>
      <c r="Z443" s="30">
        <v>3.495E-6</v>
      </c>
      <c r="AA443" s="77">
        <v>0.1615</v>
      </c>
      <c r="AB443" s="5">
        <v>-6.2508999999999994E-5</v>
      </c>
      <c r="AC443" s="15">
        <v>-2.1161E-7</v>
      </c>
      <c r="AD443" s="146">
        <v>68.450999999999993</v>
      </c>
      <c r="AE443" s="147">
        <v>0.38</v>
      </c>
      <c r="AF443" s="150">
        <v>52.234000000000002</v>
      </c>
      <c r="AG443" s="152">
        <v>1.2222</v>
      </c>
    </row>
    <row r="444" spans="1:33" x14ac:dyDescent="0.2">
      <c r="A444" s="27">
        <v>12</v>
      </c>
      <c r="B444" s="69">
        <v>4.1584773974999996</v>
      </c>
      <c r="C444" s="28">
        <f t="shared" si="29"/>
        <v>0.18493516022028181</v>
      </c>
      <c r="D444" s="52">
        <v>170.33799999999999</v>
      </c>
      <c r="E444" s="47">
        <v>641.55999999999995</v>
      </c>
      <c r="F444" s="44">
        <v>18.09</v>
      </c>
      <c r="G444" s="11">
        <v>6.9649999999999996E-4</v>
      </c>
      <c r="H444" s="61">
        <f t="shared" si="27"/>
        <v>244.73850574712645</v>
      </c>
      <c r="I444" s="29">
        <f t="shared" si="28"/>
        <v>0.23604809920034492</v>
      </c>
      <c r="J444" s="52">
        <v>0.48899999999999999</v>
      </c>
      <c r="K444" s="75">
        <v>-4.7629000000000001</v>
      </c>
      <c r="L444" s="81">
        <v>899.76</v>
      </c>
      <c r="M444" s="13">
        <v>8.6999999999999994E-3</v>
      </c>
      <c r="N444" s="12">
        <v>-8.7605000000000002E-6</v>
      </c>
      <c r="O444" s="93">
        <v>0.24460000000000001</v>
      </c>
      <c r="P444" s="94">
        <v>0.25669999999999998</v>
      </c>
      <c r="Q444" s="95">
        <v>0.28570000000000001</v>
      </c>
      <c r="R444" s="111">
        <v>25.788</v>
      </c>
      <c r="S444" s="118">
        <v>-3582</v>
      </c>
      <c r="T444" s="125">
        <v>-5.7252000000000001</v>
      </c>
      <c r="U444" s="14">
        <v>0</v>
      </c>
      <c r="V444" s="30">
        <v>0</v>
      </c>
      <c r="W444" s="138">
        <v>204.25700000000001</v>
      </c>
      <c r="X444" s="13">
        <v>1.0792999999999999</v>
      </c>
      <c r="Y444" s="14">
        <v>-2.8517E-3</v>
      </c>
      <c r="Z444" s="30">
        <v>3.5451000000000002E-6</v>
      </c>
      <c r="AA444" s="77">
        <v>0.15770000000000001</v>
      </c>
      <c r="AB444" s="5">
        <v>-5.2293999999999998E-5</v>
      </c>
      <c r="AC444" s="15">
        <v>-2.1649E-7</v>
      </c>
      <c r="AD444" s="146">
        <v>68.05</v>
      </c>
      <c r="AE444" s="147">
        <v>0.38</v>
      </c>
      <c r="AF444" s="150">
        <v>51.848999999999997</v>
      </c>
      <c r="AG444" s="152">
        <v>1.2222</v>
      </c>
    </row>
    <row r="445" spans="1:33" x14ac:dyDescent="0.2">
      <c r="A445" s="27">
        <v>12</v>
      </c>
      <c r="B445" s="69">
        <v>5.1043127300000002</v>
      </c>
      <c r="C445" s="28">
        <f t="shared" si="29"/>
        <v>0.24440315008182101</v>
      </c>
      <c r="D445" s="52">
        <v>170.33799999999999</v>
      </c>
      <c r="E445" s="47">
        <v>636.16</v>
      </c>
      <c r="F445" s="44">
        <v>18.170000000000002</v>
      </c>
      <c r="G445" s="11">
        <v>6.8950000000000001E-4</v>
      </c>
      <c r="H445" s="61">
        <f t="shared" si="27"/>
        <v>247.22496371552973</v>
      </c>
      <c r="I445" s="29">
        <f t="shared" si="28"/>
        <v>0.23669973443015568</v>
      </c>
      <c r="J445" s="52">
        <v>0.49099999999999999</v>
      </c>
      <c r="K445" s="75">
        <v>-4.8075000000000001</v>
      </c>
      <c r="L445" s="81">
        <v>896.27</v>
      </c>
      <c r="M445" s="13">
        <v>8.8999999999999999E-3</v>
      </c>
      <c r="N445" s="12">
        <v>-9.0170000000000002E-6</v>
      </c>
      <c r="O445" s="93">
        <v>0.24709999999999999</v>
      </c>
      <c r="P445" s="94">
        <v>0.25790000000000002</v>
      </c>
      <c r="Q445" s="95">
        <v>0.28570000000000001</v>
      </c>
      <c r="R445" s="111">
        <v>25.992999999999999</v>
      </c>
      <c r="S445" s="118">
        <v>-3570.7</v>
      </c>
      <c r="T445" s="125">
        <v>-5.7945000000000002</v>
      </c>
      <c r="U445" s="14">
        <v>0</v>
      </c>
      <c r="V445" s="30">
        <v>0</v>
      </c>
      <c r="W445" s="138">
        <v>226.535</v>
      </c>
      <c r="X445" s="13">
        <v>0.91688000000000003</v>
      </c>
      <c r="Y445" s="14">
        <v>-2.4949999999999998E-3</v>
      </c>
      <c r="Z445" s="30">
        <v>3.3168000000000002E-6</v>
      </c>
      <c r="AA445" s="77">
        <v>0.16159999999999999</v>
      </c>
      <c r="AB445" s="5">
        <v>-6.7917999999999996E-5</v>
      </c>
      <c r="AC445" s="15">
        <v>-2.0529000000000001E-7</v>
      </c>
      <c r="AD445" s="146">
        <v>67.412000000000006</v>
      </c>
      <c r="AE445" s="147">
        <v>0.38</v>
      </c>
      <c r="AF445" s="150">
        <v>51.798000000000002</v>
      </c>
      <c r="AG445" s="152">
        <v>1.2222</v>
      </c>
    </row>
    <row r="446" spans="1:33" x14ac:dyDescent="0.2">
      <c r="A446" s="27">
        <v>12</v>
      </c>
      <c r="B446" s="69">
        <v>5.4068539199999996</v>
      </c>
      <c r="C446" s="28">
        <f t="shared" si="29"/>
        <v>0.2634249774564269</v>
      </c>
      <c r="D446" s="52">
        <v>170.33799999999999</v>
      </c>
      <c r="E446" s="44">
        <v>633.44000000000005</v>
      </c>
      <c r="F446" s="44">
        <v>18.170000000000002</v>
      </c>
      <c r="G446" s="11">
        <v>6.8950000000000001E-4</v>
      </c>
      <c r="H446" s="61">
        <f t="shared" si="27"/>
        <v>247.22496371552973</v>
      </c>
      <c r="I446" s="29">
        <f t="shared" si="28"/>
        <v>0.23771612631833769</v>
      </c>
      <c r="J446" s="52">
        <v>0.49099999999999999</v>
      </c>
      <c r="K446" s="75">
        <v>-4.7869000000000002</v>
      </c>
      <c r="L446" s="81">
        <v>888.85</v>
      </c>
      <c r="M446" s="13">
        <v>8.8999999999999999E-3</v>
      </c>
      <c r="N446" s="12">
        <v>-9.0710000000000001E-6</v>
      </c>
      <c r="O446" s="93">
        <v>0.24709999999999999</v>
      </c>
      <c r="P446" s="94">
        <v>0.26</v>
      </c>
      <c r="Q446" s="95">
        <v>0.28570000000000001</v>
      </c>
      <c r="R446" s="111">
        <v>26.085999999999999</v>
      </c>
      <c r="S446" s="118">
        <v>-3563.1</v>
      </c>
      <c r="T446" s="125">
        <v>-5.8272000000000004</v>
      </c>
      <c r="U446" s="14">
        <v>0</v>
      </c>
      <c r="V446" s="30">
        <v>0</v>
      </c>
      <c r="W446" s="138">
        <v>226.298</v>
      </c>
      <c r="X446" s="13">
        <v>0.91852</v>
      </c>
      <c r="Y446" s="14">
        <v>-2.5062999999999999E-3</v>
      </c>
      <c r="Z446" s="30">
        <v>3.3372999999999998E-6</v>
      </c>
      <c r="AA446" s="77">
        <v>0.1615</v>
      </c>
      <c r="AB446" s="5">
        <v>-6.8108999999999995E-5</v>
      </c>
      <c r="AC446" s="15">
        <v>-2.0706999999999999E-7</v>
      </c>
      <c r="AD446" s="146">
        <v>67.094999999999999</v>
      </c>
      <c r="AE446" s="147">
        <v>0.38</v>
      </c>
      <c r="AF446" s="150">
        <v>51.72</v>
      </c>
      <c r="AG446" s="152">
        <v>1.2222</v>
      </c>
    </row>
    <row r="447" spans="1:33" x14ac:dyDescent="0.2">
      <c r="A447" s="27">
        <v>12</v>
      </c>
      <c r="B447" s="69">
        <v>6.0881353049999998</v>
      </c>
      <c r="C447" s="28">
        <f t="shared" si="29"/>
        <v>0.30625953131999323</v>
      </c>
      <c r="D447" s="52">
        <v>170.33799999999999</v>
      </c>
      <c r="E447" s="44">
        <v>632.08000000000004</v>
      </c>
      <c r="F447" s="44">
        <v>18.170000000000002</v>
      </c>
      <c r="G447" s="11">
        <v>6.8950000000000001E-4</v>
      </c>
      <c r="H447" s="61">
        <f t="shared" si="27"/>
        <v>247.22496371552973</v>
      </c>
      <c r="I447" s="29">
        <f t="shared" si="28"/>
        <v>0.23822760260582176</v>
      </c>
      <c r="J447" s="52">
        <v>0.49099999999999999</v>
      </c>
      <c r="K447" s="75">
        <v>-4.7759999999999998</v>
      </c>
      <c r="L447" s="81">
        <v>885.04</v>
      </c>
      <c r="M447" s="13">
        <v>8.8999999999999999E-3</v>
      </c>
      <c r="N447" s="12">
        <v>-9.0975000000000006E-6</v>
      </c>
      <c r="O447" s="93">
        <v>0.24709999999999999</v>
      </c>
      <c r="P447" s="94">
        <v>0.26229999999999998</v>
      </c>
      <c r="Q447" s="95">
        <v>0.28570000000000001</v>
      </c>
      <c r="R447" s="111">
        <v>26.132000000000001</v>
      </c>
      <c r="S447" s="118">
        <v>-3559.3</v>
      </c>
      <c r="T447" s="125">
        <v>-5.8437000000000001</v>
      </c>
      <c r="U447" s="14">
        <v>0</v>
      </c>
      <c r="V447" s="30">
        <v>0</v>
      </c>
      <c r="W447" s="138">
        <v>226.74600000000001</v>
      </c>
      <c r="X447" s="13">
        <v>0.91500000000000004</v>
      </c>
      <c r="Y447" s="14">
        <v>-2.4986000000000001E-3</v>
      </c>
      <c r="Z447" s="30">
        <v>3.3303999999999999E-6</v>
      </c>
      <c r="AA447" s="77">
        <v>0.1615</v>
      </c>
      <c r="AB447" s="5">
        <v>-6.8205000000000002E-5</v>
      </c>
      <c r="AC447" s="15">
        <v>-2.0797E-7</v>
      </c>
      <c r="AD447" s="146">
        <v>66.936999999999998</v>
      </c>
      <c r="AE447" s="147">
        <v>0.38</v>
      </c>
      <c r="AF447" s="150">
        <v>51.682000000000002</v>
      </c>
      <c r="AG447" s="152">
        <v>1.2222</v>
      </c>
    </row>
    <row r="448" spans="1:33" x14ac:dyDescent="0.2">
      <c r="A448" s="27">
        <v>12</v>
      </c>
      <c r="B448" s="69">
        <v>2.8214604562500001</v>
      </c>
      <c r="C448" s="28">
        <f t="shared" si="29"/>
        <v>0.10087220848342532</v>
      </c>
      <c r="D448" s="52">
        <v>170.33799999999999</v>
      </c>
      <c r="E448" s="47">
        <v>635.30999999999995</v>
      </c>
      <c r="F448" s="44">
        <v>18.05</v>
      </c>
      <c r="G448" s="11">
        <v>6.9550000000000005E-4</v>
      </c>
      <c r="H448" s="61">
        <f t="shared" si="27"/>
        <v>245.09064748201439</v>
      </c>
      <c r="I448" s="29">
        <f t="shared" si="28"/>
        <v>0.23750146853426021</v>
      </c>
      <c r="J448" s="52">
        <v>0.51900000000000002</v>
      </c>
      <c r="K448" s="75">
        <v>-5.0248999999999997</v>
      </c>
      <c r="L448" s="81">
        <v>926.18</v>
      </c>
      <c r="M448" s="13">
        <v>9.4000000000000004E-3</v>
      </c>
      <c r="N448" s="12">
        <v>-9.5085000000000005E-6</v>
      </c>
      <c r="O448" s="93">
        <v>0.24490000000000001</v>
      </c>
      <c r="P448" s="94">
        <v>0.25679999999999997</v>
      </c>
      <c r="Q448" s="95">
        <v>0.28570000000000001</v>
      </c>
      <c r="R448" s="111">
        <v>26.209</v>
      </c>
      <c r="S448" s="118">
        <v>-3623.3</v>
      </c>
      <c r="T448" s="125">
        <v>-5.8418000000000001</v>
      </c>
      <c r="U448" s="14">
        <v>0</v>
      </c>
      <c r="V448" s="30">
        <v>0</v>
      </c>
      <c r="W448" s="138">
        <v>218.43199999999999</v>
      </c>
      <c r="X448" s="13">
        <v>1.0106999999999999</v>
      </c>
      <c r="Y448" s="14">
        <v>-2.7445999999999998E-3</v>
      </c>
      <c r="Z448" s="30">
        <v>3.5520999999999998E-6</v>
      </c>
      <c r="AA448" s="77">
        <v>0.16139999999999999</v>
      </c>
      <c r="AB448" s="5">
        <v>-6.2649000000000003E-5</v>
      </c>
      <c r="AC448" s="15">
        <v>-2.1345E-7</v>
      </c>
      <c r="AD448" s="146">
        <v>68.132999999999996</v>
      </c>
      <c r="AE448" s="147">
        <v>0.38</v>
      </c>
      <c r="AF448" s="150">
        <v>52.155999999999999</v>
      </c>
      <c r="AG448" s="152">
        <v>1.2222</v>
      </c>
    </row>
    <row r="449" spans="1:33" x14ac:dyDescent="0.2">
      <c r="A449" s="27">
        <v>12</v>
      </c>
      <c r="B449" s="69">
        <v>3.1216995375000001</v>
      </c>
      <c r="C449" s="28">
        <f t="shared" si="29"/>
        <v>0.11974929419412733</v>
      </c>
      <c r="D449" s="52">
        <v>170.33799999999999</v>
      </c>
      <c r="E449" s="47">
        <v>632.6</v>
      </c>
      <c r="F449" s="44">
        <v>18.05</v>
      </c>
      <c r="G449" s="11">
        <v>6.9550000000000005E-4</v>
      </c>
      <c r="H449" s="61">
        <f t="shared" si="27"/>
        <v>245.09064748201439</v>
      </c>
      <c r="I449" s="29">
        <f t="shared" si="28"/>
        <v>0.23851890289993807</v>
      </c>
      <c r="J449" s="52">
        <v>0.51900000000000002</v>
      </c>
      <c r="K449" s="75">
        <v>-5.0067000000000004</v>
      </c>
      <c r="L449" s="81">
        <v>919.03</v>
      </c>
      <c r="M449" s="13">
        <v>9.4999999999999998E-3</v>
      </c>
      <c r="N449" s="12">
        <v>-9.5697999999999994E-6</v>
      </c>
      <c r="O449" s="93">
        <v>0.24490000000000001</v>
      </c>
      <c r="P449" s="94">
        <v>0.25490000000000002</v>
      </c>
      <c r="Q449" s="95">
        <v>0.28570000000000001</v>
      </c>
      <c r="R449" s="111">
        <v>26.302</v>
      </c>
      <c r="S449" s="118">
        <v>-3615.5</v>
      </c>
      <c r="T449" s="125">
        <v>-5.8745000000000003</v>
      </c>
      <c r="U449" s="14">
        <v>0</v>
      </c>
      <c r="V449" s="30">
        <v>0</v>
      </c>
      <c r="W449" s="138">
        <v>215.935</v>
      </c>
      <c r="X449" s="13">
        <v>1.0299</v>
      </c>
      <c r="Y449" s="14">
        <v>-2.8094999999999999E-3</v>
      </c>
      <c r="Z449" s="30">
        <v>3.6397999999999999E-6</v>
      </c>
      <c r="AA449" s="77">
        <v>0.16139999999999999</v>
      </c>
      <c r="AB449" s="5">
        <v>-6.2788999999999998E-5</v>
      </c>
      <c r="AC449" s="15">
        <v>-2.1532E-7</v>
      </c>
      <c r="AD449" s="146">
        <v>67.814999999999998</v>
      </c>
      <c r="AE449" s="147">
        <v>0.38</v>
      </c>
      <c r="AF449" s="150">
        <v>52.078000000000003</v>
      </c>
      <c r="AG449" s="152">
        <v>1.2222</v>
      </c>
    </row>
    <row r="450" spans="1:33" x14ac:dyDescent="0.2">
      <c r="A450" s="27">
        <v>12</v>
      </c>
      <c r="B450" s="69">
        <v>3.8036928799999998</v>
      </c>
      <c r="C450" s="28">
        <f t="shared" si="29"/>
        <v>0.16262861132666553</v>
      </c>
      <c r="D450" s="52">
        <v>170.33799999999999</v>
      </c>
      <c r="E450" s="47">
        <v>628.54</v>
      </c>
      <c r="F450" s="44">
        <v>18.05</v>
      </c>
      <c r="G450" s="11">
        <v>6.9550000000000005E-4</v>
      </c>
      <c r="H450" s="61">
        <f t="shared" si="27"/>
        <v>245.09064748201439</v>
      </c>
      <c r="I450" s="29">
        <f t="shared" si="28"/>
        <v>0.24005959521192102</v>
      </c>
      <c r="J450" s="52">
        <v>0.51900000000000002</v>
      </c>
      <c r="K450" s="75">
        <v>-4.9763999999999999</v>
      </c>
      <c r="L450" s="81">
        <v>907.85</v>
      </c>
      <c r="M450" s="13">
        <v>9.4999999999999998E-3</v>
      </c>
      <c r="N450" s="12">
        <v>-9.6590000000000002E-6</v>
      </c>
      <c r="O450" s="93">
        <v>0.24490000000000001</v>
      </c>
      <c r="P450" s="94">
        <v>0.26140000000000002</v>
      </c>
      <c r="Q450" s="95">
        <v>0.28570000000000001</v>
      </c>
      <c r="R450" s="111">
        <v>26.443999999999999</v>
      </c>
      <c r="S450" s="118">
        <v>-3603.9</v>
      </c>
      <c r="T450" s="125">
        <v>-5.9242999999999997</v>
      </c>
      <c r="U450" s="14">
        <v>0</v>
      </c>
      <c r="V450" s="30">
        <v>0</v>
      </c>
      <c r="W450" s="138">
        <v>217.30699999999999</v>
      </c>
      <c r="X450" s="13">
        <v>1.0192000000000001</v>
      </c>
      <c r="Y450" s="14">
        <v>-2.787E-3</v>
      </c>
      <c r="Z450" s="30">
        <v>3.6212000000000002E-6</v>
      </c>
      <c r="AA450" s="77">
        <v>0.1613</v>
      </c>
      <c r="AB450" s="5">
        <v>-6.2997999999999996E-5</v>
      </c>
      <c r="AC450" s="15">
        <v>-2.1817E-7</v>
      </c>
      <c r="AD450" s="146">
        <v>67.337999999999994</v>
      </c>
      <c r="AE450" s="147">
        <v>0.38</v>
      </c>
      <c r="AF450" s="150">
        <v>51.960999999999999</v>
      </c>
      <c r="AG450" s="152">
        <v>1.2222</v>
      </c>
    </row>
    <row r="451" spans="1:33" x14ac:dyDescent="0.2">
      <c r="A451" s="27">
        <v>12</v>
      </c>
      <c r="B451" s="69">
        <v>3.8024154999999999</v>
      </c>
      <c r="C451" s="28">
        <f t="shared" si="29"/>
        <v>0.16254829795891626</v>
      </c>
      <c r="D451" s="52">
        <v>170.33799999999999</v>
      </c>
      <c r="E451" s="48">
        <v>638.02</v>
      </c>
      <c r="F451" s="48">
        <v>18.05</v>
      </c>
      <c r="G451" s="35">
        <v>6.9550000000000005E-4</v>
      </c>
      <c r="H451" s="61">
        <f t="shared" ref="H451:H514" si="30">1/LEFT(G451,8)*D451/1000</f>
        <v>245.09064748201439</v>
      </c>
      <c r="I451" s="29">
        <f t="shared" ref="I451:I514" si="31">LEFT(F451,5)*100000/(H451*8.314/(D451/1000)*E451)</f>
        <v>0.23649267730557169</v>
      </c>
      <c r="J451" s="55">
        <v>0.51900000000000002</v>
      </c>
      <c r="K451" s="76">
        <v>-5.0415000000000001</v>
      </c>
      <c r="L451" s="82">
        <v>933.12</v>
      </c>
      <c r="M451" s="85">
        <v>9.4000000000000004E-3</v>
      </c>
      <c r="N451" s="4">
        <v>-9.4460000000000007E-6</v>
      </c>
      <c r="O451" s="99" t="str" cm="1">
        <f t="array" ref="O451">LEFT(INDEX($O$292:$O$645, MATCH(MIN(IF(ABS($B$292:$B$645-B451)&lt;&gt;0, ABS($B$292:$B$645-B451))), IF(ABS($B$292:$B$645-B451)&lt;&gt;0, ABS($B$292:$B$645-B451)), 0)),6)</f>
        <v>0.2449</v>
      </c>
      <c r="P451" s="106" cm="1">
        <f t="array" ref="P451">INDEX($P$292:$P$645, MATCH(MIN(IF(ABS($B$292:$B$645-B451)&lt;&gt;0, ABS($B$292:$B$645-B451))), IF(ABS($B$292:$B$645-B451)&lt;&gt;0, ABS($B$292:$B$645-B451)), 0))</f>
        <v>0.26240000000000002</v>
      </c>
      <c r="Q451" s="107" cm="1">
        <f t="array" ref="Q451">INDEX($Q$292:$Q$645, MATCH(MIN(IF(ABS($B$292:$B$645-B451)&lt;&gt;0, ABS($B$292:$B$645-B451))), IF(ABS($B$292:$B$645-B451)&lt;&gt;0, ABS($B$292:$B$645-B451)), 0))</f>
        <v>0.28570000000000001</v>
      </c>
      <c r="R451" s="114">
        <v>26.117000000000001</v>
      </c>
      <c r="S451" s="120">
        <v>-3631</v>
      </c>
      <c r="T451" s="127">
        <v>-5.8094000000000001</v>
      </c>
      <c r="U451" s="14">
        <v>0</v>
      </c>
      <c r="V451" s="14">
        <v>0</v>
      </c>
      <c r="W451" s="139">
        <v>222.43299999999999</v>
      </c>
      <c r="X451" s="7">
        <v>0.98009000000000002</v>
      </c>
      <c r="Y451" s="8">
        <v>-2.6457E-3</v>
      </c>
      <c r="Z451" s="33">
        <v>3.422E-6</v>
      </c>
      <c r="AA451" s="141">
        <v>0.1615</v>
      </c>
      <c r="AB451" s="9">
        <v>-6.2508999999999994E-5</v>
      </c>
      <c r="AC451" s="10">
        <v>-2.1161E-7</v>
      </c>
      <c r="AD451" s="146">
        <v>68.450999999999993</v>
      </c>
      <c r="AE451" s="147">
        <v>0.38</v>
      </c>
      <c r="AF451" s="150">
        <v>52.234000000000002</v>
      </c>
      <c r="AG451" s="152">
        <v>1.2222</v>
      </c>
    </row>
    <row r="452" spans="1:33" x14ac:dyDescent="0.2">
      <c r="A452" s="27">
        <v>12</v>
      </c>
      <c r="B452" s="69">
        <v>3.122588275</v>
      </c>
      <c r="C452" s="28">
        <f t="shared" si="29"/>
        <v>0.11980517224268772</v>
      </c>
      <c r="D452" s="52">
        <v>170.33799999999999</v>
      </c>
      <c r="E452" s="48">
        <v>635.30999999999995</v>
      </c>
      <c r="F452" s="48">
        <v>18.05</v>
      </c>
      <c r="G452" s="35">
        <v>6.9550000000000005E-4</v>
      </c>
      <c r="H452" s="61">
        <f t="shared" si="30"/>
        <v>245.09064748201439</v>
      </c>
      <c r="I452" s="29">
        <f t="shared" si="31"/>
        <v>0.23750146853426021</v>
      </c>
      <c r="J452" s="55">
        <v>0.51900000000000002</v>
      </c>
      <c r="K452" s="76">
        <v>-5.0248999999999997</v>
      </c>
      <c r="L452" s="82">
        <v>926.18</v>
      </c>
      <c r="M452" s="85">
        <v>9.4000000000000004E-3</v>
      </c>
      <c r="N452" s="4">
        <v>-9.5085000000000005E-6</v>
      </c>
      <c r="O452" s="99" t="str" cm="1">
        <f t="array" ref="O452">LEFT(INDEX($O$292:$O$645, MATCH(MIN(IF(ABS($B$292:$B$645-B452)&lt;&gt;0, ABS($B$292:$B$645-B452))), IF(ABS($B$292:$B$645-B452)&lt;&gt;0, ABS($B$292:$B$645-B452)), 0)),6)</f>
        <v>0.2449</v>
      </c>
      <c r="P452" s="106" cm="1">
        <f t="array" ref="P452">INDEX($P$292:$P$645, MATCH(MIN(IF(ABS($B$292:$B$645-B452)&lt;&gt;0, ABS($B$292:$B$645-B452))), IF(ABS($B$292:$B$645-B452)&lt;&gt;0, ABS($B$292:$B$645-B452)), 0))</f>
        <v>0.25929999999999997</v>
      </c>
      <c r="Q452" s="107" cm="1">
        <f t="array" ref="Q452">INDEX($Q$292:$Q$645, MATCH(MIN(IF(ABS($B$292:$B$645-B452)&lt;&gt;0, ABS($B$292:$B$645-B452))), IF(ABS($B$292:$B$645-B452)&lt;&gt;0, ABS($B$292:$B$645-B452)), 0))</f>
        <v>0.28570000000000001</v>
      </c>
      <c r="R452" s="114">
        <v>26.209</v>
      </c>
      <c r="S452" s="120">
        <v>-3623.3</v>
      </c>
      <c r="T452" s="127">
        <v>-5.8418000000000001</v>
      </c>
      <c r="U452" s="14">
        <v>0</v>
      </c>
      <c r="V452" s="14">
        <v>0</v>
      </c>
      <c r="W452" s="139">
        <v>219.68</v>
      </c>
      <c r="X452" s="7">
        <v>1.0011000000000001</v>
      </c>
      <c r="Y452" s="8">
        <v>-2.7155E-3</v>
      </c>
      <c r="Z452" s="33">
        <v>3.5155999999999998E-6</v>
      </c>
      <c r="AA452" s="141">
        <v>0.16139999999999999</v>
      </c>
      <c r="AB452" s="9">
        <v>-6.2649000000000003E-5</v>
      </c>
      <c r="AC452" s="10">
        <v>-2.1345E-7</v>
      </c>
      <c r="AD452" s="146">
        <v>68.132999999999996</v>
      </c>
      <c r="AE452" s="147">
        <v>0.38</v>
      </c>
      <c r="AF452" s="150">
        <v>52.155999999999999</v>
      </c>
      <c r="AG452" s="152">
        <v>1.2222</v>
      </c>
    </row>
    <row r="453" spans="1:33" x14ac:dyDescent="0.2">
      <c r="A453" s="27">
        <v>12</v>
      </c>
      <c r="B453" s="69">
        <v>3.1220169437499998</v>
      </c>
      <c r="C453" s="28">
        <f t="shared" si="29"/>
        <v>0.11976925064004175</v>
      </c>
      <c r="D453" s="52">
        <v>170.33799999999999</v>
      </c>
      <c r="E453" s="48">
        <v>639.37</v>
      </c>
      <c r="F453" s="48">
        <v>18.05</v>
      </c>
      <c r="G453" s="35">
        <v>6.9550000000000005E-4</v>
      </c>
      <c r="H453" s="61">
        <f t="shared" si="30"/>
        <v>245.09064748201439</v>
      </c>
      <c r="I453" s="29">
        <f t="shared" si="31"/>
        <v>0.23599333402333678</v>
      </c>
      <c r="J453" s="55">
        <v>0.51900000000000002</v>
      </c>
      <c r="K453" s="76">
        <v>-5.0492999999999997</v>
      </c>
      <c r="L453" s="82">
        <v>936.5</v>
      </c>
      <c r="M453" s="85">
        <v>9.4000000000000004E-3</v>
      </c>
      <c r="N453" s="4">
        <v>-9.4143999999999992E-6</v>
      </c>
      <c r="O453" s="99" t="str" cm="1">
        <f t="array" ref="O453">LEFT(INDEX($O$292:$O$645, MATCH(MIN(IF(ABS($B$292:$B$645-B453)&lt;&gt;0, ABS($B$292:$B$645-B453))), IF(ABS($B$292:$B$645-B453)&lt;&gt;0, ABS($B$292:$B$645-B453)), 0)),6)</f>
        <v>0.2449</v>
      </c>
      <c r="P453" s="106" cm="1">
        <f t="array" ref="P453">INDEX($P$292:$P$645, MATCH(MIN(IF(ABS($B$292:$B$645-B453)&lt;&gt;0, ABS($B$292:$B$645-B453))), IF(ABS($B$292:$B$645-B453)&lt;&gt;0, ABS($B$292:$B$645-B453)), 0))</f>
        <v>0.25929999999999997</v>
      </c>
      <c r="Q453" s="107" cm="1">
        <f t="array" ref="Q453">INDEX($Q$292:$Q$645, MATCH(MIN(IF(ABS($B$292:$B$645-B453)&lt;&gt;0, ABS($B$292:$B$645-B453))), IF(ABS($B$292:$B$645-B453)&lt;&gt;0, ABS($B$292:$B$645-B453)), 0))</f>
        <v>0.28570000000000001</v>
      </c>
      <c r="R453" s="114">
        <v>26.071999999999999</v>
      </c>
      <c r="S453" s="120">
        <v>-3634.9</v>
      </c>
      <c r="T453" s="127">
        <v>-5.7934000000000001</v>
      </c>
      <c r="U453" s="14">
        <v>0</v>
      </c>
      <c r="V453" s="14">
        <v>0</v>
      </c>
      <c r="W453" s="139">
        <v>221.941</v>
      </c>
      <c r="X453" s="7">
        <v>0.98394999999999999</v>
      </c>
      <c r="Y453" s="8">
        <v>-2.6540999999999999E-3</v>
      </c>
      <c r="Z453" s="33">
        <v>3.4294999999999999E-6</v>
      </c>
      <c r="AA453" s="141">
        <v>0.1615</v>
      </c>
      <c r="AB453" s="9">
        <v>-6.2438000000000001E-5</v>
      </c>
      <c r="AC453" s="10">
        <v>-2.107E-7</v>
      </c>
      <c r="AD453" s="146">
        <v>68.61</v>
      </c>
      <c r="AE453" s="147">
        <v>0.38</v>
      </c>
      <c r="AF453" s="150">
        <v>52.273000000000003</v>
      </c>
      <c r="AG453" s="152">
        <v>1.2222</v>
      </c>
    </row>
    <row r="454" spans="1:33" x14ac:dyDescent="0.2">
      <c r="A454" s="27">
        <v>12</v>
      </c>
      <c r="B454" s="69">
        <v>3.8056863000000001</v>
      </c>
      <c r="C454" s="28">
        <f t="shared" si="29"/>
        <v>0.16275394464450266</v>
      </c>
      <c r="D454" s="52">
        <v>170.33799999999999</v>
      </c>
      <c r="E454" s="48">
        <v>643.42999999999995</v>
      </c>
      <c r="F454" s="48">
        <v>18.05</v>
      </c>
      <c r="G454" s="35">
        <v>6.9550000000000005E-4</v>
      </c>
      <c r="H454" s="61">
        <f t="shared" si="30"/>
        <v>245.09064748201439</v>
      </c>
      <c r="I454" s="29">
        <f t="shared" si="31"/>
        <v>0.23450423196695966</v>
      </c>
      <c r="J454" s="55">
        <v>0.51900000000000002</v>
      </c>
      <c r="K454" s="76">
        <v>-5.0708000000000002</v>
      </c>
      <c r="L454" s="82">
        <v>946.37</v>
      </c>
      <c r="M454" s="85">
        <v>9.4000000000000004E-3</v>
      </c>
      <c r="N454" s="4">
        <v>-9.3179999999999996E-6</v>
      </c>
      <c r="O454" s="99" t="str" cm="1">
        <f t="array" ref="O454">LEFT(INDEX($O$292:$O$645, MATCH(MIN(IF(ABS($B$292:$B$645-B454)&lt;&gt;0, ABS($B$292:$B$645-B454))), IF(ABS($B$292:$B$645-B454)&lt;&gt;0, ABS($B$292:$B$645-B454)), 0)),6)</f>
        <v>0.2449</v>
      </c>
      <c r="P454" s="106" cm="1">
        <f t="array" ref="P454">INDEX($P$292:$P$645, MATCH(MIN(IF(ABS($B$292:$B$645-B454)&lt;&gt;0, ABS($B$292:$B$645-B454))), IF(ABS($B$292:$B$645-B454)&lt;&gt;0, ABS($B$292:$B$645-B454)), 0))</f>
        <v>0.26200000000000001</v>
      </c>
      <c r="Q454" s="107" cm="1">
        <f t="array" ref="Q454">INDEX($Q$292:$Q$645, MATCH(MIN(IF(ABS($B$292:$B$645-B454)&lt;&gt;0, ABS($B$292:$B$645-B454))), IF(ABS($B$292:$B$645-B454)&lt;&gt;0, ABS($B$292:$B$645-B454)), 0))</f>
        <v>0.28570000000000001</v>
      </c>
      <c r="R454" s="114">
        <v>25.936</v>
      </c>
      <c r="S454" s="120">
        <v>-3646.6</v>
      </c>
      <c r="T454" s="127">
        <v>-5.7458</v>
      </c>
      <c r="U454" s="14">
        <v>0</v>
      </c>
      <c r="V454" s="14">
        <v>0</v>
      </c>
      <c r="W454" s="139">
        <v>225.346</v>
      </c>
      <c r="X454" s="7">
        <v>0.95818999999999999</v>
      </c>
      <c r="Y454" s="8">
        <v>-2.5674000000000001E-3</v>
      </c>
      <c r="Z454" s="33">
        <v>3.3123E-6</v>
      </c>
      <c r="AA454" s="141">
        <v>0.16159999999999999</v>
      </c>
      <c r="AB454" s="9">
        <v>-6.2226999999999999E-5</v>
      </c>
      <c r="AC454" s="10">
        <v>-2.0800000000000001E-7</v>
      </c>
      <c r="AD454" s="146">
        <v>69.087999999999994</v>
      </c>
      <c r="AE454" s="147">
        <v>0.38</v>
      </c>
      <c r="AF454" s="150">
        <v>52.389000000000003</v>
      </c>
      <c r="AG454" s="152">
        <v>1.2222</v>
      </c>
    </row>
    <row r="455" spans="1:33" x14ac:dyDescent="0.2">
      <c r="A455" s="27">
        <v>12</v>
      </c>
      <c r="B455" s="69">
        <v>3.1216668900000002</v>
      </c>
      <c r="C455" s="28">
        <f t="shared" si="29"/>
        <v>0.119747241531119</v>
      </c>
      <c r="D455" s="52">
        <v>170.33799999999999</v>
      </c>
      <c r="E455" s="47">
        <v>640.72</v>
      </c>
      <c r="F455" s="44">
        <v>18.05</v>
      </c>
      <c r="G455" s="11">
        <v>6.9550000000000005E-4</v>
      </c>
      <c r="H455" s="61">
        <f t="shared" si="30"/>
        <v>245.09064748201439</v>
      </c>
      <c r="I455" s="29">
        <f t="shared" si="31"/>
        <v>0.23549609497830695</v>
      </c>
      <c r="J455" s="52">
        <v>0.51900000000000002</v>
      </c>
      <c r="K455" s="75">
        <v>-5.0568</v>
      </c>
      <c r="L455" s="81">
        <v>939.84</v>
      </c>
      <c r="M455" s="13">
        <v>9.4000000000000004E-3</v>
      </c>
      <c r="N455" s="12">
        <v>-9.3825000000000004E-6</v>
      </c>
      <c r="O455" s="93">
        <v>0.24490000000000001</v>
      </c>
      <c r="P455" s="94">
        <v>0.25929999999999997</v>
      </c>
      <c r="Q455" s="95">
        <v>0.28570000000000001</v>
      </c>
      <c r="R455" s="111">
        <v>26.026</v>
      </c>
      <c r="S455" s="118">
        <v>-3638.8</v>
      </c>
      <c r="T455" s="125">
        <v>-5.7774000000000001</v>
      </c>
      <c r="U455" s="14">
        <v>0</v>
      </c>
      <c r="V455" s="14">
        <v>0</v>
      </c>
      <c r="W455" s="138">
        <v>222.53299999999999</v>
      </c>
      <c r="X455" s="13">
        <v>0.97950000000000004</v>
      </c>
      <c r="Y455" s="14">
        <v>-2.6375000000000001E-3</v>
      </c>
      <c r="Z455" s="30">
        <v>3.4058000000000001E-6</v>
      </c>
      <c r="AA455" s="141">
        <v>0.1615</v>
      </c>
      <c r="AB455" s="9">
        <v>-6.2367999999999996E-5</v>
      </c>
      <c r="AC455" s="10">
        <v>-2.0979E-7</v>
      </c>
      <c r="AD455" s="146">
        <v>68.77</v>
      </c>
      <c r="AE455" s="147">
        <v>0.38</v>
      </c>
      <c r="AF455" s="150">
        <v>52.311</v>
      </c>
      <c r="AG455" s="152">
        <v>1.2222</v>
      </c>
    </row>
    <row r="456" spans="1:33" x14ac:dyDescent="0.2">
      <c r="A456" s="27">
        <v>12</v>
      </c>
      <c r="B456" s="69">
        <v>3.1219262562500001</v>
      </c>
      <c r="C456" s="28">
        <f t="shared" si="29"/>
        <v>0.11976354879835192</v>
      </c>
      <c r="D456" s="52">
        <v>170.33799999999999</v>
      </c>
      <c r="E456" s="48">
        <v>640.72</v>
      </c>
      <c r="F456" s="48">
        <v>18.05</v>
      </c>
      <c r="G456" s="35">
        <v>6.9550000000000005E-4</v>
      </c>
      <c r="H456" s="61">
        <f t="shared" si="30"/>
        <v>245.09064748201439</v>
      </c>
      <c r="I456" s="29">
        <f t="shared" si="31"/>
        <v>0.23549609497830695</v>
      </c>
      <c r="J456" s="55">
        <v>0.51900000000000002</v>
      </c>
      <c r="K456" s="76">
        <v>-5.0568</v>
      </c>
      <c r="L456" s="82">
        <v>939.84</v>
      </c>
      <c r="M456" s="85">
        <v>9.4000000000000004E-3</v>
      </c>
      <c r="N456" s="4">
        <v>-9.3825000000000004E-6</v>
      </c>
      <c r="O456" s="99" t="str" cm="1">
        <f t="array" ref="O456">LEFT(INDEX($O$292:$O$645, MATCH(MIN(IF(ABS($B$292:$B$645-B456)&lt;&gt;0, ABS($B$292:$B$645-B456))), IF(ABS($B$292:$B$645-B456)&lt;&gt;0, ABS($B$292:$B$645-B456)), 0)),6)</f>
        <v>0.2449</v>
      </c>
      <c r="P456" s="106" cm="1">
        <f t="array" ref="P456">INDEX($P$292:$P$645, MATCH(MIN(IF(ABS($B$292:$B$645-B456)&lt;&gt;0, ABS($B$292:$B$645-B456))), IF(ABS($B$292:$B$645-B456)&lt;&gt;0, ABS($B$292:$B$645-B456)), 0))</f>
        <v>0.25929999999999997</v>
      </c>
      <c r="Q456" s="107" cm="1">
        <f t="array" ref="Q456">INDEX($Q$292:$Q$645, MATCH(MIN(IF(ABS($B$292:$B$645-B456)&lt;&gt;0, ABS($B$292:$B$645-B456))), IF(ABS($B$292:$B$645-B456)&lt;&gt;0, ABS($B$292:$B$645-B456)), 0))</f>
        <v>0.28570000000000001</v>
      </c>
      <c r="R456" s="114">
        <v>26.026</v>
      </c>
      <c r="S456" s="120">
        <v>-3638.8</v>
      </c>
      <c r="T456" s="127">
        <v>-5.7774000000000001</v>
      </c>
      <c r="U456" s="14">
        <v>0</v>
      </c>
      <c r="V456" s="14">
        <v>0</v>
      </c>
      <c r="W456" s="139">
        <v>222.66200000000001</v>
      </c>
      <c r="X456" s="7">
        <v>0.97850999999999999</v>
      </c>
      <c r="Y456" s="8">
        <v>-2.6346E-3</v>
      </c>
      <c r="Z456" s="33">
        <v>3.4021E-6</v>
      </c>
      <c r="AA456" s="141">
        <v>0.1615</v>
      </c>
      <c r="AB456" s="9">
        <v>-6.2367999999999996E-5</v>
      </c>
      <c r="AC456" s="10">
        <v>-2.0979E-7</v>
      </c>
      <c r="AD456" s="146">
        <v>68.77</v>
      </c>
      <c r="AE456" s="147">
        <v>0.38</v>
      </c>
      <c r="AF456" s="150">
        <v>52.311</v>
      </c>
      <c r="AG456" s="152">
        <v>1.2222</v>
      </c>
    </row>
    <row r="457" spans="1:33" x14ac:dyDescent="0.2">
      <c r="A457" s="27">
        <v>12</v>
      </c>
      <c r="B457" s="69">
        <v>1.8992413887499999</v>
      </c>
      <c r="C457" s="28">
        <f t="shared" si="29"/>
        <v>4.2889056161075252E-2</v>
      </c>
      <c r="D457" s="52">
        <v>170.33799999999999</v>
      </c>
      <c r="E457" s="47">
        <v>645.32000000000005</v>
      </c>
      <c r="F457" s="44">
        <v>17.920000000000002</v>
      </c>
      <c r="G457" s="11">
        <v>7.0149999999999998E-4</v>
      </c>
      <c r="H457" s="61">
        <f t="shared" si="30"/>
        <v>242.9928673323823</v>
      </c>
      <c r="I457" s="29">
        <f t="shared" si="31"/>
        <v>0.23413744669136147</v>
      </c>
      <c r="J457" s="52">
        <v>0.54800000000000004</v>
      </c>
      <c r="K457" s="75">
        <v>-5.2907999999999999</v>
      </c>
      <c r="L457" s="81">
        <v>981.54</v>
      </c>
      <c r="M457" s="13">
        <v>9.9000000000000008E-3</v>
      </c>
      <c r="N457" s="12">
        <v>-9.7127999999999996E-6</v>
      </c>
      <c r="O457" s="93">
        <v>0.24279999999999999</v>
      </c>
      <c r="P457" s="94">
        <v>0.26119999999999999</v>
      </c>
      <c r="Q457" s="95">
        <v>0.28570000000000001</v>
      </c>
      <c r="R457" s="111">
        <v>26.061</v>
      </c>
      <c r="S457" s="118">
        <v>-3707.8</v>
      </c>
      <c r="T457" s="125">
        <v>-5.7607999999999997</v>
      </c>
      <c r="U457" s="14">
        <v>0</v>
      </c>
      <c r="V457" s="30">
        <v>0</v>
      </c>
      <c r="W457" s="138">
        <v>218.28299999999999</v>
      </c>
      <c r="X457" s="13">
        <v>1.0434000000000001</v>
      </c>
      <c r="Y457" s="14">
        <v>-2.7794999999999999E-3</v>
      </c>
      <c r="Z457" s="30">
        <v>3.4894999999999998E-6</v>
      </c>
      <c r="AA457" s="77">
        <v>0.16139999999999999</v>
      </c>
      <c r="AB457" s="5">
        <v>-5.6555999999999999E-5</v>
      </c>
      <c r="AC457" s="15">
        <v>-2.1439999999999999E-7</v>
      </c>
      <c r="AD457" s="146">
        <v>70.138000000000005</v>
      </c>
      <c r="AE457" s="147">
        <v>0.38</v>
      </c>
      <c r="AF457" s="150">
        <v>52.834000000000003</v>
      </c>
      <c r="AG457" s="152">
        <v>1.2222</v>
      </c>
    </row>
    <row r="458" spans="1:33" x14ac:dyDescent="0.2">
      <c r="A458" s="27">
        <v>12</v>
      </c>
      <c r="B458" s="69">
        <v>1.90016853875</v>
      </c>
      <c r="C458" s="28">
        <f t="shared" si="29"/>
        <v>4.2947349338445143E-2</v>
      </c>
      <c r="D458" s="52">
        <v>170.33799999999999</v>
      </c>
      <c r="E458" s="47">
        <v>645.32000000000005</v>
      </c>
      <c r="F458" s="44">
        <v>17.920000000000002</v>
      </c>
      <c r="G458" s="11">
        <v>7.0149999999999998E-4</v>
      </c>
      <c r="H458" s="61">
        <f t="shared" si="30"/>
        <v>242.9928673323823</v>
      </c>
      <c r="I458" s="29">
        <f t="shared" si="31"/>
        <v>0.23413744669136147</v>
      </c>
      <c r="J458" s="52">
        <v>0.54800000000000004</v>
      </c>
      <c r="K458" s="75">
        <v>-5.2907999999999999</v>
      </c>
      <c r="L458" s="81">
        <v>981.54</v>
      </c>
      <c r="M458" s="13">
        <v>9.9000000000000008E-3</v>
      </c>
      <c r="N458" s="12">
        <v>-9.7127999999999996E-6</v>
      </c>
      <c r="O458" s="93">
        <v>0.24279999999999999</v>
      </c>
      <c r="P458" s="94">
        <v>0.26119999999999999</v>
      </c>
      <c r="Q458" s="95">
        <v>0.28570000000000001</v>
      </c>
      <c r="R458" s="111">
        <v>26.061</v>
      </c>
      <c r="S458" s="118">
        <v>-3707.8</v>
      </c>
      <c r="T458" s="125">
        <v>-5.7607999999999997</v>
      </c>
      <c r="U458" s="14">
        <v>0</v>
      </c>
      <c r="V458" s="30">
        <v>0</v>
      </c>
      <c r="W458" s="138">
        <v>218.30699999999999</v>
      </c>
      <c r="X458" s="13">
        <v>1.0432999999999999</v>
      </c>
      <c r="Y458" s="14">
        <v>-2.7789999999999998E-3</v>
      </c>
      <c r="Z458" s="30">
        <v>3.4888E-6</v>
      </c>
      <c r="AA458" s="77">
        <v>0.16139999999999999</v>
      </c>
      <c r="AB458" s="5">
        <v>-5.6555999999999999E-5</v>
      </c>
      <c r="AC458" s="15">
        <v>-2.1439999999999999E-7</v>
      </c>
      <c r="AD458" s="146">
        <v>70.138000000000005</v>
      </c>
      <c r="AE458" s="147">
        <v>0.38</v>
      </c>
      <c r="AF458" s="150">
        <v>52.834000000000003</v>
      </c>
      <c r="AG458" s="152">
        <v>1.2222</v>
      </c>
    </row>
    <row r="459" spans="1:33" x14ac:dyDescent="0.2">
      <c r="A459" s="27">
        <v>12</v>
      </c>
      <c r="B459" s="69">
        <v>1.8999003274999999</v>
      </c>
      <c r="C459" s="28">
        <f t="shared" si="29"/>
        <v>4.2930485954991701E-2</v>
      </c>
      <c r="D459" s="52">
        <v>170.33799999999999</v>
      </c>
      <c r="E459" s="47">
        <v>649.36</v>
      </c>
      <c r="F459" s="44">
        <v>17.920000000000002</v>
      </c>
      <c r="G459" s="11">
        <v>7.0149999999999998E-4</v>
      </c>
      <c r="H459" s="61">
        <f t="shared" si="30"/>
        <v>242.9928673323823</v>
      </c>
      <c r="I459" s="29">
        <f t="shared" si="31"/>
        <v>0.2326807581293418</v>
      </c>
      <c r="J459" s="52">
        <v>0.54800000000000004</v>
      </c>
      <c r="K459" s="75">
        <v>-5.3045</v>
      </c>
      <c r="L459" s="81">
        <v>990.36</v>
      </c>
      <c r="M459" s="13">
        <v>9.9000000000000008E-3</v>
      </c>
      <c r="N459" s="12">
        <v>-9.6042000000000003E-6</v>
      </c>
      <c r="O459" s="93">
        <v>0.24279999999999999</v>
      </c>
      <c r="P459" s="94">
        <v>0.26169999999999999</v>
      </c>
      <c r="Q459" s="95">
        <v>0.28570000000000001</v>
      </c>
      <c r="R459" s="111">
        <v>25.928000000000001</v>
      </c>
      <c r="S459" s="118">
        <v>-3719.7</v>
      </c>
      <c r="T459" s="125">
        <v>-5.7144000000000004</v>
      </c>
      <c r="U459" s="14">
        <v>0</v>
      </c>
      <c r="V459" s="30">
        <v>0</v>
      </c>
      <c r="W459" s="138">
        <v>220.727</v>
      </c>
      <c r="X459" s="13">
        <v>1.0250999999999999</v>
      </c>
      <c r="Y459" s="14">
        <v>-2.7158999999999998E-3</v>
      </c>
      <c r="Z459" s="30">
        <v>3.4033000000000001E-6</v>
      </c>
      <c r="AA459" s="77">
        <v>0.1615</v>
      </c>
      <c r="AB459" s="5">
        <v>-5.6422999999999998E-5</v>
      </c>
      <c r="AC459" s="15">
        <v>-2.1166E-7</v>
      </c>
      <c r="AD459" s="146">
        <v>70.619</v>
      </c>
      <c r="AE459" s="147">
        <v>0.38</v>
      </c>
      <c r="AF459" s="150">
        <v>52.948999999999998</v>
      </c>
      <c r="AG459" s="152">
        <v>1.2222</v>
      </c>
    </row>
    <row r="460" spans="1:33" x14ac:dyDescent="0.2">
      <c r="A460" s="27">
        <v>12</v>
      </c>
      <c r="B460" s="69">
        <v>1.9000559562499999</v>
      </c>
      <c r="C460" s="28">
        <f t="shared" si="29"/>
        <v>4.2940270881193073E-2</v>
      </c>
      <c r="D460" s="52">
        <v>170.33799999999999</v>
      </c>
      <c r="E460" s="47">
        <v>650.71</v>
      </c>
      <c r="F460" s="44">
        <v>17.920000000000002</v>
      </c>
      <c r="G460" s="11">
        <v>7.0149999999999998E-4</v>
      </c>
      <c r="H460" s="61">
        <f t="shared" si="30"/>
        <v>242.9928673323823</v>
      </c>
      <c r="I460" s="29">
        <f t="shared" si="31"/>
        <v>0.232198025385916</v>
      </c>
      <c r="J460" s="52">
        <v>0.54800000000000004</v>
      </c>
      <c r="K460" s="75">
        <v>-5.3085000000000004</v>
      </c>
      <c r="L460" s="81">
        <v>993.22</v>
      </c>
      <c r="M460" s="13">
        <v>9.9000000000000008E-3</v>
      </c>
      <c r="N460" s="12">
        <v>-9.5678000000000001E-6</v>
      </c>
      <c r="O460" s="93">
        <v>0.24279999999999999</v>
      </c>
      <c r="P460" s="94">
        <v>0.26150000000000001</v>
      </c>
      <c r="Q460" s="95">
        <v>0.28570000000000001</v>
      </c>
      <c r="R460" s="111">
        <v>25.885000000000002</v>
      </c>
      <c r="S460" s="118">
        <v>-3723.7</v>
      </c>
      <c r="T460" s="125">
        <v>-5.6989999999999998</v>
      </c>
      <c r="U460" s="14">
        <v>0</v>
      </c>
      <c r="V460" s="30">
        <v>0</v>
      </c>
      <c r="W460" s="138">
        <v>218.35900000000001</v>
      </c>
      <c r="X460" s="13">
        <v>1.042</v>
      </c>
      <c r="Y460" s="14">
        <v>-2.7483999999999998E-3</v>
      </c>
      <c r="Z460" s="30">
        <v>3.4162E-6</v>
      </c>
      <c r="AA460" s="77">
        <v>0.161</v>
      </c>
      <c r="AB460" s="5">
        <v>-5.4500999999999999E-5</v>
      </c>
      <c r="AC460" s="15">
        <v>-2.1252E-7</v>
      </c>
      <c r="AD460" s="146">
        <v>70.78</v>
      </c>
      <c r="AE460" s="147">
        <v>0.38</v>
      </c>
      <c r="AF460" s="150">
        <v>52.988</v>
      </c>
      <c r="AG460" s="152">
        <v>1.2222</v>
      </c>
    </row>
    <row r="461" spans="1:33" x14ac:dyDescent="0.2">
      <c r="A461" s="27">
        <v>12</v>
      </c>
      <c r="B461" s="69">
        <v>2.580006</v>
      </c>
      <c r="C461" s="28">
        <f t="shared" si="29"/>
        <v>8.5691118643668823E-2</v>
      </c>
      <c r="D461" s="52">
        <v>170.33799999999999</v>
      </c>
      <c r="E461" s="47">
        <v>650.71</v>
      </c>
      <c r="F461" s="44">
        <v>17.920000000000002</v>
      </c>
      <c r="G461" s="11">
        <v>7.0149999999999998E-4</v>
      </c>
      <c r="H461" s="61">
        <f t="shared" si="30"/>
        <v>242.9928673323823</v>
      </c>
      <c r="I461" s="29">
        <f t="shared" si="31"/>
        <v>0.232198025385916</v>
      </c>
      <c r="J461" s="52">
        <v>0.54800000000000004</v>
      </c>
      <c r="K461" s="75">
        <v>-5.3085000000000004</v>
      </c>
      <c r="L461" s="81">
        <v>993.22</v>
      </c>
      <c r="M461" s="13">
        <v>9.9000000000000008E-3</v>
      </c>
      <c r="N461" s="12">
        <v>-9.5678000000000001E-6</v>
      </c>
      <c r="O461" s="93">
        <v>0.24279999999999999</v>
      </c>
      <c r="P461" s="94">
        <v>0.26419999999999999</v>
      </c>
      <c r="Q461" s="95">
        <v>0.28570000000000001</v>
      </c>
      <c r="R461" s="111">
        <v>25.885000000000002</v>
      </c>
      <c r="S461" s="118">
        <v>-3723.7</v>
      </c>
      <c r="T461" s="125">
        <v>-5.6989999999999998</v>
      </c>
      <c r="U461" s="14">
        <v>0</v>
      </c>
      <c r="V461" s="30">
        <v>0</v>
      </c>
      <c r="W461" s="138">
        <v>213.72900000000001</v>
      </c>
      <c r="X461" s="13">
        <v>1.0747</v>
      </c>
      <c r="Y461" s="14">
        <v>-2.8164000000000002E-3</v>
      </c>
      <c r="Z461" s="30">
        <v>3.4514000000000001E-6</v>
      </c>
      <c r="AA461" s="77">
        <v>0.16</v>
      </c>
      <c r="AB461" s="5">
        <v>-5.0674000000000003E-5</v>
      </c>
      <c r="AC461" s="15">
        <v>-2.1612000000000001E-7</v>
      </c>
      <c r="AD461" s="146">
        <v>70.78</v>
      </c>
      <c r="AE461" s="147">
        <v>0.38</v>
      </c>
      <c r="AF461" s="150">
        <v>52.988</v>
      </c>
      <c r="AG461" s="152">
        <v>1.2222</v>
      </c>
    </row>
    <row r="462" spans="1:33" x14ac:dyDescent="0.2">
      <c r="A462" s="27">
        <v>12</v>
      </c>
      <c r="B462" s="69">
        <v>15.24439291375</v>
      </c>
      <c r="C462" s="28">
        <f t="shared" si="29"/>
        <v>0.8819456110602909</v>
      </c>
      <c r="D462" s="52">
        <v>170.33799999999999</v>
      </c>
      <c r="E462" s="47">
        <v>688.61</v>
      </c>
      <c r="F462" s="44">
        <v>18.690000000000001</v>
      </c>
      <c r="G462" s="11">
        <v>6.7449999999999997E-4</v>
      </c>
      <c r="H462" s="61">
        <f t="shared" si="30"/>
        <v>252.72700296735906</v>
      </c>
      <c r="I462" s="29">
        <f t="shared" si="31"/>
        <v>0.22003200312426141</v>
      </c>
      <c r="J462" s="52">
        <v>0.318</v>
      </c>
      <c r="K462" s="75">
        <v>-4.5248999999999997</v>
      </c>
      <c r="L462" s="81">
        <v>1003.4</v>
      </c>
      <c r="M462" s="13">
        <v>6.4999999999999997E-3</v>
      </c>
      <c r="N462" s="12">
        <v>-5.8950999999999997E-6</v>
      </c>
      <c r="O462" s="93">
        <v>0.2525</v>
      </c>
      <c r="P462" s="94">
        <v>0.24709999999999999</v>
      </c>
      <c r="Q462" s="95">
        <v>0.28570000000000001</v>
      </c>
      <c r="R462" s="111">
        <v>23.283000000000001</v>
      </c>
      <c r="S462" s="118">
        <v>-3364.7</v>
      </c>
      <c r="T462" s="125">
        <v>-5.0210999999999997</v>
      </c>
      <c r="U462" s="14">
        <v>0</v>
      </c>
      <c r="V462" s="30">
        <v>0</v>
      </c>
      <c r="W462" s="138">
        <v>218.40700000000001</v>
      </c>
      <c r="X462" s="13">
        <v>0.77581</v>
      </c>
      <c r="Y462" s="14">
        <v>-1.8837999999999999E-3</v>
      </c>
      <c r="Z462" s="30">
        <v>2.3725000000000002E-6</v>
      </c>
      <c r="AA462" s="77">
        <v>0.15229999999999999</v>
      </c>
      <c r="AB462" s="5">
        <v>-5.4397000000000001E-5</v>
      </c>
      <c r="AC462" s="15">
        <v>-1.7158000000000001E-7</v>
      </c>
      <c r="AD462" s="146">
        <v>68.040999999999997</v>
      </c>
      <c r="AE462" s="147">
        <v>0.38</v>
      </c>
      <c r="AF462" s="150">
        <v>50.774000000000001</v>
      </c>
      <c r="AG462" s="152">
        <v>1.2222</v>
      </c>
    </row>
    <row r="463" spans="1:33" x14ac:dyDescent="0.2">
      <c r="A463" s="27">
        <v>12</v>
      </c>
      <c r="B463" s="69">
        <v>14.56327746875</v>
      </c>
      <c r="C463" s="28">
        <f t="shared" si="29"/>
        <v>0.83912149042743467</v>
      </c>
      <c r="D463" s="52">
        <v>170.33799999999999</v>
      </c>
      <c r="E463" s="47">
        <v>629.29999999999995</v>
      </c>
      <c r="F463" s="44">
        <v>18.52</v>
      </c>
      <c r="G463" s="11">
        <v>6.7949999999999998E-4</v>
      </c>
      <c r="H463" s="61">
        <f t="shared" si="30"/>
        <v>250.86597938144328</v>
      </c>
      <c r="I463" s="29">
        <f t="shared" si="31"/>
        <v>0.24034937919153748</v>
      </c>
      <c r="J463" s="52">
        <v>0.375</v>
      </c>
      <c r="K463" s="75">
        <v>-4.1829000000000001</v>
      </c>
      <c r="L463" s="81">
        <v>875.89</v>
      </c>
      <c r="M463" s="13">
        <v>6.4999999999999997E-3</v>
      </c>
      <c r="N463" s="12">
        <v>0</v>
      </c>
      <c r="O463" s="93">
        <v>0.25069999999999998</v>
      </c>
      <c r="P463" s="94">
        <v>0.27179999999999999</v>
      </c>
      <c r="Q463" s="95">
        <v>0.28570000000000001</v>
      </c>
      <c r="R463" s="111">
        <v>25.45</v>
      </c>
      <c r="S463" s="118">
        <v>-3328.3</v>
      </c>
      <c r="T463" s="125">
        <v>-5.7232000000000003</v>
      </c>
      <c r="U463" s="14">
        <v>0</v>
      </c>
      <c r="V463" s="30">
        <v>0</v>
      </c>
      <c r="W463" s="138">
        <v>216.00299999999999</v>
      </c>
      <c r="X463" s="13">
        <v>0.86192999999999997</v>
      </c>
      <c r="Y463" s="14">
        <v>-2.2843999999999998E-3</v>
      </c>
      <c r="Z463" s="30">
        <v>3.0216E-6</v>
      </c>
      <c r="AA463" s="77">
        <v>0.15509999999999999</v>
      </c>
      <c r="AB463" s="5">
        <v>-6.2644999999999994E-5</v>
      </c>
      <c r="AC463" s="15">
        <v>-2.0559E-7</v>
      </c>
      <c r="AD463" s="146">
        <v>63.325000000000003</v>
      </c>
      <c r="AE463" s="147">
        <v>0.38</v>
      </c>
      <c r="AF463" s="150">
        <v>49.959000000000003</v>
      </c>
      <c r="AG463" s="152">
        <v>1.2222</v>
      </c>
    </row>
    <row r="464" spans="1:33" x14ac:dyDescent="0.2">
      <c r="A464" s="27">
        <v>12</v>
      </c>
      <c r="B464" s="69">
        <v>14.154384378750001</v>
      </c>
      <c r="C464" s="28">
        <f t="shared" si="29"/>
        <v>0.81341294550947096</v>
      </c>
      <c r="D464" s="52">
        <v>170.33799999999999</v>
      </c>
      <c r="E464" s="47">
        <v>639.98</v>
      </c>
      <c r="F464" s="44">
        <v>18.52</v>
      </c>
      <c r="G464" s="11">
        <v>6.7949999999999998E-4</v>
      </c>
      <c r="H464" s="61">
        <f t="shared" si="30"/>
        <v>250.86597938144328</v>
      </c>
      <c r="I464" s="29">
        <f t="shared" si="31"/>
        <v>0.23633842358391594</v>
      </c>
      <c r="J464" s="52">
        <v>0.375</v>
      </c>
      <c r="K464" s="75">
        <v>-4.4012000000000002</v>
      </c>
      <c r="L464" s="81">
        <v>921.48</v>
      </c>
      <c r="M464" s="13">
        <v>6.8999999999999999E-3</v>
      </c>
      <c r="N464" s="12">
        <v>-6.8889999999999996E-6</v>
      </c>
      <c r="O464" s="93">
        <v>0.25069999999999998</v>
      </c>
      <c r="P464" s="94">
        <v>0.26679999999999998</v>
      </c>
      <c r="Q464" s="95">
        <v>0.28570000000000001</v>
      </c>
      <c r="R464" s="111">
        <v>25.093</v>
      </c>
      <c r="S464" s="118">
        <v>-3355.3</v>
      </c>
      <c r="T464" s="125">
        <v>-5.5975000000000001</v>
      </c>
      <c r="U464" s="14">
        <v>0</v>
      </c>
      <c r="V464" s="30">
        <v>0</v>
      </c>
      <c r="W464" s="138">
        <v>214.97499999999999</v>
      </c>
      <c r="X464" s="13">
        <v>0.86826000000000003</v>
      </c>
      <c r="Y464" s="14">
        <v>-2.2650999999999999E-3</v>
      </c>
      <c r="Z464" s="30">
        <v>2.9463999999999999E-6</v>
      </c>
      <c r="AA464" s="77">
        <v>0.1547</v>
      </c>
      <c r="AB464" s="5">
        <v>-5.9635000000000001E-5</v>
      </c>
      <c r="AC464" s="15">
        <v>-2.0101E-7</v>
      </c>
      <c r="AD464" s="146">
        <v>64.501999999999995</v>
      </c>
      <c r="AE464" s="147">
        <v>0.38</v>
      </c>
      <c r="AF464" s="150">
        <v>50.253999999999998</v>
      </c>
      <c r="AG464" s="152">
        <v>1.2222</v>
      </c>
    </row>
    <row r="465" spans="1:33" x14ac:dyDescent="0.2">
      <c r="A465" s="27">
        <v>12</v>
      </c>
      <c r="B465" s="69">
        <v>12.997214677500001</v>
      </c>
      <c r="C465" s="28">
        <f t="shared" si="29"/>
        <v>0.74065762151440828</v>
      </c>
      <c r="D465" s="52">
        <v>170.33799999999999</v>
      </c>
      <c r="E465" s="47">
        <v>654.48</v>
      </c>
      <c r="F465" s="44">
        <v>18.52</v>
      </c>
      <c r="G465" s="11">
        <v>6.7949999999999998E-4</v>
      </c>
      <c r="H465" s="61">
        <f t="shared" si="30"/>
        <v>250.86597938144328</v>
      </c>
      <c r="I465" s="29">
        <f t="shared" si="31"/>
        <v>0.23110234739829258</v>
      </c>
      <c r="J465" s="52">
        <v>0.375</v>
      </c>
      <c r="K465" s="75">
        <v>-4.6299000000000001</v>
      </c>
      <c r="L465" s="81">
        <v>974.26</v>
      </c>
      <c r="M465" s="13">
        <v>7.1999999999999998E-3</v>
      </c>
      <c r="N465" s="12">
        <v>-6.9295000000000003E-6</v>
      </c>
      <c r="O465" s="93">
        <v>0.25069999999999998</v>
      </c>
      <c r="P465" s="94">
        <v>0.26069999999999999</v>
      </c>
      <c r="Q465" s="95">
        <v>0.28570000000000001</v>
      </c>
      <c r="R465" s="111">
        <v>24.631</v>
      </c>
      <c r="S465" s="118">
        <v>-3392.4</v>
      </c>
      <c r="T465" s="125">
        <v>-5.4351000000000003</v>
      </c>
      <c r="U465" s="14">
        <v>0</v>
      </c>
      <c r="V465" s="30">
        <v>0</v>
      </c>
      <c r="W465" s="138">
        <v>218.619</v>
      </c>
      <c r="X465" s="13">
        <v>0.84028000000000003</v>
      </c>
      <c r="Y465" s="14">
        <v>-2.1542000000000002E-3</v>
      </c>
      <c r="Z465" s="30">
        <v>2.7823E-6</v>
      </c>
      <c r="AA465" s="77">
        <v>0.155</v>
      </c>
      <c r="AB465" s="5">
        <v>-5.9067000000000002E-5</v>
      </c>
      <c r="AC465" s="15">
        <v>-1.9188E-7</v>
      </c>
      <c r="AD465" s="146">
        <v>66.105999999999995</v>
      </c>
      <c r="AE465" s="147">
        <v>0.38</v>
      </c>
      <c r="AF465" s="150">
        <v>50.65</v>
      </c>
      <c r="AG465" s="152">
        <v>1.2222</v>
      </c>
    </row>
    <row r="466" spans="1:33" x14ac:dyDescent="0.2">
      <c r="A466" s="27">
        <v>12</v>
      </c>
      <c r="B466" s="69">
        <v>12.5007000225</v>
      </c>
      <c r="C466" s="28">
        <f t="shared" si="29"/>
        <v>0.70944000101000015</v>
      </c>
      <c r="D466" s="52">
        <v>170.33799999999999</v>
      </c>
      <c r="E466" s="47">
        <v>662.85</v>
      </c>
      <c r="F466" s="44">
        <v>18.52</v>
      </c>
      <c r="G466" s="11">
        <v>6.7949999999999998E-4</v>
      </c>
      <c r="H466" s="61">
        <f t="shared" si="30"/>
        <v>250.86597938144328</v>
      </c>
      <c r="I466" s="29">
        <f t="shared" si="31"/>
        <v>0.2281841507509007</v>
      </c>
      <c r="J466" s="52">
        <v>0.375</v>
      </c>
      <c r="K466" s="75">
        <v>-4.7339000000000002</v>
      </c>
      <c r="L466" s="81">
        <v>1000.9</v>
      </c>
      <c r="M466" s="13">
        <v>7.3000000000000001E-3</v>
      </c>
      <c r="N466" s="12">
        <v>-6.9117999999999996E-6</v>
      </c>
      <c r="O466" s="93">
        <v>0.25069999999999998</v>
      </c>
      <c r="P466" s="94">
        <v>0.25629999999999997</v>
      </c>
      <c r="Q466" s="95">
        <v>0.28570000000000001</v>
      </c>
      <c r="R466" s="111">
        <v>24.376000000000001</v>
      </c>
      <c r="S466" s="118">
        <v>-3414.1</v>
      </c>
      <c r="T466" s="125">
        <v>-5.3456999999999999</v>
      </c>
      <c r="U466" s="14">
        <v>0</v>
      </c>
      <c r="V466" s="30">
        <v>0</v>
      </c>
      <c r="W466" s="138">
        <v>220.142</v>
      </c>
      <c r="X466" s="13">
        <v>0.82876000000000005</v>
      </c>
      <c r="Y466" s="14">
        <v>-2.1050000000000001E-3</v>
      </c>
      <c r="Z466" s="30">
        <v>2.7070999999999999E-6</v>
      </c>
      <c r="AA466" s="77">
        <v>0.1552</v>
      </c>
      <c r="AB466" s="5">
        <v>-5.8727999999999997E-5</v>
      </c>
      <c r="AC466" s="15">
        <v>-1.8690000000000001E-7</v>
      </c>
      <c r="AD466" s="146">
        <v>67.031999999999996</v>
      </c>
      <c r="AE466" s="147">
        <v>0.38</v>
      </c>
      <c r="AF466" s="150">
        <v>50.875</v>
      </c>
      <c r="AG466" s="152">
        <v>1.2222</v>
      </c>
    </row>
    <row r="467" spans="1:33" x14ac:dyDescent="0.2">
      <c r="A467" s="27">
        <v>12</v>
      </c>
      <c r="B467" s="69">
        <v>13.380172305</v>
      </c>
      <c r="C467" s="28">
        <f t="shared" si="29"/>
        <v>0.76473551279953755</v>
      </c>
      <c r="D467" s="52">
        <v>170.33799999999999</v>
      </c>
      <c r="E467" s="47">
        <v>650.29999999999995</v>
      </c>
      <c r="F467" s="44">
        <v>18.52</v>
      </c>
      <c r="G467" s="11">
        <v>6.7949999999999998E-4</v>
      </c>
      <c r="H467" s="61">
        <f t="shared" si="30"/>
        <v>250.86597938144328</v>
      </c>
      <c r="I467" s="29">
        <f t="shared" si="31"/>
        <v>0.2325878276568269</v>
      </c>
      <c r="J467" s="52">
        <v>0.375</v>
      </c>
      <c r="K467" s="75">
        <v>-4.5708000000000002</v>
      </c>
      <c r="L467" s="81">
        <v>959.97</v>
      </c>
      <c r="M467" s="13">
        <v>7.1000000000000004E-3</v>
      </c>
      <c r="N467" s="12">
        <v>-6.9280999999999998E-6</v>
      </c>
      <c r="O467" s="93">
        <v>0.25069999999999998</v>
      </c>
      <c r="P467" s="94">
        <v>0.26219999999999999</v>
      </c>
      <c r="Q467" s="95">
        <v>0.28570000000000001</v>
      </c>
      <c r="R467" s="111">
        <v>24.760999999999999</v>
      </c>
      <c r="S467" s="118">
        <v>-3381.7</v>
      </c>
      <c r="T467" s="125">
        <v>-5.4809999999999999</v>
      </c>
      <c r="U467" s="14">
        <v>0</v>
      </c>
      <c r="V467" s="30">
        <v>0</v>
      </c>
      <c r="W467" s="138">
        <v>217.47200000000001</v>
      </c>
      <c r="X467" s="13">
        <v>0.84896000000000005</v>
      </c>
      <c r="Y467" s="14">
        <v>-2.1876E-3</v>
      </c>
      <c r="Z467" s="30">
        <v>2.8312000000000001E-6</v>
      </c>
      <c r="AA467" s="77">
        <v>0.15490000000000001</v>
      </c>
      <c r="AB467" s="5">
        <v>-5.9233E-5</v>
      </c>
      <c r="AC467" s="15">
        <v>-1.9445E-7</v>
      </c>
      <c r="AD467" s="146">
        <v>65.643000000000001</v>
      </c>
      <c r="AE467" s="147">
        <v>0.38</v>
      </c>
      <c r="AF467" s="150">
        <v>50.536000000000001</v>
      </c>
      <c r="AG467" s="152">
        <v>1.2222</v>
      </c>
    </row>
    <row r="468" spans="1:33" x14ac:dyDescent="0.2">
      <c r="A468" s="27">
        <v>12</v>
      </c>
      <c r="B468" s="69">
        <v>12.224587201249999</v>
      </c>
      <c r="C468" s="28">
        <f t="shared" si="29"/>
        <v>0.69207981801563523</v>
      </c>
      <c r="D468" s="52">
        <v>170.33799999999999</v>
      </c>
      <c r="E468" s="47">
        <v>660.06</v>
      </c>
      <c r="F468" s="44">
        <v>18.52</v>
      </c>
      <c r="G468" s="11">
        <v>6.7949999999999998E-4</v>
      </c>
      <c r="H468" s="61">
        <f t="shared" si="30"/>
        <v>250.86597938144328</v>
      </c>
      <c r="I468" s="29">
        <f t="shared" si="31"/>
        <v>0.22914865970553364</v>
      </c>
      <c r="J468" s="52">
        <v>0.375</v>
      </c>
      <c r="K468" s="75">
        <v>-4.7012</v>
      </c>
      <c r="L468" s="81">
        <v>992.27</v>
      </c>
      <c r="M468" s="13">
        <v>7.3000000000000001E-3</v>
      </c>
      <c r="N468" s="12">
        <v>-6.9205000000000001E-6</v>
      </c>
      <c r="O468" s="93">
        <v>0.25069999999999998</v>
      </c>
      <c r="P468" s="94">
        <v>0.2555</v>
      </c>
      <c r="Q468" s="95">
        <v>0.28570000000000001</v>
      </c>
      <c r="R468" s="111">
        <v>24.46</v>
      </c>
      <c r="S468" s="118">
        <v>-3406.9</v>
      </c>
      <c r="T468" s="125">
        <v>-5.3752000000000004</v>
      </c>
      <c r="U468" s="14">
        <v>0</v>
      </c>
      <c r="V468" s="30">
        <v>0</v>
      </c>
      <c r="W468" s="138">
        <v>218.608</v>
      </c>
      <c r="X468" s="13">
        <v>0.84006000000000003</v>
      </c>
      <c r="Y468" s="14">
        <v>-2.1427999999999998E-3</v>
      </c>
      <c r="Z468" s="30">
        <v>2.7586000000000002E-6</v>
      </c>
      <c r="AA468" s="77">
        <v>0.15509999999999999</v>
      </c>
      <c r="AB468" s="5">
        <v>-5.8841999999999997E-5</v>
      </c>
      <c r="AC468" s="15">
        <v>-1.8853999999999999E-7</v>
      </c>
      <c r="AD468" s="146">
        <v>66.722999999999999</v>
      </c>
      <c r="AE468" s="147">
        <v>0.38</v>
      </c>
      <c r="AF468" s="150">
        <v>50.8</v>
      </c>
      <c r="AG468" s="152">
        <v>1.2222</v>
      </c>
    </row>
    <row r="469" spans="1:33" x14ac:dyDescent="0.2">
      <c r="A469" s="27">
        <v>12</v>
      </c>
      <c r="B469" s="69">
        <v>12.122244443750001</v>
      </c>
      <c r="C469" s="28">
        <f t="shared" si="29"/>
        <v>0.68564516934447028</v>
      </c>
      <c r="D469" s="52">
        <v>170.33799999999999</v>
      </c>
      <c r="E469" s="48">
        <v>635.15</v>
      </c>
      <c r="F469" s="48">
        <v>18.47</v>
      </c>
      <c r="G469" s="35">
        <v>6.7849999999999996E-4</v>
      </c>
      <c r="H469" s="61">
        <f t="shared" si="30"/>
        <v>251.23598820058999</v>
      </c>
      <c r="I469" s="29">
        <f t="shared" si="31"/>
        <v>0.23714297655485547</v>
      </c>
      <c r="J469" s="55">
        <v>0.40400000000000003</v>
      </c>
      <c r="K469" s="76">
        <v>-4.6268000000000002</v>
      </c>
      <c r="L469" s="82">
        <v>946.56</v>
      </c>
      <c r="M469" s="85">
        <v>7.4999999999999997E-3</v>
      </c>
      <c r="N469" s="4">
        <v>-7.5008000000000003E-6</v>
      </c>
      <c r="O469" s="96">
        <v>0.25109999999999999</v>
      </c>
      <c r="P469" s="97">
        <v>0.26679999999999998</v>
      </c>
      <c r="Q469" s="98">
        <v>0.28570000000000001</v>
      </c>
      <c r="R469" s="114">
        <v>25.454000000000001</v>
      </c>
      <c r="S469" s="120">
        <v>-3400.6</v>
      </c>
      <c r="T469" s="127">
        <v>-5.6936</v>
      </c>
      <c r="U469" s="14">
        <v>0</v>
      </c>
      <c r="V469" s="14">
        <v>0</v>
      </c>
      <c r="W469" s="139">
        <v>227.10599999999999</v>
      </c>
      <c r="X469" s="7">
        <v>0.81140000000000001</v>
      </c>
      <c r="Y469" s="8">
        <v>-2.1681000000000001E-3</v>
      </c>
      <c r="Z469" s="33">
        <v>2.9370999999999998E-6</v>
      </c>
      <c r="AA469" s="141">
        <v>0.15809999999999999</v>
      </c>
      <c r="AB469" s="9">
        <v>-6.8967999999999994E-5</v>
      </c>
      <c r="AC469" s="10">
        <v>-1.9766000000000001E-7</v>
      </c>
      <c r="AD469" s="146">
        <v>64.802999999999997</v>
      </c>
      <c r="AE469" s="147">
        <v>0.38</v>
      </c>
      <c r="AF469" s="150">
        <v>50.569000000000003</v>
      </c>
      <c r="AG469" s="152">
        <v>1.2222</v>
      </c>
    </row>
    <row r="470" spans="1:33" x14ac:dyDescent="0.2">
      <c r="A470" s="27">
        <v>12</v>
      </c>
      <c r="B470" s="69">
        <v>12.704082489999999</v>
      </c>
      <c r="C470" s="28">
        <f t="shared" si="29"/>
        <v>0.72222737117869151</v>
      </c>
      <c r="D470" s="52">
        <v>170.33799999999999</v>
      </c>
      <c r="E470" s="48">
        <v>651.69000000000005</v>
      </c>
      <c r="F470" s="48">
        <v>18.52</v>
      </c>
      <c r="G470" s="35">
        <v>6.7949999999999998E-4</v>
      </c>
      <c r="H470" s="61">
        <f t="shared" si="30"/>
        <v>250.86597938144328</v>
      </c>
      <c r="I470" s="29">
        <f t="shared" si="31"/>
        <v>0.23209173736781985</v>
      </c>
      <c r="J470" s="55">
        <v>0.375</v>
      </c>
      <c r="K470" s="76">
        <v>-4.5911</v>
      </c>
      <c r="L470" s="82">
        <v>964.81</v>
      </c>
      <c r="M470" s="85">
        <v>7.1999999999999998E-3</v>
      </c>
      <c r="N470" s="4">
        <v>-6.9294000000000001E-6</v>
      </c>
      <c r="O470" s="96">
        <v>0.25069999999999998</v>
      </c>
      <c r="P470" s="97">
        <v>0.26</v>
      </c>
      <c r="Q470" s="98">
        <v>0.28570000000000001</v>
      </c>
      <c r="R470" s="114">
        <v>24.718</v>
      </c>
      <c r="S470" s="120">
        <v>-3385.3</v>
      </c>
      <c r="T470" s="127">
        <v>-5.4656000000000002</v>
      </c>
      <c r="U470" s="14">
        <v>0</v>
      </c>
      <c r="V470" s="14">
        <v>0</v>
      </c>
      <c r="W470" s="139">
        <v>217.03899999999999</v>
      </c>
      <c r="X470" s="7">
        <v>0.85204000000000002</v>
      </c>
      <c r="Y470" s="8">
        <v>-2.1936999999999998E-3</v>
      </c>
      <c r="Z470" s="33">
        <v>2.8364000000000001E-6</v>
      </c>
      <c r="AA470" s="141">
        <v>0.15490000000000001</v>
      </c>
      <c r="AB470" s="9">
        <v>-5.9178000000000002E-5</v>
      </c>
      <c r="AC470" s="10">
        <v>-1.9357999999999999E-7</v>
      </c>
      <c r="AD470" s="146">
        <v>65.796999999999997</v>
      </c>
      <c r="AE470" s="147">
        <v>0.38</v>
      </c>
      <c r="AF470" s="150">
        <v>50.573999999999998</v>
      </c>
      <c r="AG470" s="152">
        <v>1.2222</v>
      </c>
    </row>
    <row r="471" spans="1:33" x14ac:dyDescent="0.2">
      <c r="A471" s="27">
        <v>12</v>
      </c>
      <c r="B471" s="69">
        <v>12.990269335000001</v>
      </c>
      <c r="C471" s="28">
        <f t="shared" si="29"/>
        <v>0.74022094343400369</v>
      </c>
      <c r="D471" s="52">
        <v>170.33799999999999</v>
      </c>
      <c r="E471" s="47">
        <v>640.53</v>
      </c>
      <c r="F471" s="44">
        <v>18.52</v>
      </c>
      <c r="G471" s="11">
        <v>6.7949999999999998E-4</v>
      </c>
      <c r="H471" s="61">
        <f t="shared" si="30"/>
        <v>250.86597938144328</v>
      </c>
      <c r="I471" s="29">
        <f t="shared" si="31"/>
        <v>0.2361354883069248</v>
      </c>
      <c r="J471" s="52">
        <v>0.375</v>
      </c>
      <c r="K471" s="75">
        <v>-4.4114000000000004</v>
      </c>
      <c r="L471" s="81">
        <v>923.69</v>
      </c>
      <c r="M471" s="13">
        <v>6.8999999999999999E-3</v>
      </c>
      <c r="N471" s="12">
        <v>-6.8925999999999999E-6</v>
      </c>
      <c r="O471" s="93">
        <v>0.25069999999999998</v>
      </c>
      <c r="P471" s="94">
        <v>0.26419999999999999</v>
      </c>
      <c r="Q471" s="95">
        <v>0.28570000000000001</v>
      </c>
      <c r="R471" s="111">
        <v>25.074999999999999</v>
      </c>
      <c r="S471" s="118">
        <v>-3356.7</v>
      </c>
      <c r="T471" s="125">
        <v>-5.5911</v>
      </c>
      <c r="U471" s="14">
        <v>0</v>
      </c>
      <c r="V471" s="30">
        <v>0</v>
      </c>
      <c r="W471" s="138">
        <v>213.995</v>
      </c>
      <c r="X471" s="13">
        <v>0.87543000000000004</v>
      </c>
      <c r="Y471" s="14">
        <v>-2.2848E-3</v>
      </c>
      <c r="Z471" s="30">
        <v>2.9703000000000002E-6</v>
      </c>
      <c r="AA471" s="77">
        <v>0.1547</v>
      </c>
      <c r="AB471" s="5">
        <v>-5.9614000000000002E-5</v>
      </c>
      <c r="AC471" s="15">
        <v>-2.0064999999999999E-7</v>
      </c>
      <c r="AD471" s="146">
        <v>64.563999999999993</v>
      </c>
      <c r="AE471" s="147">
        <v>0.38</v>
      </c>
      <c r="AF471" s="150">
        <v>50.268999999999998</v>
      </c>
      <c r="AG471" s="152">
        <v>1.2222</v>
      </c>
    </row>
    <row r="472" spans="1:33" x14ac:dyDescent="0.2">
      <c r="A472" s="27">
        <v>12</v>
      </c>
      <c r="B472" s="69">
        <v>9.6675882975</v>
      </c>
      <c r="C472" s="28">
        <f t="shared" si="29"/>
        <v>0.53131231477355079</v>
      </c>
      <c r="D472" s="52">
        <v>170.33799999999999</v>
      </c>
      <c r="E472" s="47">
        <v>645.08000000000004</v>
      </c>
      <c r="F472" s="44">
        <v>18.420000000000002</v>
      </c>
      <c r="G472" s="11">
        <v>6.7750000000000004E-4</v>
      </c>
      <c r="H472" s="61">
        <f t="shared" si="30"/>
        <v>251.60709010339733</v>
      </c>
      <c r="I472" s="29">
        <f t="shared" si="31"/>
        <v>0.23251699259451891</v>
      </c>
      <c r="J472" s="52">
        <v>0.434</v>
      </c>
      <c r="K472" s="75">
        <v>-5.0914000000000001</v>
      </c>
      <c r="L472" s="81">
        <v>1026.8</v>
      </c>
      <c r="M472" s="13">
        <v>8.5000000000000006E-3</v>
      </c>
      <c r="N472" s="12">
        <v>-8.1281999999999995E-6</v>
      </c>
      <c r="O472" s="93">
        <v>0.25140000000000001</v>
      </c>
      <c r="P472" s="94">
        <v>0.26079999999999998</v>
      </c>
      <c r="Q472" s="95">
        <v>0.28570000000000001</v>
      </c>
      <c r="R472" s="111">
        <v>25.33</v>
      </c>
      <c r="S472" s="118">
        <v>-3485.2</v>
      </c>
      <c r="T472" s="125">
        <v>-5.6189</v>
      </c>
      <c r="U472" s="14">
        <v>0</v>
      </c>
      <c r="V472" s="30">
        <v>0</v>
      </c>
      <c r="W472" s="138">
        <v>242.148</v>
      </c>
      <c r="X472" s="13">
        <v>0.73419000000000001</v>
      </c>
      <c r="Y472" s="14">
        <v>-1.9791000000000001E-3</v>
      </c>
      <c r="Z472" s="30">
        <v>2.7742000000000001E-6</v>
      </c>
      <c r="AA472" s="77">
        <v>0.16159999999999999</v>
      </c>
      <c r="AB472" s="5">
        <v>-7.6450000000000002E-5</v>
      </c>
      <c r="AC472" s="15">
        <v>-1.8608000000000001E-7</v>
      </c>
      <c r="AD472" s="146">
        <v>66.757000000000005</v>
      </c>
      <c r="AE472" s="147">
        <v>0.38</v>
      </c>
      <c r="AF472" s="150">
        <v>51.305999999999997</v>
      </c>
      <c r="AG472" s="152">
        <v>1.2222</v>
      </c>
    </row>
    <row r="473" spans="1:33" x14ac:dyDescent="0.2">
      <c r="A473" s="27">
        <v>12</v>
      </c>
      <c r="B473" s="69">
        <v>11.9441005775</v>
      </c>
      <c r="C473" s="28">
        <f t="shared" si="29"/>
        <v>0.67444463869390869</v>
      </c>
      <c r="D473" s="52">
        <v>170.33799999999999</v>
      </c>
      <c r="E473" s="47">
        <v>640.41999999999996</v>
      </c>
      <c r="F473" s="44">
        <v>18.47</v>
      </c>
      <c r="G473" s="11">
        <v>6.7849999999999996E-4</v>
      </c>
      <c r="H473" s="61">
        <f t="shared" si="30"/>
        <v>251.23598820058999</v>
      </c>
      <c r="I473" s="29">
        <f t="shared" si="31"/>
        <v>0.23519153299212461</v>
      </c>
      <c r="J473" s="52">
        <v>0.40400000000000003</v>
      </c>
      <c r="K473" s="75">
        <v>-4.7186000000000003</v>
      </c>
      <c r="L473" s="81">
        <v>967.11</v>
      </c>
      <c r="M473" s="13">
        <v>7.7000000000000002E-3</v>
      </c>
      <c r="N473" s="12">
        <v>-7.5198999999999998E-6</v>
      </c>
      <c r="O473" s="93">
        <v>0.25109999999999999</v>
      </c>
      <c r="P473" s="94">
        <v>0.2646</v>
      </c>
      <c r="Q473" s="95">
        <v>0.28570000000000001</v>
      </c>
      <c r="R473" s="111">
        <v>25.279</v>
      </c>
      <c r="S473" s="118">
        <v>-3414.3</v>
      </c>
      <c r="T473" s="125">
        <v>-5.6319999999999997</v>
      </c>
      <c r="U473" s="14">
        <v>0</v>
      </c>
      <c r="V473" s="30">
        <v>0</v>
      </c>
      <c r="W473" s="138">
        <v>228.33600000000001</v>
      </c>
      <c r="X473" s="13">
        <v>0.80220999999999998</v>
      </c>
      <c r="Y473" s="14">
        <v>-2.1296000000000002E-3</v>
      </c>
      <c r="Z473" s="30">
        <v>2.8770000000000002E-6</v>
      </c>
      <c r="AA473" s="77">
        <v>0.15820000000000001</v>
      </c>
      <c r="AB473" s="5">
        <v>-6.8590000000000006E-5</v>
      </c>
      <c r="AC473" s="15">
        <v>-1.9439999999999999E-7</v>
      </c>
      <c r="AD473" s="146">
        <v>65.391999999999996</v>
      </c>
      <c r="AE473" s="147">
        <v>0.38</v>
      </c>
      <c r="AF473" s="150">
        <v>50.715000000000003</v>
      </c>
      <c r="AG473" s="152">
        <v>1.2222</v>
      </c>
    </row>
    <row r="474" spans="1:33" x14ac:dyDescent="0.2">
      <c r="A474" s="27">
        <v>12</v>
      </c>
      <c r="B474" s="69">
        <v>11.344505012500001</v>
      </c>
      <c r="C474" s="28">
        <f t="shared" si="29"/>
        <v>0.63674595927769662</v>
      </c>
      <c r="D474" s="52">
        <v>170.33799999999999</v>
      </c>
      <c r="E474" s="48">
        <v>649.01</v>
      </c>
      <c r="F474" s="48">
        <v>18.47</v>
      </c>
      <c r="G474" s="11">
        <v>6.7849999999999996E-4</v>
      </c>
      <c r="H474" s="61">
        <f t="shared" si="30"/>
        <v>251.23598820058999</v>
      </c>
      <c r="I474" s="29">
        <f t="shared" si="31"/>
        <v>0.23207864525787961</v>
      </c>
      <c r="J474" s="55">
        <v>0.40400000000000003</v>
      </c>
      <c r="K474" s="76">
        <v>-4.8474000000000004</v>
      </c>
      <c r="L474" s="82">
        <v>997.77</v>
      </c>
      <c r="M474" s="85">
        <v>7.7999999999999996E-3</v>
      </c>
      <c r="N474" s="4">
        <v>-7.5191999999999999E-6</v>
      </c>
      <c r="O474" s="96">
        <v>0.25109999999999999</v>
      </c>
      <c r="P474" s="97">
        <v>0.26050000000000001</v>
      </c>
      <c r="Q474" s="98">
        <v>0.28570000000000001</v>
      </c>
      <c r="R474" s="114">
        <v>25.001000000000001</v>
      </c>
      <c r="S474" s="120">
        <v>-3436.9</v>
      </c>
      <c r="T474" s="127">
        <v>-5.5343999999999998</v>
      </c>
      <c r="U474" s="14">
        <v>0</v>
      </c>
      <c r="V474" s="14">
        <v>0</v>
      </c>
      <c r="W474" s="139">
        <v>230.03</v>
      </c>
      <c r="X474" s="7">
        <v>0.78974999999999995</v>
      </c>
      <c r="Y474" s="8">
        <v>-2.0753E-3</v>
      </c>
      <c r="Z474" s="33">
        <v>2.7906999999999998E-6</v>
      </c>
      <c r="AA474" s="141">
        <v>0.15840000000000001</v>
      </c>
      <c r="AB474" s="9">
        <v>-6.7974999999999999E-5</v>
      </c>
      <c r="AC474" s="10">
        <v>-1.8925E-7</v>
      </c>
      <c r="AD474" s="146">
        <v>66.353999999999999</v>
      </c>
      <c r="AE474" s="147">
        <v>0.38</v>
      </c>
      <c r="AF474" s="150">
        <v>50.953000000000003</v>
      </c>
      <c r="AG474" s="152">
        <v>1.2222</v>
      </c>
    </row>
    <row r="475" spans="1:33" x14ac:dyDescent="0.2">
      <c r="A475" s="27">
        <v>12</v>
      </c>
      <c r="B475" s="69">
        <v>14.074102890000001</v>
      </c>
      <c r="C475" s="28">
        <f t="shared" si="29"/>
        <v>0.80836536630090472</v>
      </c>
      <c r="D475" s="52">
        <v>170.33799999999999</v>
      </c>
      <c r="E475" s="48">
        <v>639.14</v>
      </c>
      <c r="F475" s="48">
        <v>18.52</v>
      </c>
      <c r="G475" s="11">
        <v>6.7949999999999998E-4</v>
      </c>
      <c r="H475" s="61">
        <f t="shared" si="30"/>
        <v>250.86597938144328</v>
      </c>
      <c r="I475" s="29">
        <f t="shared" si="31"/>
        <v>0.23664903514916066</v>
      </c>
      <c r="J475" s="55">
        <v>0.375</v>
      </c>
      <c r="K475" s="76">
        <v>-4.3857999999999997</v>
      </c>
      <c r="L475" s="82">
        <v>918.14</v>
      </c>
      <c r="M475" s="85">
        <v>6.7999999999999996E-3</v>
      </c>
      <c r="N475" s="4">
        <v>-6.8831999999999996E-6</v>
      </c>
      <c r="O475" s="96">
        <v>0.25069999999999998</v>
      </c>
      <c r="P475" s="97">
        <v>0.26900000000000002</v>
      </c>
      <c r="Q475" s="98">
        <v>0.28570000000000001</v>
      </c>
      <c r="R475" s="114">
        <v>25.12</v>
      </c>
      <c r="S475" s="120">
        <v>-3353.1</v>
      </c>
      <c r="T475" s="127">
        <v>-5.6071</v>
      </c>
      <c r="U475" s="14">
        <v>0</v>
      </c>
      <c r="V475" s="14">
        <v>0</v>
      </c>
      <c r="W475" s="139">
        <v>215.65899999999999</v>
      </c>
      <c r="X475" s="7">
        <v>0.86331000000000002</v>
      </c>
      <c r="Y475" s="8">
        <v>-2.2523999999999999E-3</v>
      </c>
      <c r="Z475" s="33">
        <v>2.9318999999999998E-6</v>
      </c>
      <c r="AA475" s="141">
        <v>0.1547</v>
      </c>
      <c r="AB475" s="9">
        <v>-5.9667000000000003E-5</v>
      </c>
      <c r="AC475" s="10">
        <v>-2.0156000000000001E-7</v>
      </c>
      <c r="AD475" s="146">
        <v>64.41</v>
      </c>
      <c r="AE475" s="147">
        <v>0.38</v>
      </c>
      <c r="AF475" s="150">
        <v>50.231000000000002</v>
      </c>
      <c r="AG475" s="152">
        <v>1.2222</v>
      </c>
    </row>
    <row r="476" spans="1:33" x14ac:dyDescent="0.2">
      <c r="A476" s="27">
        <v>12</v>
      </c>
      <c r="B476" s="69">
        <v>10.366094500000001</v>
      </c>
      <c r="C476" s="28">
        <f t="shared" si="29"/>
        <v>0.57522985342026045</v>
      </c>
      <c r="D476" s="52">
        <v>170.33799999999999</v>
      </c>
      <c r="E476" s="47">
        <v>655.95</v>
      </c>
      <c r="F476" s="44">
        <v>18.47</v>
      </c>
      <c r="G476" s="11">
        <v>6.7849999999999996E-4</v>
      </c>
      <c r="H476" s="61">
        <f t="shared" si="30"/>
        <v>251.23598820058999</v>
      </c>
      <c r="I476" s="29">
        <f t="shared" si="31"/>
        <v>0.22962323585458716</v>
      </c>
      <c r="J476" s="52">
        <v>0.40400000000000003</v>
      </c>
      <c r="K476" s="75">
        <v>-4.9348999999999998</v>
      </c>
      <c r="L476" s="81">
        <v>1020.3</v>
      </c>
      <c r="M476" s="13">
        <v>7.9000000000000008E-3</v>
      </c>
      <c r="N476" s="12">
        <v>-7.4951999999999998E-6</v>
      </c>
      <c r="O476" s="93">
        <v>0.25109999999999999</v>
      </c>
      <c r="P476" s="94">
        <v>0.25590000000000002</v>
      </c>
      <c r="Q476" s="95">
        <v>0.28570000000000001</v>
      </c>
      <c r="R476" s="111">
        <v>24.783999999999999</v>
      </c>
      <c r="S476" s="118">
        <v>-3455.2</v>
      </c>
      <c r="T476" s="125">
        <v>-5.4581</v>
      </c>
      <c r="U476" s="14">
        <v>0</v>
      </c>
      <c r="V476" s="30">
        <v>0</v>
      </c>
      <c r="W476" s="138">
        <v>230.79300000000001</v>
      </c>
      <c r="X476" s="13">
        <v>0.78434000000000004</v>
      </c>
      <c r="Y476" s="14">
        <v>-2.0460000000000001E-3</v>
      </c>
      <c r="Z476" s="30">
        <v>2.7406000000000001E-6</v>
      </c>
      <c r="AA476" s="77">
        <v>0.1585</v>
      </c>
      <c r="AB476" s="5">
        <v>-6.7483000000000004E-5</v>
      </c>
      <c r="AC476" s="15">
        <v>-1.8524999999999999E-7</v>
      </c>
      <c r="AD476" s="146">
        <v>67.131</v>
      </c>
      <c r="AE476" s="147">
        <v>0.38</v>
      </c>
      <c r="AF476" s="150">
        <v>51.142000000000003</v>
      </c>
      <c r="AG476" s="152">
        <v>1.2222</v>
      </c>
    </row>
    <row r="477" spans="1:33" x14ac:dyDescent="0.2">
      <c r="A477" s="27">
        <v>12</v>
      </c>
      <c r="B477" s="69">
        <v>11.807881249999999</v>
      </c>
      <c r="C477" s="28">
        <f t="shared" si="29"/>
        <v>0.66588005106605574</v>
      </c>
      <c r="D477" s="52">
        <v>170.33799999999999</v>
      </c>
      <c r="E477" s="47">
        <v>664.25</v>
      </c>
      <c r="F477" s="44">
        <v>18.52</v>
      </c>
      <c r="G477" s="11">
        <v>6.7949999999999998E-4</v>
      </c>
      <c r="H477" s="61">
        <f t="shared" si="30"/>
        <v>250.86597938144328</v>
      </c>
      <c r="I477" s="29">
        <f t="shared" si="31"/>
        <v>0.22770322066275428</v>
      </c>
      <c r="J477" s="52">
        <v>0.375</v>
      </c>
      <c r="K477" s="75">
        <v>-4.7496</v>
      </c>
      <c r="L477" s="81">
        <v>1005.1</v>
      </c>
      <c r="M477" s="13">
        <v>7.4000000000000003E-3</v>
      </c>
      <c r="N477" s="12">
        <v>-6.9066000000000001E-6</v>
      </c>
      <c r="O477" s="93">
        <v>0.25069999999999998</v>
      </c>
      <c r="P477" s="94">
        <v>0.25340000000000001</v>
      </c>
      <c r="Q477" s="95">
        <v>0.28570000000000001</v>
      </c>
      <c r="R477" s="111">
        <v>24.334</v>
      </c>
      <c r="S477" s="118">
        <v>-3417.8</v>
      </c>
      <c r="T477" s="125">
        <v>-5.3310000000000004</v>
      </c>
      <c r="U477" s="14">
        <v>0</v>
      </c>
      <c r="V477" s="30">
        <v>0</v>
      </c>
      <c r="W477" s="138">
        <v>219.386</v>
      </c>
      <c r="X477" s="13">
        <v>0.83421000000000001</v>
      </c>
      <c r="Y477" s="14">
        <v>-2.1180000000000001E-3</v>
      </c>
      <c r="Z477" s="30">
        <v>2.7209000000000001E-6</v>
      </c>
      <c r="AA477" s="77">
        <v>0.1552</v>
      </c>
      <c r="AB477" s="5">
        <v>-5.8671000000000001E-5</v>
      </c>
      <c r="AC477" s="15">
        <v>-1.8608999999999999E-7</v>
      </c>
      <c r="AD477" s="146">
        <v>67.186999999999998</v>
      </c>
      <c r="AE477" s="147">
        <v>0.38</v>
      </c>
      <c r="AF477" s="150">
        <v>50.912999999999997</v>
      </c>
      <c r="AG477" s="152">
        <v>1.2222</v>
      </c>
    </row>
    <row r="478" spans="1:33" x14ac:dyDescent="0.2">
      <c r="A478" s="27">
        <v>12</v>
      </c>
      <c r="B478" s="69">
        <v>13.67834225625</v>
      </c>
      <c r="C478" s="28">
        <f t="shared" si="29"/>
        <v>0.78348250503875017</v>
      </c>
      <c r="D478" s="52">
        <v>170.33799999999999</v>
      </c>
      <c r="E478" s="48">
        <v>640.53</v>
      </c>
      <c r="F478" s="48">
        <v>18.52</v>
      </c>
      <c r="G478" s="11">
        <v>6.7949999999999998E-4</v>
      </c>
      <c r="H478" s="61">
        <f t="shared" si="30"/>
        <v>250.86597938144328</v>
      </c>
      <c r="I478" s="29">
        <f t="shared" si="31"/>
        <v>0.2361354883069248</v>
      </c>
      <c r="J478" s="55">
        <v>0.375</v>
      </c>
      <c r="K478" s="76">
        <v>-4.4114000000000004</v>
      </c>
      <c r="L478" s="82">
        <v>923.69</v>
      </c>
      <c r="M478" s="85">
        <v>6.8999999999999999E-3</v>
      </c>
      <c r="N478" s="4">
        <v>-6.8925999999999999E-6</v>
      </c>
      <c r="O478" s="99" t="str" cm="1">
        <f t="array" ref="O478">LEFT(INDEX($O$292:$O$645, MATCH(MIN(IF(ABS($B$292:$B$645-B478)&lt;&gt;0, ABS($B$292:$B$645-B478))), IF(ABS($B$292:$B$645-B478)&lt;&gt;0, ABS($B$292:$B$645-B478)), 0)),6)</f>
        <v>0.2529</v>
      </c>
      <c r="P478" s="106" cm="1">
        <f t="array" ref="P478">INDEX($P$292:$P$645, MATCH(MIN(IF(ABS($B$292:$B$645-B478)&lt;&gt;0, ABS($B$292:$B$645-B478))), IF(ABS($B$292:$B$645-B478)&lt;&gt;0, ABS($B$292:$B$645-B478)), 0))</f>
        <v>0.25259999999999999</v>
      </c>
      <c r="Q478" s="107" cm="1">
        <f t="array" ref="Q478">INDEX($Q$292:$Q$645, MATCH(MIN(IF(ABS($B$292:$B$645-B478)&lt;&gt;0, ABS($B$292:$B$645-B478))), IF(ABS($B$292:$B$645-B478)&lt;&gt;0, ABS($B$292:$B$645-B478)), 0))</f>
        <v>0.28570000000000001</v>
      </c>
      <c r="R478" s="114">
        <v>25.074999999999999</v>
      </c>
      <c r="S478" s="120">
        <v>-3356.7</v>
      </c>
      <c r="T478" s="127">
        <v>-5.5911</v>
      </c>
      <c r="U478" s="14">
        <v>0</v>
      </c>
      <c r="V478" s="14">
        <v>0</v>
      </c>
      <c r="W478" s="139">
        <v>214.988</v>
      </c>
      <c r="X478" s="7">
        <v>0.86809999999999998</v>
      </c>
      <c r="Y478" s="8">
        <v>-2.2634E-3</v>
      </c>
      <c r="Z478" s="33">
        <v>2.9432999999999998E-6</v>
      </c>
      <c r="AA478" s="141">
        <v>0.1547</v>
      </c>
      <c r="AB478" s="9">
        <v>-5.9614000000000002E-5</v>
      </c>
      <c r="AC478" s="10">
        <v>-2.0064999999999999E-7</v>
      </c>
      <c r="AD478" s="146">
        <v>64.563999999999993</v>
      </c>
      <c r="AE478" s="147">
        <v>0.38</v>
      </c>
      <c r="AF478" s="150">
        <v>50.268999999999998</v>
      </c>
      <c r="AG478" s="152">
        <v>1.2222</v>
      </c>
    </row>
    <row r="479" spans="1:33" x14ac:dyDescent="0.2">
      <c r="A479" s="27">
        <v>12</v>
      </c>
      <c r="B479" s="69">
        <v>11.53269684</v>
      </c>
      <c r="C479" s="28">
        <f t="shared" si="29"/>
        <v>0.64857824054827873</v>
      </c>
      <c r="D479" s="52">
        <v>170.33799999999999</v>
      </c>
      <c r="E479" s="48">
        <v>644.85</v>
      </c>
      <c r="F479" s="48">
        <v>18.47</v>
      </c>
      <c r="G479" s="11">
        <v>6.7849999999999996E-4</v>
      </c>
      <c r="H479" s="61">
        <f t="shared" si="30"/>
        <v>251.23598820058999</v>
      </c>
      <c r="I479" s="29">
        <f t="shared" si="31"/>
        <v>0.23357581074484984</v>
      </c>
      <c r="J479" s="55">
        <v>0.40400000000000003</v>
      </c>
      <c r="K479" s="76">
        <v>-4.7881</v>
      </c>
      <c r="L479" s="82">
        <v>983.35</v>
      </c>
      <c r="M479" s="85">
        <v>7.7999999999999996E-3</v>
      </c>
      <c r="N479" s="4">
        <v>-7.5240000000000003E-6</v>
      </c>
      <c r="O479" s="99" t="str" cm="1">
        <f t="array" ref="O479">LEFT(INDEX($O$292:$O$645, MATCH(MIN(IF(ABS($B$292:$B$645-B479)&lt;&gt;0, ABS($B$292:$B$645-B479))), IF(ABS($B$292:$B$645-B479)&lt;&gt;0, ABS($B$292:$B$645-B479)), 0)),6)</f>
        <v>0.2507</v>
      </c>
      <c r="P479" s="106" cm="1">
        <f t="array" ref="P479">INDEX($P$292:$P$645, MATCH(MIN(IF(ABS($B$292:$B$645-B479)&lt;&gt;0, ABS($B$292:$B$645-B479))), IF(ABS($B$292:$B$645-B479)&lt;&gt;0, ABS($B$292:$B$645-B479)), 0))</f>
        <v>0.25340000000000001</v>
      </c>
      <c r="Q479" s="107" cm="1">
        <f t="array" ref="Q479">INDEX($Q$292:$Q$645, MATCH(MIN(IF(ABS($B$292:$B$645-B479)&lt;&gt;0, ABS($B$292:$B$645-B479))), IF(ABS($B$292:$B$645-B479)&lt;&gt;0, ABS($B$292:$B$645-B479)), 0))</f>
        <v>0.28570000000000001</v>
      </c>
      <c r="R479" s="114">
        <v>25.134</v>
      </c>
      <c r="S479" s="120">
        <v>-3425.9</v>
      </c>
      <c r="T479" s="127">
        <v>-5.5811999999999999</v>
      </c>
      <c r="U479" s="14">
        <v>0</v>
      </c>
      <c r="V479" s="14">
        <v>0</v>
      </c>
      <c r="W479" s="139">
        <v>229.16300000000001</v>
      </c>
      <c r="X479" s="7">
        <v>0.79608999999999996</v>
      </c>
      <c r="Y479" s="8">
        <v>-2.1023999999999999E-3</v>
      </c>
      <c r="Z479" s="33">
        <v>2.8333999999999998E-6</v>
      </c>
      <c r="AA479" s="141">
        <v>0.1583</v>
      </c>
      <c r="AB479" s="9">
        <v>-6.8272E-5</v>
      </c>
      <c r="AC479" s="10">
        <v>-1.9170999999999999E-7</v>
      </c>
      <c r="AD479" s="146">
        <v>65.888999999999996</v>
      </c>
      <c r="AE479" s="147">
        <v>0.38</v>
      </c>
      <c r="AF479" s="150">
        <v>50.838000000000001</v>
      </c>
      <c r="AG479" s="152">
        <v>1.2222</v>
      </c>
    </row>
    <row r="480" spans="1:33" x14ac:dyDescent="0.2">
      <c r="A480" s="27">
        <v>12</v>
      </c>
      <c r="B480" s="69">
        <v>10.363165134999999</v>
      </c>
      <c r="C480" s="28">
        <f t="shared" si="29"/>
        <v>0.5750456739525085</v>
      </c>
      <c r="D480" s="52">
        <v>170.33799999999999</v>
      </c>
      <c r="E480" s="48">
        <v>655.95</v>
      </c>
      <c r="F480" s="48">
        <v>18.47</v>
      </c>
      <c r="G480" s="11">
        <v>6.7849999999999996E-4</v>
      </c>
      <c r="H480" s="61">
        <f t="shared" si="30"/>
        <v>251.23598820058999</v>
      </c>
      <c r="I480" s="29">
        <f t="shared" si="31"/>
        <v>0.22962323585458716</v>
      </c>
      <c r="J480" s="55">
        <v>0.40400000000000003</v>
      </c>
      <c r="K480" s="76">
        <v>-4.9348999999999998</v>
      </c>
      <c r="L480" s="82">
        <v>1020.3</v>
      </c>
      <c r="M480" s="85">
        <v>7.9000000000000008E-3</v>
      </c>
      <c r="N480" s="4">
        <v>-7.4951999999999998E-6</v>
      </c>
      <c r="O480" s="99" t="str" cm="1">
        <f t="array" ref="O480">LEFT(INDEX($O$292:$O$645, MATCH(MIN(IF(ABS($B$292:$B$645-B480)&lt;&gt;0, ABS($B$292:$B$645-B480))), IF(ABS($B$292:$B$645-B480)&lt;&gt;0, ABS($B$292:$B$645-B480)), 0)),6)</f>
        <v>0.2511</v>
      </c>
      <c r="P480" s="106" cm="1">
        <f t="array" ref="P480">INDEX($P$292:$P$645, MATCH(MIN(IF(ABS($B$292:$B$645-B480)&lt;&gt;0, ABS($B$292:$B$645-B480))), IF(ABS($B$292:$B$645-B480)&lt;&gt;0, ABS($B$292:$B$645-B480)), 0))</f>
        <v>0.25569999999999998</v>
      </c>
      <c r="Q480" s="107" cm="1">
        <f t="array" ref="Q480">INDEX($Q$292:$Q$645, MATCH(MIN(IF(ABS($B$292:$B$645-B480)&lt;&gt;0, ABS($B$292:$B$645-B480))), IF(ABS($B$292:$B$645-B480)&lt;&gt;0, ABS($B$292:$B$645-B480)), 0))</f>
        <v>0.28570000000000001</v>
      </c>
      <c r="R480" s="114">
        <v>24.783999999999999</v>
      </c>
      <c r="S480" s="120">
        <v>-3455.2</v>
      </c>
      <c r="T480" s="127">
        <v>-5.4581</v>
      </c>
      <c r="U480" s="14">
        <v>0</v>
      </c>
      <c r="V480" s="14">
        <v>0</v>
      </c>
      <c r="W480" s="139">
        <v>230.79300000000001</v>
      </c>
      <c r="X480" s="7">
        <v>0.78434000000000004</v>
      </c>
      <c r="Y480" s="8">
        <v>-2.0460000000000001E-3</v>
      </c>
      <c r="Z480" s="33">
        <v>2.7406000000000001E-6</v>
      </c>
      <c r="AA480" s="141">
        <v>0.1585</v>
      </c>
      <c r="AB480" s="9">
        <v>-6.7483000000000004E-5</v>
      </c>
      <c r="AC480" s="10">
        <v>-1.8524999999999999E-7</v>
      </c>
      <c r="AD480" s="146">
        <v>67.131</v>
      </c>
      <c r="AE480" s="147">
        <v>0.38</v>
      </c>
      <c r="AF480" s="150">
        <v>51.142000000000003</v>
      </c>
      <c r="AG480" s="152">
        <v>1.2222</v>
      </c>
    </row>
    <row r="481" spans="1:33" x14ac:dyDescent="0.2">
      <c r="A481" s="27">
        <v>12</v>
      </c>
      <c r="B481" s="69">
        <v>12.9900501675</v>
      </c>
      <c r="C481" s="28">
        <f t="shared" si="29"/>
        <v>0.74020716360339234</v>
      </c>
      <c r="D481" s="52">
        <v>170.33799999999999</v>
      </c>
      <c r="E481" s="48">
        <v>641.92999999999995</v>
      </c>
      <c r="F481" s="48">
        <v>18.52</v>
      </c>
      <c r="G481" s="11">
        <v>6.7849999999999996E-4</v>
      </c>
      <c r="H481" s="61">
        <f t="shared" si="30"/>
        <v>251.23598820058999</v>
      </c>
      <c r="I481" s="29">
        <f t="shared" si="31"/>
        <v>0.23527348391486358</v>
      </c>
      <c r="J481" s="55">
        <v>0.375</v>
      </c>
      <c r="K481" s="76">
        <v>-4.4362000000000004</v>
      </c>
      <c r="L481" s="82">
        <v>929.15</v>
      </c>
      <c r="M481" s="85">
        <v>6.8999999999999999E-3</v>
      </c>
      <c r="N481" s="4">
        <v>-6.9008000000000001E-6</v>
      </c>
      <c r="O481" s="99" t="str" cm="1">
        <f t="array" ref="O481">LEFT(INDEX($O$292:$O$645, MATCH(MIN(IF(ABS($B$292:$B$645-B481)&lt;&gt;0, ABS($B$292:$B$645-B481))), IF(ABS($B$292:$B$645-B481)&lt;&gt;0, ABS($B$292:$B$645-B481)), 0)),6)</f>
        <v>0.2507</v>
      </c>
      <c r="P481" s="106" cm="1">
        <f t="array" ref="P481">INDEX($P$292:$P$645, MATCH(MIN(IF(ABS($B$292:$B$645-B481)&lt;&gt;0, ABS($B$292:$B$645-B481))), IF(ABS($B$292:$B$645-B481)&lt;&gt;0, ABS($B$292:$B$645-B481)), 0))</f>
        <v>0.26419999999999999</v>
      </c>
      <c r="Q481" s="107" cm="1">
        <f t="array" ref="Q481">INDEX($Q$292:$Q$645, MATCH(MIN(IF(ABS($B$292:$B$645-B481)&lt;&gt;0, ABS($B$292:$B$645-B481))), IF(ABS($B$292:$B$645-B481)&lt;&gt;0, ABS($B$292:$B$645-B481)), 0))</f>
        <v>0.28570000000000001</v>
      </c>
      <c r="R481" s="114">
        <v>25.029</v>
      </c>
      <c r="S481" s="120">
        <v>-3360.2</v>
      </c>
      <c r="T481" s="127">
        <v>-5.5750999999999999</v>
      </c>
      <c r="U481" s="14">
        <v>0</v>
      </c>
      <c r="V481" s="14">
        <v>0</v>
      </c>
      <c r="W481" s="139">
        <v>214.53</v>
      </c>
      <c r="X481" s="7">
        <v>0.87133000000000005</v>
      </c>
      <c r="Y481" s="8">
        <v>-2.2699E-3</v>
      </c>
      <c r="Z481" s="33">
        <v>2.9490000000000001E-6</v>
      </c>
      <c r="AA481" s="141">
        <v>0.15479999999999999</v>
      </c>
      <c r="AB481" s="9">
        <v>-5.9559999999999999E-5</v>
      </c>
      <c r="AC481" s="10">
        <v>-1.9973999999999999E-7</v>
      </c>
      <c r="AD481" s="146">
        <v>64.718000000000004</v>
      </c>
      <c r="AE481" s="147">
        <v>0.38</v>
      </c>
      <c r="AF481" s="150">
        <v>50.307000000000002</v>
      </c>
      <c r="AG481" s="152">
        <v>1.2222</v>
      </c>
    </row>
    <row r="482" spans="1:33" x14ac:dyDescent="0.2">
      <c r="A482" s="27">
        <v>12</v>
      </c>
      <c r="B482" s="69">
        <v>11.5289635475</v>
      </c>
      <c r="C482" s="28">
        <f t="shared" si="29"/>
        <v>0.6483435153345849</v>
      </c>
      <c r="D482" s="52">
        <v>170.33799999999999</v>
      </c>
      <c r="E482" s="48">
        <v>642.08000000000004</v>
      </c>
      <c r="F482" s="48">
        <v>18.47</v>
      </c>
      <c r="G482" s="11">
        <v>6.7849999999999996E-4</v>
      </c>
      <c r="H482" s="61">
        <f t="shared" si="30"/>
        <v>251.23598820058999</v>
      </c>
      <c r="I482" s="29">
        <f t="shared" si="31"/>
        <v>0.23458348112200417</v>
      </c>
      <c r="J482" s="55">
        <v>0.40400000000000003</v>
      </c>
      <c r="K482" s="76">
        <v>-4.7454999999999998</v>
      </c>
      <c r="L482" s="82">
        <v>973.3</v>
      </c>
      <c r="M482" s="85">
        <v>7.7000000000000002E-3</v>
      </c>
      <c r="N482" s="4">
        <v>-7.5227E-6</v>
      </c>
      <c r="O482" s="99" t="str" cm="1">
        <f t="array" ref="O482">LEFT(INDEX($O$292:$O$645, MATCH(MIN(IF(ABS($B$292:$B$645-B482)&lt;&gt;0, ABS($B$292:$B$645-B482))), IF(ABS($B$292:$B$645-B482)&lt;&gt;0, ABS($B$292:$B$645-B482)), 0)),6)</f>
        <v>0.2507</v>
      </c>
      <c r="P482" s="106" cm="1">
        <f t="array" ref="P482">INDEX($P$292:$P$645, MATCH(MIN(IF(ABS($B$292:$B$645-B482)&lt;&gt;0, ABS($B$292:$B$645-B482))), IF(ABS($B$292:$B$645-B482)&lt;&gt;0, ABS($B$292:$B$645-B482)), 0))</f>
        <v>0.25340000000000001</v>
      </c>
      <c r="Q482" s="107" cm="1">
        <f t="array" ref="Q482">INDEX($Q$292:$Q$645, MATCH(MIN(IF(ABS($B$292:$B$645-B482)&lt;&gt;0, ABS($B$292:$B$645-B482))), IF(ABS($B$292:$B$645-B482)&lt;&gt;0, ABS($B$292:$B$645-B482)), 0))</f>
        <v>0.28570000000000001</v>
      </c>
      <c r="R482" s="114">
        <v>25.224</v>
      </c>
      <c r="S482" s="120">
        <v>-3418.6</v>
      </c>
      <c r="T482" s="127">
        <v>-5.6128999999999998</v>
      </c>
      <c r="U482" s="14">
        <v>0</v>
      </c>
      <c r="V482" s="14">
        <v>0</v>
      </c>
      <c r="W482" s="139">
        <v>228.05</v>
      </c>
      <c r="X482" s="7">
        <v>0.80434000000000005</v>
      </c>
      <c r="Y482" s="8">
        <v>-2.1327E-3</v>
      </c>
      <c r="Z482" s="33">
        <v>2.8779E-6</v>
      </c>
      <c r="AA482" s="141">
        <v>0.15820000000000001</v>
      </c>
      <c r="AB482" s="9">
        <v>-6.847E-5</v>
      </c>
      <c r="AC482" s="10">
        <v>-1.9338E-7</v>
      </c>
      <c r="AD482" s="146">
        <v>65.578000000000003</v>
      </c>
      <c r="AE482" s="147">
        <v>0.38</v>
      </c>
      <c r="AF482" s="150">
        <v>50.762</v>
      </c>
      <c r="AG482" s="152">
        <v>1.2222</v>
      </c>
    </row>
    <row r="483" spans="1:33" x14ac:dyDescent="0.2">
      <c r="A483" s="27">
        <v>12</v>
      </c>
      <c r="B483" s="69">
        <v>10.548643950000001</v>
      </c>
      <c r="C483" s="28">
        <f t="shared" si="29"/>
        <v>0.58670737859701161</v>
      </c>
      <c r="D483" s="52">
        <v>170.33799999999999</v>
      </c>
      <c r="E483" s="48">
        <v>651.79</v>
      </c>
      <c r="F483" s="48">
        <v>18.47</v>
      </c>
      <c r="G483" s="11">
        <v>6.7849999999999996E-4</v>
      </c>
      <c r="H483" s="61">
        <f t="shared" si="30"/>
        <v>251.23598820058999</v>
      </c>
      <c r="I483" s="29">
        <f t="shared" si="31"/>
        <v>0.23108878865710802</v>
      </c>
      <c r="J483" s="55">
        <v>0.40400000000000003</v>
      </c>
      <c r="K483" s="76">
        <v>-4.8840000000000003</v>
      </c>
      <c r="L483" s="82">
        <v>1007</v>
      </c>
      <c r="M483" s="85">
        <v>7.9000000000000008E-3</v>
      </c>
      <c r="N483" s="4">
        <v>-7.5119E-6</v>
      </c>
      <c r="O483" s="99" t="str" cm="1">
        <f t="array" ref="O483">LEFT(INDEX($O$292:$O$645, MATCH(MIN(IF(ABS($B$292:$B$645-B483)&lt;&gt;0, ABS($B$292:$B$645-B483))), IF(ABS($B$292:$B$645-B483)&lt;&gt;0, ABS($B$292:$B$645-B483)), 0)),6)</f>
        <v>0.2511</v>
      </c>
      <c r="P483" s="106" cm="1">
        <f t="array" ref="P483">INDEX($P$292:$P$645, MATCH(MIN(IF(ABS($B$292:$B$645-B483)&lt;&gt;0, ABS($B$292:$B$645-B483))), IF(ABS($B$292:$B$645-B483)&lt;&gt;0, ABS($B$292:$B$645-B483)), 0))</f>
        <v>0.25750000000000001</v>
      </c>
      <c r="Q483" s="107" cm="1">
        <f t="array" ref="Q483">INDEX($Q$292:$Q$645, MATCH(MIN(IF(ABS($B$292:$B$645-B483)&lt;&gt;0, ABS($B$292:$B$645-B483))), IF(ABS($B$292:$B$645-B483)&lt;&gt;0, ABS($B$292:$B$645-B483)), 0))</f>
        <v>0.28570000000000001</v>
      </c>
      <c r="R483" s="114">
        <v>24.913</v>
      </c>
      <c r="S483" s="120">
        <v>-3444.2</v>
      </c>
      <c r="T483" s="127">
        <v>-5.5035999999999996</v>
      </c>
      <c r="U483" s="14">
        <v>0</v>
      </c>
      <c r="V483" s="14">
        <v>0</v>
      </c>
      <c r="W483" s="139">
        <v>230.096</v>
      </c>
      <c r="X483" s="7">
        <v>0.78934000000000004</v>
      </c>
      <c r="Y483" s="8">
        <v>-2.0687000000000001E-3</v>
      </c>
      <c r="Z483" s="33">
        <v>2.7773000000000001E-6</v>
      </c>
      <c r="AA483" s="141">
        <v>0.15840000000000001</v>
      </c>
      <c r="AB483" s="9">
        <v>-6.7778000000000001E-5</v>
      </c>
      <c r="AC483" s="10">
        <v>-1.8764E-7</v>
      </c>
      <c r="AD483" s="146">
        <v>66.665000000000006</v>
      </c>
      <c r="AE483" s="147">
        <v>0.38</v>
      </c>
      <c r="AF483" s="150">
        <v>51.029000000000003</v>
      </c>
      <c r="AG483" s="152">
        <v>1.2222</v>
      </c>
    </row>
    <row r="484" spans="1:33" x14ac:dyDescent="0.2">
      <c r="A484" s="27">
        <v>12</v>
      </c>
      <c r="B484" s="69">
        <v>12.58388896125</v>
      </c>
      <c r="C484" s="28">
        <f t="shared" ref="C484:C547" si="32">(B484-MIN($B$292:$B$645))/(MAX($B$292:$B$645)-MIN($B$292:$B$645))</f>
        <v>0.71467038181328568</v>
      </c>
      <c r="D484" s="52">
        <v>170.33799999999999</v>
      </c>
      <c r="E484" s="48">
        <v>660.06</v>
      </c>
      <c r="F484" s="48">
        <v>18.52</v>
      </c>
      <c r="G484" s="11">
        <v>6.7949999999999998E-4</v>
      </c>
      <c r="H484" s="61">
        <f t="shared" si="30"/>
        <v>250.86597938144328</v>
      </c>
      <c r="I484" s="29">
        <f t="shared" si="31"/>
        <v>0.22914865970553364</v>
      </c>
      <c r="J484" s="55">
        <v>0.375</v>
      </c>
      <c r="K484" s="76">
        <v>-4.7012</v>
      </c>
      <c r="L484" s="82">
        <v>992.27</v>
      </c>
      <c r="M484" s="85">
        <v>7.3000000000000001E-3</v>
      </c>
      <c r="N484" s="4">
        <v>-6.9205000000000001E-6</v>
      </c>
      <c r="O484" s="99" t="str" cm="1">
        <f t="array" ref="O484">LEFT(INDEX($O$292:$O$645, MATCH(MIN(IF(ABS($B$292:$B$645-B484)&lt;&gt;0, ABS($B$292:$B$645-B484))), IF(ABS($B$292:$B$645-B484)&lt;&gt;0, ABS($B$292:$B$645-B484)), 0)),6)</f>
        <v>0.2507</v>
      </c>
      <c r="P484" s="106" cm="1">
        <f t="array" ref="P484">INDEX($P$292:$P$645, MATCH(MIN(IF(ABS($B$292:$B$645-B484)&lt;&gt;0, ABS($B$292:$B$645-B484))), IF(ABS($B$292:$B$645-B484)&lt;&gt;0, ABS($B$292:$B$645-B484)), 0))</f>
        <v>0.25850000000000001</v>
      </c>
      <c r="Q484" s="107" cm="1">
        <f t="array" ref="Q484">INDEX($Q$292:$Q$645, MATCH(MIN(IF(ABS($B$292:$B$645-B484)&lt;&gt;0, ABS($B$292:$B$645-B484))), IF(ABS($B$292:$B$645-B484)&lt;&gt;0, ABS($B$292:$B$645-B484)), 0))</f>
        <v>0.28570000000000001</v>
      </c>
      <c r="R484" s="114">
        <v>24.46</v>
      </c>
      <c r="S484" s="120">
        <v>-3406.9</v>
      </c>
      <c r="T484" s="127">
        <v>-5.3752000000000004</v>
      </c>
      <c r="U484" s="14">
        <v>0</v>
      </c>
      <c r="V484" s="14">
        <v>0</v>
      </c>
      <c r="W484" s="139">
        <v>220.06100000000001</v>
      </c>
      <c r="X484" s="7">
        <v>0.82947000000000004</v>
      </c>
      <c r="Y484" s="8">
        <v>-2.1123000000000001E-3</v>
      </c>
      <c r="Z484" s="33">
        <v>2.7207999999999999E-6</v>
      </c>
      <c r="AA484" s="141">
        <v>0.15509999999999999</v>
      </c>
      <c r="AB484" s="9">
        <v>-5.8841999999999997E-5</v>
      </c>
      <c r="AC484" s="10">
        <v>-1.8853999999999999E-7</v>
      </c>
      <c r="AD484" s="146">
        <v>66.722999999999999</v>
      </c>
      <c r="AE484" s="147">
        <v>0.38</v>
      </c>
      <c r="AF484" s="150">
        <v>50.8</v>
      </c>
      <c r="AG484" s="152">
        <v>1.2222</v>
      </c>
    </row>
    <row r="485" spans="1:33" x14ac:dyDescent="0.2">
      <c r="A485" s="27">
        <v>12</v>
      </c>
      <c r="B485" s="69">
        <v>12.293170065</v>
      </c>
      <c r="C485" s="28">
        <f t="shared" si="32"/>
        <v>0.69639186357580707</v>
      </c>
      <c r="D485" s="52">
        <v>170.33799999999999</v>
      </c>
      <c r="E485" s="48">
        <v>654.48</v>
      </c>
      <c r="F485" s="48">
        <v>18.52</v>
      </c>
      <c r="G485" s="11">
        <v>6.7949999999999998E-4</v>
      </c>
      <c r="H485" s="61">
        <f t="shared" si="30"/>
        <v>250.86597938144328</v>
      </c>
      <c r="I485" s="29">
        <f t="shared" si="31"/>
        <v>0.23110234739829258</v>
      </c>
      <c r="J485" s="55">
        <v>0.375</v>
      </c>
      <c r="K485" s="76">
        <v>-4.6299000000000001</v>
      </c>
      <c r="L485" s="82">
        <v>974.26</v>
      </c>
      <c r="M485" s="85">
        <v>7.1999999999999998E-3</v>
      </c>
      <c r="N485" s="4">
        <v>-6.9295000000000003E-6</v>
      </c>
      <c r="O485" s="99" t="str" cm="1">
        <f t="array" ref="O485">LEFT(INDEX($O$292:$O$645, MATCH(MIN(IF(ABS($B$292:$B$645-B485)&lt;&gt;0, ABS($B$292:$B$645-B485))), IF(ABS($B$292:$B$645-B485)&lt;&gt;0, ABS($B$292:$B$645-B485)), 0)),6)</f>
        <v>0.2507</v>
      </c>
      <c r="P485" s="106" cm="1">
        <f t="array" ref="P485">INDEX($P$292:$P$645, MATCH(MIN(IF(ABS($B$292:$B$645-B485)&lt;&gt;0, ABS($B$292:$B$645-B485))), IF(ABS($B$292:$B$645-B485)&lt;&gt;0, ABS($B$292:$B$645-B485)), 0))</f>
        <v>0.2576</v>
      </c>
      <c r="Q485" s="107" cm="1">
        <f t="array" ref="Q485">INDEX($Q$292:$Q$645, MATCH(MIN(IF(ABS($B$292:$B$645-B485)&lt;&gt;0, ABS($B$292:$B$645-B485))), IF(ABS($B$292:$B$645-B485)&lt;&gt;0, ABS($B$292:$B$645-B485)), 0))</f>
        <v>0.28570000000000001</v>
      </c>
      <c r="R485" s="114">
        <v>24.631</v>
      </c>
      <c r="S485" s="120">
        <v>-3392.4</v>
      </c>
      <c r="T485" s="127">
        <v>-5.4351000000000003</v>
      </c>
      <c r="U485" s="14">
        <v>0</v>
      </c>
      <c r="V485" s="14">
        <v>0</v>
      </c>
      <c r="W485" s="139">
        <v>217.13</v>
      </c>
      <c r="X485" s="7">
        <v>0.85118000000000005</v>
      </c>
      <c r="Y485" s="8">
        <v>-2.1857000000000001E-3</v>
      </c>
      <c r="Z485" s="33">
        <v>2.8215999999999998E-6</v>
      </c>
      <c r="AA485" s="141">
        <v>0.155</v>
      </c>
      <c r="AB485" s="9">
        <v>-5.9067000000000002E-5</v>
      </c>
      <c r="AC485" s="10">
        <v>-1.9188E-7</v>
      </c>
      <c r="AD485" s="146">
        <v>66.105999999999995</v>
      </c>
      <c r="AE485" s="147">
        <v>0.38</v>
      </c>
      <c r="AF485" s="150">
        <v>50.65</v>
      </c>
      <c r="AG485" s="152">
        <v>1.2222</v>
      </c>
    </row>
    <row r="486" spans="1:33" x14ac:dyDescent="0.2">
      <c r="A486" s="27">
        <v>12</v>
      </c>
      <c r="B486" s="69">
        <v>11.13191134625</v>
      </c>
      <c r="C486" s="28">
        <f t="shared" si="32"/>
        <v>0.62337944868671857</v>
      </c>
      <c r="D486" s="52">
        <v>170.33799999999999</v>
      </c>
      <c r="E486" s="48">
        <v>668.43</v>
      </c>
      <c r="F486" s="48">
        <v>18.52</v>
      </c>
      <c r="G486" s="11">
        <v>6.7949999999999998E-4</v>
      </c>
      <c r="H486" s="61">
        <f t="shared" si="30"/>
        <v>250.86597938144328</v>
      </c>
      <c r="I486" s="29">
        <f t="shared" si="31"/>
        <v>0.22627928777169568</v>
      </c>
      <c r="J486" s="55">
        <v>0.375</v>
      </c>
      <c r="K486" s="76">
        <v>-4.7939999999999996</v>
      </c>
      <c r="L486" s="82">
        <v>1017.3</v>
      </c>
      <c r="M486" s="85">
        <v>7.4000000000000003E-3</v>
      </c>
      <c r="N486" s="4">
        <v>-6.8874000000000003E-6</v>
      </c>
      <c r="O486" s="99" t="str" cm="1">
        <f t="array" ref="O486">LEFT(INDEX($O$292:$O$645, MATCH(MIN(IF(ABS($B$292:$B$645-B486)&lt;&gt;0, ABS($B$292:$B$645-B486))), IF(ABS($B$292:$B$645-B486)&lt;&gt;0, ABS($B$292:$B$645-B486)), 0)),6)</f>
        <v>0.2507</v>
      </c>
      <c r="P486" s="106" cm="1">
        <f t="array" ref="P486">INDEX($P$292:$P$645, MATCH(MIN(IF(ABS($B$292:$B$645-B486)&lt;&gt;0, ABS($B$292:$B$645-B486))), IF(ABS($B$292:$B$645-B486)&lt;&gt;0, ABS($B$292:$B$645-B486)), 0))</f>
        <v>0.25130000000000002</v>
      </c>
      <c r="Q486" s="107" cm="1">
        <f t="array" ref="Q486">INDEX($Q$292:$Q$645, MATCH(MIN(IF(ABS($B$292:$B$645-B486)&lt;&gt;0, ABS($B$292:$B$645-B486))), IF(ABS($B$292:$B$645-B486)&lt;&gt;0, ABS($B$292:$B$645-B486)), 0))</f>
        <v>0.28570000000000001</v>
      </c>
      <c r="R486" s="114">
        <v>24.21</v>
      </c>
      <c r="S486" s="120">
        <v>-3428.7</v>
      </c>
      <c r="T486" s="127">
        <v>-5.2876000000000003</v>
      </c>
      <c r="U486" s="14">
        <v>0</v>
      </c>
      <c r="V486" s="14">
        <v>0</v>
      </c>
      <c r="W486" s="139">
        <v>220.161</v>
      </c>
      <c r="X486" s="7">
        <v>0.82845000000000002</v>
      </c>
      <c r="Y486" s="8">
        <v>-2.0937E-3</v>
      </c>
      <c r="Z486" s="33">
        <v>2.6840000000000001E-6</v>
      </c>
      <c r="AA486" s="141">
        <v>0.15529999999999999</v>
      </c>
      <c r="AB486" s="9">
        <v>-5.8498000000000001E-5</v>
      </c>
      <c r="AC486" s="10">
        <v>-1.8369E-7</v>
      </c>
      <c r="AD486" s="146">
        <v>67.650999999999996</v>
      </c>
      <c r="AE486" s="147">
        <v>0.38</v>
      </c>
      <c r="AF486" s="150">
        <v>51.024999999999999</v>
      </c>
      <c r="AG486" s="152">
        <v>1.2222</v>
      </c>
    </row>
    <row r="487" spans="1:33" x14ac:dyDescent="0.2">
      <c r="A487" s="27">
        <v>12</v>
      </c>
      <c r="B487" s="69">
        <v>11.41674880125</v>
      </c>
      <c r="C487" s="28">
        <f t="shared" si="32"/>
        <v>0.64128818005262644</v>
      </c>
      <c r="D487" s="52">
        <v>170.33799999999999</v>
      </c>
      <c r="E487" s="48">
        <v>672.62</v>
      </c>
      <c r="F487" s="48">
        <v>18.52</v>
      </c>
      <c r="G487" s="11">
        <v>6.7949999999999998E-4</v>
      </c>
      <c r="H487" s="61">
        <f t="shared" si="30"/>
        <v>250.86597938144328</v>
      </c>
      <c r="I487" s="29">
        <f t="shared" si="31"/>
        <v>0.22486970997775049</v>
      </c>
      <c r="J487" s="55">
        <v>0.375</v>
      </c>
      <c r="K487" s="76">
        <v>-4.8348000000000004</v>
      </c>
      <c r="L487" s="82">
        <v>1029.0999999999999</v>
      </c>
      <c r="M487" s="85">
        <v>7.4999999999999997E-3</v>
      </c>
      <c r="N487" s="4">
        <v>-6.8634999999999996E-6</v>
      </c>
      <c r="O487" s="99" t="str" cm="1">
        <f t="array" ref="O487">LEFT(INDEX($O$292:$O$645, MATCH(MIN(IF(ABS($B$292:$B$645-B487)&lt;&gt;0, ABS($B$292:$B$645-B487))), IF(ABS($B$292:$B$645-B487)&lt;&gt;0, ABS($B$292:$B$645-B487)), 0)),6)</f>
        <v>0.2507</v>
      </c>
      <c r="P487" s="106" cm="1">
        <f t="array" ref="P487">INDEX($P$292:$P$645, MATCH(MIN(IF(ABS($B$292:$B$645-B487)&lt;&gt;0, ABS($B$292:$B$645-B487))), IF(ABS($B$292:$B$645-B487)&lt;&gt;0, ABS($B$292:$B$645-B487)), 0))</f>
        <v>0.252</v>
      </c>
      <c r="Q487" s="107" cm="1">
        <f t="array" ref="Q487">INDEX($Q$292:$Q$645, MATCH(MIN(IF(ABS($B$292:$B$645-B487)&lt;&gt;0, ABS($B$292:$B$645-B487))), IF(ABS($B$292:$B$645-B487)&lt;&gt;0, ABS($B$292:$B$645-B487)), 0))</f>
        <v>0.28570000000000001</v>
      </c>
      <c r="R487" s="114">
        <v>24.088000000000001</v>
      </c>
      <c r="S487" s="120">
        <v>-3439.6</v>
      </c>
      <c r="T487" s="127">
        <v>-5.2449000000000003</v>
      </c>
      <c r="U487" s="14">
        <v>0</v>
      </c>
      <c r="V487" s="14">
        <v>0</v>
      </c>
      <c r="W487" s="139">
        <v>222.30199999999999</v>
      </c>
      <c r="X487" s="7">
        <v>0.81284999999999996</v>
      </c>
      <c r="Y487" s="8">
        <v>-2.0416000000000002E-3</v>
      </c>
      <c r="Z487" s="33">
        <v>2.6128000000000002E-6</v>
      </c>
      <c r="AA487" s="141">
        <v>0.15529999999999999</v>
      </c>
      <c r="AB487" s="9">
        <v>-5.8323999999999999E-5</v>
      </c>
      <c r="AC487" s="10">
        <v>-1.8134000000000001E-7</v>
      </c>
      <c r="AD487" s="146">
        <v>68.114999999999995</v>
      </c>
      <c r="AE487" s="147">
        <v>0.38</v>
      </c>
      <c r="AF487" s="150">
        <v>51.136000000000003</v>
      </c>
      <c r="AG487" s="152">
        <v>1.2222</v>
      </c>
    </row>
    <row r="488" spans="1:33" x14ac:dyDescent="0.2">
      <c r="A488" s="27">
        <v>12</v>
      </c>
      <c r="B488" s="69">
        <v>10.949030864999999</v>
      </c>
      <c r="C488" s="28">
        <f t="shared" si="32"/>
        <v>0.61188111041244142</v>
      </c>
      <c r="D488" s="52">
        <v>170.33799999999999</v>
      </c>
      <c r="E488" s="48">
        <v>647.63</v>
      </c>
      <c r="F488" s="48">
        <v>18.47</v>
      </c>
      <c r="G488" s="11">
        <v>6.7849999999999996E-4</v>
      </c>
      <c r="H488" s="61">
        <f t="shared" si="30"/>
        <v>251.23598820058999</v>
      </c>
      <c r="I488" s="29">
        <f t="shared" si="31"/>
        <v>0.23257316918428184</v>
      </c>
      <c r="J488" s="55">
        <v>0.40400000000000003</v>
      </c>
      <c r="K488" s="76">
        <v>-4.8281999999999998</v>
      </c>
      <c r="L488" s="82">
        <v>993.04</v>
      </c>
      <c r="M488" s="85">
        <v>7.7999999999999996E-3</v>
      </c>
      <c r="N488" s="4">
        <v>-7.5217000000000003E-6</v>
      </c>
      <c r="O488" s="99" t="str" cm="1">
        <f t="array" ref="O488">LEFT(INDEX($O$292:$O$645, MATCH(MIN(IF(ABS($B$292:$B$645-B488)&lt;&gt;0, ABS($B$292:$B$645-B488))), IF(ABS($B$292:$B$645-B488)&lt;&gt;0, ABS($B$292:$B$645-B488)), 0)),6)</f>
        <v>0.2511</v>
      </c>
      <c r="P488" s="106" cm="1">
        <f t="array" ref="P488">INDEX($P$292:$P$645, MATCH(MIN(IF(ABS($B$292:$B$645-B488)&lt;&gt;0, ABS($B$292:$B$645-B488))), IF(ABS($B$292:$B$645-B488)&lt;&gt;0, ABS($B$292:$B$645-B488)), 0))</f>
        <v>0.2601</v>
      </c>
      <c r="Q488" s="107" cm="1">
        <f t="array" ref="Q488">INDEX($Q$292:$Q$645, MATCH(MIN(IF(ABS($B$292:$B$645-B488)&lt;&gt;0, ABS($B$292:$B$645-B488))), IF(ABS($B$292:$B$645-B488)&lt;&gt;0, ABS($B$292:$B$645-B488)), 0))</f>
        <v>0.28570000000000001</v>
      </c>
      <c r="R488" s="114">
        <v>25.045000000000002</v>
      </c>
      <c r="S488" s="120">
        <v>-3433.2</v>
      </c>
      <c r="T488" s="127">
        <v>-5.5499000000000001</v>
      </c>
      <c r="U488" s="14">
        <v>0</v>
      </c>
      <c r="V488" s="14">
        <v>0</v>
      </c>
      <c r="W488" s="139">
        <v>229.39699999999999</v>
      </c>
      <c r="X488" s="7">
        <v>0.7944</v>
      </c>
      <c r="Y488" s="8">
        <v>-2.0918999999999998E-3</v>
      </c>
      <c r="Z488" s="33">
        <v>2.8148000000000001E-6</v>
      </c>
      <c r="AA488" s="141">
        <v>0.1583</v>
      </c>
      <c r="AB488" s="9">
        <v>-6.8073999999999999E-5</v>
      </c>
      <c r="AC488" s="10">
        <v>-1.9007000000000001E-7</v>
      </c>
      <c r="AD488" s="146">
        <v>66.198999999999998</v>
      </c>
      <c r="AE488" s="147">
        <v>0.38</v>
      </c>
      <c r="AF488" s="150">
        <v>50.914999999999999</v>
      </c>
      <c r="AG488" s="152">
        <v>1.2222</v>
      </c>
    </row>
    <row r="489" spans="1:33" x14ac:dyDescent="0.2">
      <c r="A489" s="27">
        <v>12</v>
      </c>
      <c r="B489" s="69">
        <v>11.93429612375</v>
      </c>
      <c r="C489" s="28">
        <f t="shared" si="32"/>
        <v>0.67382819824580042</v>
      </c>
      <c r="D489" s="52">
        <v>170.33799999999999</v>
      </c>
      <c r="E489" s="48">
        <v>639.30999999999995</v>
      </c>
      <c r="F489" s="48">
        <v>18.47</v>
      </c>
      <c r="G489" s="11">
        <v>6.7849999999999996E-4</v>
      </c>
      <c r="H489" s="61">
        <f t="shared" si="30"/>
        <v>251.23598820058999</v>
      </c>
      <c r="I489" s="29">
        <f t="shared" si="31"/>
        <v>0.23559988356011397</v>
      </c>
      <c r="J489" s="55">
        <v>0.40400000000000003</v>
      </c>
      <c r="K489" s="76">
        <v>-4.7001999999999997</v>
      </c>
      <c r="L489" s="82">
        <v>962.9</v>
      </c>
      <c r="M489" s="85">
        <v>7.6E-3</v>
      </c>
      <c r="N489" s="4">
        <v>-7.5173E-6</v>
      </c>
      <c r="O489" s="99" t="str" cm="1">
        <f t="array" ref="O489">LEFT(INDEX($O$292:$O$645, MATCH(MIN(IF(ABS($B$292:$B$645-B489)&lt;&gt;0, ABS($B$292:$B$645-B489))), IF(ABS($B$292:$B$645-B489)&lt;&gt;0, ABS($B$292:$B$645-B489)), 0)),6)</f>
        <v>0.2511</v>
      </c>
      <c r="P489" s="106" cm="1">
        <f t="array" ref="P489">INDEX($P$292:$P$645, MATCH(MIN(IF(ABS($B$292:$B$645-B489)&lt;&gt;0, ABS($B$292:$B$645-B489))), IF(ABS($B$292:$B$645-B489)&lt;&gt;0, ABS($B$292:$B$645-B489)), 0))</f>
        <v>0.26329999999999998</v>
      </c>
      <c r="Q489" s="107" cm="1">
        <f t="array" ref="Q489">INDEX($Q$292:$Q$645, MATCH(MIN(IF(ABS($B$292:$B$645-B489)&lt;&gt;0, ABS($B$292:$B$645-B489))), IF(ABS($B$292:$B$645-B489)&lt;&gt;0, ABS($B$292:$B$645-B489)), 0))</f>
        <v>0.28570000000000001</v>
      </c>
      <c r="R489" s="114">
        <v>25.315000000000001</v>
      </c>
      <c r="S489" s="120">
        <v>-3411.4</v>
      </c>
      <c r="T489" s="127">
        <v>-5.6448999999999998</v>
      </c>
      <c r="U489" s="14">
        <v>0</v>
      </c>
      <c r="V489" s="14">
        <v>0</v>
      </c>
      <c r="W489" s="139">
        <v>227.81399999999999</v>
      </c>
      <c r="X489" s="7">
        <v>0.80608999999999997</v>
      </c>
      <c r="Y489" s="8">
        <v>-2.1435E-3</v>
      </c>
      <c r="Z489" s="33">
        <v>2.8972E-6</v>
      </c>
      <c r="AA489" s="141">
        <v>0.15820000000000001</v>
      </c>
      <c r="AB489" s="9">
        <v>-6.8669000000000003E-5</v>
      </c>
      <c r="AC489" s="10">
        <v>-1.9508E-7</v>
      </c>
      <c r="AD489" s="146">
        <v>65.268000000000001</v>
      </c>
      <c r="AE489" s="147">
        <v>0.38</v>
      </c>
      <c r="AF489" s="150">
        <v>50.685000000000002</v>
      </c>
      <c r="AG489" s="152">
        <v>1.2222</v>
      </c>
    </row>
    <row r="490" spans="1:33" x14ac:dyDescent="0.2">
      <c r="A490" s="27">
        <v>12</v>
      </c>
      <c r="B490" s="69">
        <v>1.2170938549999999</v>
      </c>
      <c r="C490" s="28">
        <f t="shared" si="32"/>
        <v>4.4483010283636505E-8</v>
      </c>
      <c r="D490" s="52">
        <v>170.33799999999999</v>
      </c>
      <c r="E490" s="48">
        <v>633.20000000000005</v>
      </c>
      <c r="F490" s="48">
        <v>17.920000000000002</v>
      </c>
      <c r="G490" s="35">
        <v>7.0149999999999998E-4</v>
      </c>
      <c r="H490" s="61">
        <f t="shared" si="30"/>
        <v>242.9928673323823</v>
      </c>
      <c r="I490" s="29">
        <f t="shared" si="31"/>
        <v>0.23861904153327446</v>
      </c>
      <c r="J490" s="55">
        <v>0.54800000000000004</v>
      </c>
      <c r="K490" s="76">
        <v>-5.2337999999999996</v>
      </c>
      <c r="L490" s="82">
        <v>952.65</v>
      </c>
      <c r="M490" s="85">
        <v>0.01</v>
      </c>
      <c r="N490" s="4">
        <v>-1.0030000000000001E-5</v>
      </c>
      <c r="O490" s="99" t="str" cm="1">
        <f t="array" ref="O490">LEFT(INDEX($O$292:$O$645, MATCH(MIN(IF(ABS($B$292:$B$645-B490)&lt;&gt;0, ABS($B$292:$B$645-B490))), IF(ABS($B$292:$B$645-B490)&lt;&gt;0, ABS($B$292:$B$645-B490)), 0)),6)</f>
        <v>0.2428</v>
      </c>
      <c r="P490" s="106" cm="1">
        <f t="array" ref="P490">INDEX($P$292:$P$645, MATCH(MIN(IF(ABS($B$292:$B$645-B490)&lt;&gt;0, ABS($B$292:$B$645-B490))), IF(ABS($B$292:$B$645-B490)&lt;&gt;0, ABS($B$292:$B$645-B490)), 0))</f>
        <v>0.25850000000000001</v>
      </c>
      <c r="Q490" s="107" cm="1">
        <f t="array" ref="Q490">INDEX($Q$292:$Q$645, MATCH(MIN(IF(ABS($B$292:$B$645-B490)&lt;&gt;0, ABS($B$292:$B$645-B490))), IF(ABS($B$292:$B$645-B490)&lt;&gt;0, ABS($B$292:$B$645-B490)), 0))</f>
        <v>0.28570000000000001</v>
      </c>
      <c r="R490" s="114">
        <v>26.47</v>
      </c>
      <c r="S490" s="120">
        <v>-3672.1</v>
      </c>
      <c r="T490" s="127">
        <v>-5.9047999999999998</v>
      </c>
      <c r="U490" s="14">
        <v>0</v>
      </c>
      <c r="V490" s="14">
        <v>0</v>
      </c>
      <c r="W490" s="139">
        <v>209.596</v>
      </c>
      <c r="X490" s="7">
        <v>1.1096999999999999</v>
      </c>
      <c r="Y490" s="8">
        <v>-3.0070000000000001E-3</v>
      </c>
      <c r="Z490" s="33">
        <v>3.7954000000000001E-6</v>
      </c>
      <c r="AA490" s="141">
        <v>0.16109999999999999</v>
      </c>
      <c r="AB490" s="9">
        <v>-5.6941000000000003E-5</v>
      </c>
      <c r="AC490" s="10">
        <v>-2.2298E-7</v>
      </c>
      <c r="AD490" s="146">
        <v>68.697000000000003</v>
      </c>
      <c r="AE490" s="147">
        <v>0.38</v>
      </c>
      <c r="AF490" s="150">
        <v>52.484000000000002</v>
      </c>
      <c r="AG490" s="152">
        <v>1.2222</v>
      </c>
    </row>
    <row r="491" spans="1:33" x14ac:dyDescent="0.2">
      <c r="A491" s="27">
        <v>12</v>
      </c>
      <c r="B491" s="69">
        <v>1.217566465</v>
      </c>
      <c r="C491" s="28">
        <f t="shared" si="32"/>
        <v>2.9759133883159239E-5</v>
      </c>
      <c r="D491" s="52">
        <v>170.33799999999999</v>
      </c>
      <c r="E491" s="48">
        <v>635.9</v>
      </c>
      <c r="F491" s="48">
        <v>17.920000000000002</v>
      </c>
      <c r="G491" s="35">
        <v>7.0149999999999998E-4</v>
      </c>
      <c r="H491" s="61">
        <f t="shared" si="30"/>
        <v>242.9928673323823</v>
      </c>
      <c r="I491" s="29">
        <f t="shared" si="31"/>
        <v>0.23760587686565404</v>
      </c>
      <c r="J491" s="55">
        <v>0.54800000000000004</v>
      </c>
      <c r="K491" s="76">
        <v>-5.2488000000000001</v>
      </c>
      <c r="L491" s="82">
        <v>959.42</v>
      </c>
      <c r="M491" s="85">
        <v>0.01</v>
      </c>
      <c r="N491" s="4">
        <v>-9.9611000000000002E-6</v>
      </c>
      <c r="O491" s="99" t="str" cm="1">
        <f t="array" ref="O491">LEFT(INDEX($O$292:$O$645, MATCH(MIN(IF(ABS($B$292:$B$645-B491)&lt;&gt;0, ABS($B$292:$B$645-B491))), IF(ABS($B$292:$B$645-B491)&lt;&gt;0, ABS($B$292:$B$645-B491)), 0)),6)</f>
        <v>0.2428</v>
      </c>
      <c r="P491" s="106" cm="1">
        <f t="array" ref="P491">INDEX($P$292:$P$645, MATCH(MIN(IF(ABS($B$292:$B$645-B491)&lt;&gt;0, ABS($B$292:$B$645-B491))), IF(ABS($B$292:$B$645-B491)&lt;&gt;0, ABS($B$292:$B$645-B491)), 0))</f>
        <v>0.25869999999999999</v>
      </c>
      <c r="Q491" s="107" cm="1">
        <f t="array" ref="Q491">INDEX($Q$292:$Q$645, MATCH(MIN(IF(ABS($B$292:$B$645-B491)&lt;&gt;0, ABS($B$292:$B$645-B491))), IF(ABS($B$292:$B$645-B491)&lt;&gt;0, ABS($B$292:$B$645-B491)), 0))</f>
        <v>0.28570000000000001</v>
      </c>
      <c r="R491" s="114">
        <v>26.378</v>
      </c>
      <c r="S491" s="120">
        <v>-3680</v>
      </c>
      <c r="T491" s="127">
        <v>-5.8722000000000003</v>
      </c>
      <c r="U491" s="14">
        <v>0</v>
      </c>
      <c r="V491" s="14">
        <v>0</v>
      </c>
      <c r="W491" s="139">
        <v>211.19800000000001</v>
      </c>
      <c r="X491" s="7">
        <v>1.0973999999999999</v>
      </c>
      <c r="Y491" s="8">
        <v>-2.9632E-3</v>
      </c>
      <c r="Z491" s="33">
        <v>3.7353E-6</v>
      </c>
      <c r="AA491" s="141">
        <v>0.16120000000000001</v>
      </c>
      <c r="AB491" s="9">
        <v>-5.6857000000000001E-5</v>
      </c>
      <c r="AC491" s="10">
        <v>-2.2102999999999999E-7</v>
      </c>
      <c r="AD491" s="146">
        <v>69.016999999999996</v>
      </c>
      <c r="AE491" s="147">
        <v>0.38</v>
      </c>
      <c r="AF491" s="150">
        <v>52.561999999999998</v>
      </c>
      <c r="AG491" s="152">
        <v>1.2222</v>
      </c>
    </row>
    <row r="492" spans="1:33" x14ac:dyDescent="0.2">
      <c r="A492" s="27">
        <v>12</v>
      </c>
      <c r="B492" s="69">
        <v>7.07183923875</v>
      </c>
      <c r="C492" s="28">
        <f t="shared" si="32"/>
        <v>0.36810845316601781</v>
      </c>
      <c r="D492" s="52">
        <v>170.33799999999999</v>
      </c>
      <c r="E492" s="48">
        <v>635.70000000000005</v>
      </c>
      <c r="F492" s="48">
        <v>18.22</v>
      </c>
      <c r="G492" s="35">
        <v>6.9050000000000003E-4</v>
      </c>
      <c r="H492" s="61">
        <f t="shared" si="30"/>
        <v>246.86666666666667</v>
      </c>
      <c r="I492" s="29">
        <f t="shared" si="31"/>
        <v>0.23786756771699008</v>
      </c>
      <c r="J492" s="55">
        <v>0.46100000000000002</v>
      </c>
      <c r="K492" s="76">
        <v>-4.4932999999999996</v>
      </c>
      <c r="L492" s="82">
        <v>851.35</v>
      </c>
      <c r="M492" s="85">
        <v>8.0999999999999996E-3</v>
      </c>
      <c r="N492" s="4">
        <v>-8.3929000000000006E-6</v>
      </c>
      <c r="O492" s="96">
        <v>0.2467</v>
      </c>
      <c r="P492" s="97">
        <v>0.2596</v>
      </c>
      <c r="Q492" s="98">
        <v>0.28570000000000001</v>
      </c>
      <c r="R492" s="115" t="str" cm="1">
        <f t="array" ref="R492">LEFT(INDEX($R$292:$R$645, MATCH(MIN(IF(ABS($B$292:$B$645-B492)&lt;&gt;0, ABS($B$292:$B$645-B492))), IF(ABS($B$292:$B$645-B492)&lt;&gt;0, ABS($B$292:$B$645-B492)), 0)),7)</f>
        <v>26.132</v>
      </c>
      <c r="S492" s="122" cm="1">
        <f t="array" ref="S492">INDEX($S$292:$S$645, MATCH(MIN(IF(ABS($B$292:$B$645-B492)&lt;&gt;0, ABS($B$292:$B$645-B492))), IF(ABS($B$292:$B$645-B492)&lt;&gt;0, ABS($B$292:$B$645-B492)), 0))</f>
        <v>-3559.3</v>
      </c>
      <c r="T492" s="129" cm="1">
        <f t="array" ref="T492">INDEX($T$292:$T$645, MATCH(MIN(IF(ABS($B$292:$B$645-B492)&lt;&gt;0, ABS($B$292:$B$645-B492))), IF(ABS($B$292:$B$645-B492)&lt;&gt;0, ABS($B$292:$B$645-B492)), 0))</f>
        <v>-5.8437000000000001</v>
      </c>
      <c r="U492" s="37" cm="1">
        <f t="array" ref="U492">INDEX($U$292:$U$645, MATCH(MIN(IF(ABS($B$292:$B$645-B492)&lt;&gt;0, ABS($B$292:$B$645-B492))), IF(ABS($B$292:$B$645-B492)&lt;&gt;0, ABS($B$292:$B$645-B492)), 0))</f>
        <v>0</v>
      </c>
      <c r="V492" s="134" cm="1">
        <f t="array" ref="V492">INDEX($V$292:$V$645, MATCH(MIN(IF(ABS($B$292:$B$645-B492)&lt;&gt;0, ABS($B$292:$B$645-B492))), IF(ABS($B$292:$B$645-B492)&lt;&gt;0, ABS($B$292:$B$645-B492)), 0))</f>
        <v>0</v>
      </c>
      <c r="W492" s="139">
        <v>210.90100000000001</v>
      </c>
      <c r="X492" s="7">
        <v>0.99783999999999995</v>
      </c>
      <c r="Y492" s="8">
        <v>-2.6619999999999999E-3</v>
      </c>
      <c r="Z492" s="33">
        <v>3.4077999999999998E-6</v>
      </c>
      <c r="AA492" s="141">
        <v>0.15790000000000001</v>
      </c>
      <c r="AB492" s="9">
        <v>-5.8347999999999998E-5</v>
      </c>
      <c r="AC492" s="10">
        <v>-2.125E-7</v>
      </c>
      <c r="AD492" s="146">
        <v>66.540999999999997</v>
      </c>
      <c r="AE492" s="147">
        <v>0.38</v>
      </c>
      <c r="AF492" s="150">
        <v>51.308</v>
      </c>
      <c r="AG492" s="152">
        <v>1.2222</v>
      </c>
    </row>
    <row r="493" spans="1:33" x14ac:dyDescent="0.2">
      <c r="A493" s="27">
        <v>12</v>
      </c>
      <c r="B493" s="69">
        <v>11.811486712500001</v>
      </c>
      <c r="C493" s="28">
        <f t="shared" si="32"/>
        <v>0.66610673915861141</v>
      </c>
      <c r="D493" s="52">
        <v>170.33799999999999</v>
      </c>
      <c r="E493" s="47">
        <v>660.06</v>
      </c>
      <c r="F493" s="44">
        <v>18.52</v>
      </c>
      <c r="G493" s="11">
        <v>6.7949999999999998E-4</v>
      </c>
      <c r="H493" s="61">
        <f t="shared" si="30"/>
        <v>250.86597938144328</v>
      </c>
      <c r="I493" s="29">
        <f t="shared" si="31"/>
        <v>0.22914865970553364</v>
      </c>
      <c r="J493" s="52">
        <v>0.375</v>
      </c>
      <c r="K493" s="75">
        <v>-4.7012</v>
      </c>
      <c r="L493" s="81">
        <v>992.27</v>
      </c>
      <c r="M493" s="13">
        <v>7.3000000000000001E-3</v>
      </c>
      <c r="N493" s="12">
        <v>-6.9205000000000001E-6</v>
      </c>
      <c r="O493" s="93">
        <v>0.25069999999999998</v>
      </c>
      <c r="P493" s="94">
        <v>0.25359999999999999</v>
      </c>
      <c r="Q493" s="95">
        <v>0.28570000000000001</v>
      </c>
      <c r="R493" s="111">
        <v>24.46</v>
      </c>
      <c r="S493" s="118">
        <v>-3406.9</v>
      </c>
      <c r="T493" s="125">
        <v>-5.3752000000000004</v>
      </c>
      <c r="U493" s="14">
        <v>0</v>
      </c>
      <c r="V493" s="30">
        <v>0</v>
      </c>
      <c r="W493" s="138">
        <v>217.70400000000001</v>
      </c>
      <c r="X493" s="13">
        <v>0.84665999999999997</v>
      </c>
      <c r="Y493" s="14">
        <v>-2.1618000000000002E-3</v>
      </c>
      <c r="Z493" s="30">
        <v>2.7823E-6</v>
      </c>
      <c r="AA493" s="77">
        <v>0.15509999999999999</v>
      </c>
      <c r="AB493" s="5">
        <v>-5.8841999999999997E-5</v>
      </c>
      <c r="AC493" s="15">
        <v>-1.8853999999999999E-7</v>
      </c>
      <c r="AD493" s="146">
        <v>66.722999999999999</v>
      </c>
      <c r="AE493" s="147">
        <v>0.38</v>
      </c>
      <c r="AF493" s="150">
        <v>50.8</v>
      </c>
      <c r="AG493" s="152">
        <v>1.2222</v>
      </c>
    </row>
    <row r="494" spans="1:33" x14ac:dyDescent="0.2">
      <c r="A494" s="27">
        <v>12</v>
      </c>
      <c r="B494" s="69">
        <v>12.293928494999999</v>
      </c>
      <c r="C494" s="28">
        <f t="shared" si="32"/>
        <v>0.69643954873410141</v>
      </c>
      <c r="D494" s="52">
        <v>170.33799999999999</v>
      </c>
      <c r="E494" s="47">
        <v>651.69000000000005</v>
      </c>
      <c r="F494" s="44">
        <v>18.52</v>
      </c>
      <c r="G494" s="11">
        <v>6.7949999999999998E-4</v>
      </c>
      <c r="H494" s="61">
        <f t="shared" si="30"/>
        <v>250.86597938144328</v>
      </c>
      <c r="I494" s="29">
        <f t="shared" si="31"/>
        <v>0.23209173736781985</v>
      </c>
      <c r="J494" s="52">
        <v>0.375</v>
      </c>
      <c r="K494" s="75">
        <v>-4.5911</v>
      </c>
      <c r="L494" s="81">
        <v>964.81</v>
      </c>
      <c r="M494" s="13">
        <v>7.1999999999999998E-3</v>
      </c>
      <c r="N494" s="12">
        <v>-6.9294000000000001E-6</v>
      </c>
      <c r="O494" s="93">
        <v>0.25069999999999998</v>
      </c>
      <c r="P494" s="94">
        <v>0.2576</v>
      </c>
      <c r="Q494" s="95">
        <v>0.28570000000000001</v>
      </c>
      <c r="R494" s="111">
        <v>24.718</v>
      </c>
      <c r="S494" s="118">
        <v>-3385.3</v>
      </c>
      <c r="T494" s="125">
        <v>-5.4656000000000002</v>
      </c>
      <c r="U494" s="14">
        <v>0</v>
      </c>
      <c r="V494" s="30">
        <v>0</v>
      </c>
      <c r="W494" s="138">
        <v>215.91</v>
      </c>
      <c r="X494" s="13">
        <v>0.86031000000000002</v>
      </c>
      <c r="Y494" s="14">
        <v>-2.2177E-3</v>
      </c>
      <c r="Z494" s="30">
        <v>2.8663E-6</v>
      </c>
      <c r="AA494" s="77">
        <v>0.15490000000000001</v>
      </c>
      <c r="AB494" s="5">
        <v>-5.9178000000000002E-5</v>
      </c>
      <c r="AC494" s="15">
        <v>-1.9357999999999999E-7</v>
      </c>
      <c r="AD494" s="146">
        <v>65.796999999999997</v>
      </c>
      <c r="AE494" s="147">
        <v>0.38</v>
      </c>
      <c r="AF494" s="150">
        <v>50.573999999999998</v>
      </c>
      <c r="AG494" s="152">
        <v>1.2222</v>
      </c>
    </row>
    <row r="495" spans="1:33" x14ac:dyDescent="0.2">
      <c r="A495" s="27">
        <v>12</v>
      </c>
      <c r="B495" s="69">
        <v>9.9573999637499995</v>
      </c>
      <c r="C495" s="28">
        <f t="shared" si="32"/>
        <v>0.54953379227403387</v>
      </c>
      <c r="D495" s="52">
        <v>170.33799999999999</v>
      </c>
      <c r="E495" s="48">
        <v>657.33</v>
      </c>
      <c r="F495" s="48">
        <v>18.47</v>
      </c>
      <c r="G495" s="35">
        <v>6.7849999999999996E-4</v>
      </c>
      <c r="H495" s="61">
        <f t="shared" si="30"/>
        <v>251.23598820058999</v>
      </c>
      <c r="I495" s="29">
        <f t="shared" si="31"/>
        <v>0.22914116434487461</v>
      </c>
      <c r="J495" s="55">
        <v>0.40400000000000003</v>
      </c>
      <c r="K495" s="76">
        <v>-4.9508999999999999</v>
      </c>
      <c r="L495" s="82">
        <v>1024.5</v>
      </c>
      <c r="M495" s="85">
        <v>8.0000000000000002E-3</v>
      </c>
      <c r="N495" s="4">
        <v>-7.4882999999999999E-6</v>
      </c>
      <c r="O495" s="96">
        <v>0.25109999999999999</v>
      </c>
      <c r="P495" s="97">
        <v>0.25369999999999998</v>
      </c>
      <c r="Q495" s="98">
        <v>0.28570000000000001</v>
      </c>
      <c r="R495" s="114">
        <v>24.741</v>
      </c>
      <c r="S495" s="120">
        <v>-3458.9</v>
      </c>
      <c r="T495" s="127">
        <v>-5.4431000000000003</v>
      </c>
      <c r="U495" s="14">
        <v>0</v>
      </c>
      <c r="V495" s="14">
        <v>0</v>
      </c>
      <c r="W495" s="139">
        <v>230.422</v>
      </c>
      <c r="X495" s="7">
        <v>0.78713999999999995</v>
      </c>
      <c r="Y495" s="8">
        <v>-2.0517000000000001E-3</v>
      </c>
      <c r="Z495" s="33">
        <v>2.7454999999999998E-6</v>
      </c>
      <c r="AA495" s="141">
        <v>0.1585</v>
      </c>
      <c r="AB495" s="9">
        <v>-6.7385000000000006E-5</v>
      </c>
      <c r="AC495" s="10">
        <v>-1.8447000000000001E-7</v>
      </c>
      <c r="AD495" s="146">
        <v>67.286000000000001</v>
      </c>
      <c r="AE495" s="147">
        <v>0.38</v>
      </c>
      <c r="AF495" s="150">
        <v>51.18</v>
      </c>
      <c r="AG495" s="152">
        <v>1.2222</v>
      </c>
    </row>
    <row r="496" spans="1:33" x14ac:dyDescent="0.2">
      <c r="A496" s="27">
        <v>12</v>
      </c>
      <c r="B496" s="69">
        <v>10.713596987500001</v>
      </c>
      <c r="C496" s="28">
        <f t="shared" si="32"/>
        <v>0.59707855550763955</v>
      </c>
      <c r="D496" s="52">
        <v>170.33799999999999</v>
      </c>
      <c r="E496" s="48">
        <v>671.22</v>
      </c>
      <c r="F496" s="48">
        <v>18.52</v>
      </c>
      <c r="G496" s="35">
        <v>6.7949999999999998E-4</v>
      </c>
      <c r="H496" s="61">
        <f t="shared" si="30"/>
        <v>250.86597938144328</v>
      </c>
      <c r="I496" s="29">
        <f t="shared" si="31"/>
        <v>0.22533873294185891</v>
      </c>
      <c r="J496" s="55">
        <v>0.375</v>
      </c>
      <c r="K496" s="76">
        <v>-4.8216000000000001</v>
      </c>
      <c r="L496" s="82">
        <v>1025.2</v>
      </c>
      <c r="M496" s="85">
        <v>7.4000000000000003E-3</v>
      </c>
      <c r="N496" s="4">
        <v>-6.8719999999999996E-6</v>
      </c>
      <c r="O496" s="96">
        <v>0.25069999999999998</v>
      </c>
      <c r="P496" s="97">
        <v>0.24909999999999999</v>
      </c>
      <c r="Q496" s="98">
        <v>0.28570000000000001</v>
      </c>
      <c r="R496" s="114">
        <v>24.128</v>
      </c>
      <c r="S496" s="120">
        <v>-3436</v>
      </c>
      <c r="T496" s="127">
        <v>-5.2591000000000001</v>
      </c>
      <c r="U496" s="14">
        <v>0</v>
      </c>
      <c r="V496" s="14">
        <v>0</v>
      </c>
      <c r="W496" s="139">
        <v>220.274</v>
      </c>
      <c r="X496" s="7">
        <v>0.82757000000000003</v>
      </c>
      <c r="Y496" s="8">
        <v>-2.0861E-3</v>
      </c>
      <c r="Z496" s="33">
        <v>2.6699999999999998E-6</v>
      </c>
      <c r="AA496" s="141">
        <v>0.15529999999999999</v>
      </c>
      <c r="AB496" s="9">
        <v>-5.8381999999999998E-5</v>
      </c>
      <c r="AC496" s="10">
        <v>-1.8211999999999999E-7</v>
      </c>
      <c r="AD496" s="146">
        <v>67.959999999999994</v>
      </c>
      <c r="AE496" s="147">
        <v>0.38</v>
      </c>
      <c r="AF496" s="150">
        <v>51.098999999999997</v>
      </c>
      <c r="AG496" s="152">
        <v>1.2222</v>
      </c>
    </row>
    <row r="497" spans="1:33" x14ac:dyDescent="0.2">
      <c r="A497" s="27">
        <v>12</v>
      </c>
      <c r="B497" s="69">
        <v>13.4116252875</v>
      </c>
      <c r="C497" s="28">
        <f t="shared" si="32"/>
        <v>0.76671307229658148</v>
      </c>
      <c r="D497" s="52">
        <v>170.33799999999999</v>
      </c>
      <c r="E497" s="47">
        <v>632.16</v>
      </c>
      <c r="F497" s="44">
        <v>18.52</v>
      </c>
      <c r="G497" s="11">
        <v>6.7949999999999998E-4</v>
      </c>
      <c r="H497" s="61">
        <f t="shared" si="30"/>
        <v>250.86597938144328</v>
      </c>
      <c r="I497" s="29">
        <f t="shared" si="31"/>
        <v>0.23926199747727561</v>
      </c>
      <c r="J497" s="52">
        <v>0.375</v>
      </c>
      <c r="K497" s="75">
        <v>-4.2462999999999997</v>
      </c>
      <c r="L497" s="81">
        <v>888.76</v>
      </c>
      <c r="M497" s="13">
        <v>6.6E-3</v>
      </c>
      <c r="N497" s="12">
        <v>-6.8175000000000004E-6</v>
      </c>
      <c r="O497" s="93">
        <v>0.25069999999999998</v>
      </c>
      <c r="P497" s="94">
        <v>0.26590000000000003</v>
      </c>
      <c r="Q497" s="95">
        <v>0.28570000000000001</v>
      </c>
      <c r="R497" s="111">
        <v>25.353000000000002</v>
      </c>
      <c r="S497" s="118">
        <v>-3335.5</v>
      </c>
      <c r="T497" s="125">
        <v>-5.6889000000000003</v>
      </c>
      <c r="U497" s="14">
        <v>0</v>
      </c>
      <c r="V497" s="30">
        <v>0</v>
      </c>
      <c r="W497" s="138">
        <v>210.90700000000001</v>
      </c>
      <c r="X497" s="13">
        <v>0.89934999999999998</v>
      </c>
      <c r="Y497" s="14">
        <v>-2.3733000000000001E-3</v>
      </c>
      <c r="Z497" s="30">
        <v>3.0972000000000002E-6</v>
      </c>
      <c r="AA497" s="77">
        <v>0.15459999999999999</v>
      </c>
      <c r="AB497" s="5">
        <v>-5.9929999999999997E-5</v>
      </c>
      <c r="AC497" s="15">
        <v>-2.0622E-7</v>
      </c>
      <c r="AD497" s="146">
        <v>63.64</v>
      </c>
      <c r="AE497" s="147">
        <v>0.38</v>
      </c>
      <c r="AF497" s="150">
        <v>50.037999999999997</v>
      </c>
      <c r="AG497" s="152">
        <v>1.2222</v>
      </c>
    </row>
    <row r="498" spans="1:33" x14ac:dyDescent="0.2">
      <c r="A498" s="27">
        <v>12</v>
      </c>
      <c r="B498" s="69">
        <v>11.1262553975</v>
      </c>
      <c r="C498" s="28">
        <f t="shared" si="32"/>
        <v>0.62302383932072736</v>
      </c>
      <c r="D498" s="52">
        <v>170.33799999999999</v>
      </c>
      <c r="E498" s="47">
        <v>665.64</v>
      </c>
      <c r="F498" s="44">
        <v>18.52</v>
      </c>
      <c r="G498" s="11">
        <v>6.7949999999999998E-4</v>
      </c>
      <c r="H498" s="61">
        <f t="shared" si="30"/>
        <v>250.86597938144328</v>
      </c>
      <c r="I498" s="29">
        <f t="shared" si="31"/>
        <v>0.22722772718772088</v>
      </c>
      <c r="J498" s="52">
        <v>0.375</v>
      </c>
      <c r="K498" s="75">
        <v>-4.7648000000000001</v>
      </c>
      <c r="L498" s="81">
        <v>1009.2</v>
      </c>
      <c r="M498" s="13">
        <v>7.4000000000000003E-3</v>
      </c>
      <c r="N498" s="12">
        <v>-6.9008000000000001E-6</v>
      </c>
      <c r="O498" s="93">
        <v>0.25069999999999998</v>
      </c>
      <c r="P498" s="94">
        <v>0.25130000000000002</v>
      </c>
      <c r="Q498" s="95">
        <v>0.28570000000000001</v>
      </c>
      <c r="R498" s="111">
        <v>24.292000000000002</v>
      </c>
      <c r="S498" s="118">
        <v>-3421.4</v>
      </c>
      <c r="T498" s="125">
        <v>-5.3164999999999996</v>
      </c>
      <c r="U498" s="14">
        <v>0</v>
      </c>
      <c r="V498" s="30">
        <v>0</v>
      </c>
      <c r="W498" s="138">
        <v>218.999</v>
      </c>
      <c r="X498" s="13">
        <v>0.83697999999999995</v>
      </c>
      <c r="Y498" s="14">
        <v>-2.1232999999999998E-3</v>
      </c>
      <c r="Z498" s="30">
        <v>2.7252000000000002E-6</v>
      </c>
      <c r="AA498" s="77">
        <v>0.1552</v>
      </c>
      <c r="AB498" s="5">
        <v>-5.8613000000000003E-5</v>
      </c>
      <c r="AC498" s="15">
        <v>-1.8528999999999999E-7</v>
      </c>
      <c r="AD498" s="146">
        <v>67.340999999999994</v>
      </c>
      <c r="AE498" s="147">
        <v>0.38</v>
      </c>
      <c r="AF498" s="150">
        <v>50.95</v>
      </c>
      <c r="AG498" s="152">
        <v>1.2222</v>
      </c>
    </row>
    <row r="499" spans="1:33" x14ac:dyDescent="0.2">
      <c r="A499" s="27">
        <v>12</v>
      </c>
      <c r="B499" s="69">
        <v>10.95627708</v>
      </c>
      <c r="C499" s="28">
        <f t="shared" si="32"/>
        <v>0.61233670540381857</v>
      </c>
      <c r="D499" s="52">
        <v>170.33799999999999</v>
      </c>
      <c r="E499" s="47">
        <v>642.08000000000004</v>
      </c>
      <c r="F499" s="44">
        <v>18.47</v>
      </c>
      <c r="G499" s="11">
        <v>6.7849999999999996E-4</v>
      </c>
      <c r="H499" s="61">
        <f t="shared" si="30"/>
        <v>251.23598820058999</v>
      </c>
      <c r="I499" s="29">
        <f t="shared" si="31"/>
        <v>0.23458348112200417</v>
      </c>
      <c r="J499" s="52">
        <v>0.40400000000000003</v>
      </c>
      <c r="K499" s="75">
        <v>-4.7454999999999998</v>
      </c>
      <c r="L499" s="81">
        <v>973.3</v>
      </c>
      <c r="M499" s="13">
        <v>7.7000000000000002E-3</v>
      </c>
      <c r="N499" s="12">
        <v>-7.5227E-6</v>
      </c>
      <c r="O499" s="93">
        <v>0.25109999999999999</v>
      </c>
      <c r="P499" s="94">
        <v>0.25990000000000002</v>
      </c>
      <c r="Q499" s="95">
        <v>0.28570000000000001</v>
      </c>
      <c r="R499" s="111">
        <v>25.224</v>
      </c>
      <c r="S499" s="118">
        <v>-3418.6</v>
      </c>
      <c r="T499" s="125">
        <v>-5.6128999999999998</v>
      </c>
      <c r="U499" s="14">
        <v>0</v>
      </c>
      <c r="V499" s="30">
        <v>0</v>
      </c>
      <c r="W499" s="138">
        <v>226.99299999999999</v>
      </c>
      <c r="X499" s="13">
        <v>0.81220999999999999</v>
      </c>
      <c r="Y499" s="14">
        <v>-2.1564000000000002E-3</v>
      </c>
      <c r="Z499" s="30">
        <v>2.9088E-6</v>
      </c>
      <c r="AA499" s="77">
        <v>0.15820000000000001</v>
      </c>
      <c r="AB499" s="5">
        <v>-6.847E-5</v>
      </c>
      <c r="AC499" s="15">
        <v>-1.9338E-7</v>
      </c>
      <c r="AD499" s="146">
        <v>65.578000000000003</v>
      </c>
      <c r="AE499" s="147">
        <v>0.38</v>
      </c>
      <c r="AF499" s="150">
        <v>50.762</v>
      </c>
      <c r="AG499" s="152">
        <v>1.2222</v>
      </c>
    </row>
    <row r="500" spans="1:33" x14ac:dyDescent="0.2">
      <c r="A500" s="27">
        <v>12</v>
      </c>
      <c r="B500" s="69">
        <v>15.18506028</v>
      </c>
      <c r="C500" s="28">
        <f t="shared" si="32"/>
        <v>0.87821515995420119</v>
      </c>
      <c r="D500" s="52">
        <v>170.33799999999999</v>
      </c>
      <c r="E500" s="44">
        <v>655.97</v>
      </c>
      <c r="F500" s="44">
        <v>18.64</v>
      </c>
      <c r="G500" s="11">
        <v>6.7350000000000005E-4</v>
      </c>
      <c r="H500" s="61">
        <f t="shared" si="30"/>
        <v>253.10252600297176</v>
      </c>
      <c r="I500" s="29">
        <f t="shared" si="31"/>
        <v>0.23002072829147471</v>
      </c>
      <c r="J500" s="52">
        <v>0.34699999999999998</v>
      </c>
      <c r="K500" s="75">
        <v>-4.4352999999999998</v>
      </c>
      <c r="L500" s="81">
        <v>947.2</v>
      </c>
      <c r="M500" s="13">
        <v>6.7000000000000002E-3</v>
      </c>
      <c r="N500" s="12">
        <v>-6.4855E-6</v>
      </c>
      <c r="O500" s="93">
        <v>0.25290000000000001</v>
      </c>
      <c r="P500" s="94">
        <v>0.25969999999999999</v>
      </c>
      <c r="Q500" s="95">
        <v>0.28570000000000001</v>
      </c>
      <c r="R500" s="111">
        <v>24.411999999999999</v>
      </c>
      <c r="S500" s="118">
        <v>-3341.4</v>
      </c>
      <c r="T500" s="125">
        <v>-5.3864000000000001</v>
      </c>
      <c r="U500" s="14">
        <v>0</v>
      </c>
      <c r="V500" s="30">
        <v>0</v>
      </c>
      <c r="W500" s="138">
        <v>224.047</v>
      </c>
      <c r="X500" s="13">
        <v>0.76817999999999997</v>
      </c>
      <c r="Y500" s="14">
        <v>-1.9661000000000001E-3</v>
      </c>
      <c r="Z500" s="30">
        <v>2.6096E-6</v>
      </c>
      <c r="AA500" s="77">
        <v>0.15509999999999999</v>
      </c>
      <c r="AB500" s="5">
        <v>-6.3884E-5</v>
      </c>
      <c r="AC500" s="15">
        <v>-1.8406E-7</v>
      </c>
      <c r="AD500" s="146">
        <v>65.39</v>
      </c>
      <c r="AE500" s="147">
        <v>0.38</v>
      </c>
      <c r="AF500" s="150">
        <v>50.348999999999997</v>
      </c>
      <c r="AG500" s="152">
        <v>1.2222</v>
      </c>
    </row>
    <row r="501" spans="1:33" x14ac:dyDescent="0.2">
      <c r="A501" s="27">
        <v>12</v>
      </c>
      <c r="B501" s="69">
        <v>13.89569103</v>
      </c>
      <c r="C501" s="28">
        <f t="shared" si="32"/>
        <v>0.79714798594187863</v>
      </c>
      <c r="D501" s="52">
        <v>170.33799999999999</v>
      </c>
      <c r="E501" s="47">
        <v>670.01</v>
      </c>
      <c r="F501" s="44">
        <v>18.64</v>
      </c>
      <c r="G501" s="11">
        <v>6.7350000000000005E-4</v>
      </c>
      <c r="H501" s="61">
        <f t="shared" si="30"/>
        <v>253.10252600297176</v>
      </c>
      <c r="I501" s="29">
        <f t="shared" si="31"/>
        <v>0.22520066437420139</v>
      </c>
      <c r="J501" s="52">
        <v>0.34699999999999998</v>
      </c>
      <c r="K501" s="75">
        <v>-4.6071</v>
      </c>
      <c r="L501" s="81">
        <v>991.09</v>
      </c>
      <c r="M501" s="13">
        <v>6.8999999999999999E-3</v>
      </c>
      <c r="N501" s="12">
        <v>-6.4694000000000003E-6</v>
      </c>
      <c r="O501" s="93">
        <v>0.25290000000000001</v>
      </c>
      <c r="P501" s="94">
        <v>0.25269999999999998</v>
      </c>
      <c r="Q501" s="95">
        <v>0.28570000000000001</v>
      </c>
      <c r="R501" s="111">
        <v>23.992999999999999</v>
      </c>
      <c r="S501" s="118">
        <v>-3377</v>
      </c>
      <c r="T501" s="125">
        <v>-5.2393999999999998</v>
      </c>
      <c r="U501" s="14">
        <v>0</v>
      </c>
      <c r="V501" s="30">
        <v>0</v>
      </c>
      <c r="W501" s="138">
        <v>226.405</v>
      </c>
      <c r="X501" s="13">
        <v>0.75075000000000003</v>
      </c>
      <c r="Y501" s="14">
        <v>-1.8909E-3</v>
      </c>
      <c r="Z501" s="30">
        <v>2.4916999999999998E-6</v>
      </c>
      <c r="AA501" s="77">
        <v>0.15529999999999999</v>
      </c>
      <c r="AB501" s="5">
        <v>-6.3081000000000001E-5</v>
      </c>
      <c r="AC501" s="15">
        <v>-1.7629E-7</v>
      </c>
      <c r="AD501" s="146">
        <v>66.924000000000007</v>
      </c>
      <c r="AE501" s="147">
        <v>0.38</v>
      </c>
      <c r="AF501" s="150">
        <v>50.723999999999997</v>
      </c>
      <c r="AG501" s="152">
        <v>1.2222</v>
      </c>
    </row>
    <row r="502" spans="1:33" x14ac:dyDescent="0.2">
      <c r="A502" s="27">
        <v>12</v>
      </c>
      <c r="B502" s="69">
        <v>10.72276722</v>
      </c>
      <c r="C502" s="28">
        <f t="shared" si="32"/>
        <v>0.59765512023788336</v>
      </c>
      <c r="D502" s="52">
        <v>170.33799999999999</v>
      </c>
      <c r="E502" s="44">
        <v>671.22</v>
      </c>
      <c r="F502" s="44">
        <v>18.52</v>
      </c>
      <c r="G502" s="11">
        <v>6.7949999999999998E-4</v>
      </c>
      <c r="H502" s="61">
        <f t="shared" si="30"/>
        <v>250.86597938144328</v>
      </c>
      <c r="I502" s="29">
        <f t="shared" si="31"/>
        <v>0.22533873294185891</v>
      </c>
      <c r="J502" s="52">
        <v>0.375</v>
      </c>
      <c r="K502" s="75">
        <v>-4.8216000000000001</v>
      </c>
      <c r="L502" s="81">
        <v>1025.2</v>
      </c>
      <c r="M502" s="13">
        <v>7.4000000000000003E-3</v>
      </c>
      <c r="N502" s="12">
        <v>-6.8719999999999996E-6</v>
      </c>
      <c r="O502" s="93">
        <v>0.25069999999999998</v>
      </c>
      <c r="P502" s="94">
        <v>0.24909999999999999</v>
      </c>
      <c r="Q502" s="95">
        <v>0.28570000000000001</v>
      </c>
      <c r="R502" s="111">
        <v>24.128</v>
      </c>
      <c r="S502" s="118">
        <v>-3436</v>
      </c>
      <c r="T502" s="125">
        <v>-5.2591000000000001</v>
      </c>
      <c r="U502" s="14">
        <v>0</v>
      </c>
      <c r="V502" s="30">
        <v>0</v>
      </c>
      <c r="W502" s="138">
        <v>220.274</v>
      </c>
      <c r="X502" s="13">
        <v>0.82757000000000003</v>
      </c>
      <c r="Y502" s="14">
        <v>-2.0861E-3</v>
      </c>
      <c r="Z502" s="30">
        <v>2.6699999999999998E-6</v>
      </c>
      <c r="AA502" s="77">
        <v>0.15529999999999999</v>
      </c>
      <c r="AB502" s="5">
        <v>-5.8381999999999998E-5</v>
      </c>
      <c r="AC502" s="15">
        <v>-1.8211999999999999E-7</v>
      </c>
      <c r="AD502" s="146">
        <v>67.959999999999994</v>
      </c>
      <c r="AE502" s="147">
        <v>0.38</v>
      </c>
      <c r="AF502" s="150">
        <v>51.098999999999997</v>
      </c>
      <c r="AG502" s="152">
        <v>1.2222</v>
      </c>
    </row>
    <row r="503" spans="1:33" x14ac:dyDescent="0.2">
      <c r="A503" s="27">
        <v>12</v>
      </c>
      <c r="B503" s="69">
        <v>10.95268581</v>
      </c>
      <c r="C503" s="28">
        <f t="shared" si="32"/>
        <v>0.61211090964359305</v>
      </c>
      <c r="D503" s="52">
        <v>170.33799999999999</v>
      </c>
      <c r="E503" s="47">
        <v>643.47</v>
      </c>
      <c r="F503" s="44">
        <v>18.47</v>
      </c>
      <c r="G503" s="11">
        <v>6.7849999999999996E-4</v>
      </c>
      <c r="H503" s="61">
        <f t="shared" si="30"/>
        <v>251.23598820058999</v>
      </c>
      <c r="I503" s="29">
        <f t="shared" si="31"/>
        <v>0.23407674259688321</v>
      </c>
      <c r="J503" s="52">
        <v>0.40400000000000003</v>
      </c>
      <c r="K503" s="75">
        <v>-4.7671000000000001</v>
      </c>
      <c r="L503" s="81">
        <v>978.37</v>
      </c>
      <c r="M503" s="13">
        <v>7.7000000000000002E-3</v>
      </c>
      <c r="N503" s="12">
        <v>-7.5237999999999999E-6</v>
      </c>
      <c r="O503" s="93">
        <v>0.25109999999999999</v>
      </c>
      <c r="P503" s="94">
        <v>0.2601</v>
      </c>
      <c r="Q503" s="95">
        <v>0.28570000000000001</v>
      </c>
      <c r="R503" s="111">
        <v>25.178999999999998</v>
      </c>
      <c r="S503" s="118">
        <v>-3422.3</v>
      </c>
      <c r="T503" s="125">
        <v>-5.5970000000000004</v>
      </c>
      <c r="U503" s="14">
        <v>0</v>
      </c>
      <c r="V503" s="30">
        <v>0</v>
      </c>
      <c r="W503" s="138">
        <v>227.64400000000001</v>
      </c>
      <c r="X503" s="13">
        <v>0.80737000000000003</v>
      </c>
      <c r="Y503" s="14">
        <v>-2.1389999999999998E-3</v>
      </c>
      <c r="Z503" s="30">
        <v>2.8835999999999998E-6</v>
      </c>
      <c r="AA503" s="77">
        <v>0.1583</v>
      </c>
      <c r="AB503" s="5">
        <v>-6.8371E-5</v>
      </c>
      <c r="AC503" s="15">
        <v>-1.9254999999999999E-7</v>
      </c>
      <c r="AD503" s="146">
        <v>65.733999999999995</v>
      </c>
      <c r="AE503" s="147">
        <v>0.38</v>
      </c>
      <c r="AF503" s="150">
        <v>50.8</v>
      </c>
      <c r="AG503" s="152">
        <v>1.2222</v>
      </c>
    </row>
    <row r="504" spans="1:33" x14ac:dyDescent="0.2">
      <c r="A504" s="27">
        <v>12</v>
      </c>
      <c r="B504" s="69">
        <v>11.535275455000001</v>
      </c>
      <c r="C504" s="28">
        <f t="shared" si="32"/>
        <v>0.64874036713142458</v>
      </c>
      <c r="D504" s="52">
        <v>170.33799999999999</v>
      </c>
      <c r="E504" s="48">
        <v>661.46</v>
      </c>
      <c r="F504" s="48">
        <v>18.52</v>
      </c>
      <c r="G504" s="11">
        <v>6.7949999999999998E-4</v>
      </c>
      <c r="H504" s="61">
        <f t="shared" si="30"/>
        <v>250.86597938144328</v>
      </c>
      <c r="I504" s="29">
        <f t="shared" si="31"/>
        <v>0.22866365966987348</v>
      </c>
      <c r="J504" s="55">
        <v>0.375</v>
      </c>
      <c r="K504" s="76">
        <v>-4.7178000000000004</v>
      </c>
      <c r="L504" s="82">
        <v>996.61</v>
      </c>
      <c r="M504" s="85">
        <v>7.3000000000000001E-3</v>
      </c>
      <c r="N504" s="4">
        <v>-6.9164999999999998E-6</v>
      </c>
      <c r="O504" s="96">
        <v>0.25069999999999998</v>
      </c>
      <c r="P504" s="97">
        <v>0.25340000000000001</v>
      </c>
      <c r="Q504" s="98">
        <v>0.28570000000000001</v>
      </c>
      <c r="R504" s="113" t="str" cm="1">
        <f t="array" ref="R504">LEFT(INDEX($R$292:$R$645, MATCH(MIN(IF(ABS($B$292:$B$645-B504)&lt;&gt;0, ABS($B$292:$B$645-B504))), IF(ABS($B$292:$B$645-B504)&lt;&gt;0, ABS($B$292:$B$645-B504)), 0)),7)</f>
        <v>25.134</v>
      </c>
      <c r="S504" s="119" cm="1">
        <f t="array" ref="S504">INDEX($S$292:$S$645, MATCH(MIN(IF(ABS($B$292:$B$645-B504)&lt;&gt;0, ABS($B$292:$B$645-B504))), IF(ABS($B$292:$B$645-B504)&lt;&gt;0, ABS($B$292:$B$645-B504)), 0))</f>
        <v>-3425.9</v>
      </c>
      <c r="T504" s="126" cm="1">
        <f t="array" ref="T504">INDEX($T$292:$T$645, MATCH(MIN(IF(ABS($B$292:$B$645-B504)&lt;&gt;0, ABS($B$292:$B$645-B504))), IF(ABS($B$292:$B$645-B504)&lt;&gt;0, ABS($B$292:$B$645-B504)), 0))</f>
        <v>-5.5811999999999999</v>
      </c>
      <c r="U504" s="37" cm="1">
        <f t="array" ref="U504">INDEX($U$292:$U$645, MATCH(MIN(IF(ABS($B$292:$B$645-B504)&lt;&gt;0, ABS($B$292:$B$645-B504))), IF(ABS($B$292:$B$645-B504)&lt;&gt;0, ABS($B$292:$B$645-B504)), 0))</f>
        <v>0</v>
      </c>
      <c r="V504" s="133" cm="1">
        <f t="array" ref="V504">INDEX($V$292:$V$645, MATCH(MIN(IF(ABS($B$292:$B$645-B504)&lt;&gt;0, ABS($B$292:$B$645-B504))), IF(ABS($B$292:$B$645-B504)&lt;&gt;0, ABS($B$292:$B$645-B504)), 0))</f>
        <v>0</v>
      </c>
      <c r="W504" s="139">
        <v>218.209</v>
      </c>
      <c r="X504" s="7">
        <v>0.84291000000000005</v>
      </c>
      <c r="Y504" s="8">
        <v>-2.1483000000000001E-3</v>
      </c>
      <c r="Z504" s="33">
        <v>2.7630999999999999E-6</v>
      </c>
      <c r="AA504" s="141">
        <v>0.15509999999999999</v>
      </c>
      <c r="AB504" s="9">
        <v>-5.8785E-5</v>
      </c>
      <c r="AC504" s="10">
        <v>-1.8771999999999999E-7</v>
      </c>
      <c r="AD504" s="146">
        <v>66.878</v>
      </c>
      <c r="AE504" s="147">
        <v>0.38</v>
      </c>
      <c r="AF504" s="150">
        <v>50.838000000000001</v>
      </c>
      <c r="AG504" s="152">
        <v>1.2222</v>
      </c>
    </row>
    <row r="505" spans="1:33" x14ac:dyDescent="0.2">
      <c r="A505" s="27">
        <v>12</v>
      </c>
      <c r="B505" s="69">
        <v>12.583552183749999</v>
      </c>
      <c r="C505" s="28">
        <f t="shared" si="32"/>
        <v>0.71464920742883686</v>
      </c>
      <c r="D505" s="52">
        <v>170.33799999999999</v>
      </c>
      <c r="E505" s="48">
        <v>655.88</v>
      </c>
      <c r="F505" s="48">
        <v>18.52</v>
      </c>
      <c r="G505" s="11">
        <v>6.7949999999999998E-4</v>
      </c>
      <c r="H505" s="61">
        <f t="shared" si="30"/>
        <v>250.86597938144328</v>
      </c>
      <c r="I505" s="29">
        <f t="shared" si="31"/>
        <v>0.23060905093193043</v>
      </c>
      <c r="J505" s="55">
        <v>0.375</v>
      </c>
      <c r="K505" s="76">
        <v>-4.6485000000000003</v>
      </c>
      <c r="L505" s="82">
        <v>978.87</v>
      </c>
      <c r="M505" s="85">
        <v>7.1999999999999998E-3</v>
      </c>
      <c r="N505" s="4">
        <v>-6.9283000000000002E-6</v>
      </c>
      <c r="O505" s="96">
        <v>0.25069999999999998</v>
      </c>
      <c r="P505" s="97">
        <v>0.25850000000000001</v>
      </c>
      <c r="Q505" s="98">
        <v>0.28570000000000001</v>
      </c>
      <c r="R505" s="113" t="str" cm="1">
        <f t="array" ref="R505">LEFT(INDEX($R$292:$R$645, MATCH(MIN(IF(ABS($B$292:$B$645-B505)&lt;&gt;0, ABS($B$292:$B$645-B505))), IF(ABS($B$292:$B$645-B505)&lt;&gt;0, ABS($B$292:$B$645-B505)), 0)),7)</f>
        <v>24.46</v>
      </c>
      <c r="S505" s="119" cm="1">
        <f t="array" ref="S505">INDEX($S$292:$S$645, MATCH(MIN(IF(ABS($B$292:$B$645-B505)&lt;&gt;0, ABS($B$292:$B$645-B505))), IF(ABS($B$292:$B$645-B505)&lt;&gt;0, ABS($B$292:$B$645-B505)), 0))</f>
        <v>-3406.9</v>
      </c>
      <c r="T505" s="126" cm="1">
        <f t="array" ref="T505">INDEX($T$292:$T$645, MATCH(MIN(IF(ABS($B$292:$B$645-B505)&lt;&gt;0, ABS($B$292:$B$645-B505))), IF(ABS($B$292:$B$645-B505)&lt;&gt;0, ABS($B$292:$B$645-B505)), 0))</f>
        <v>-5.3752000000000004</v>
      </c>
      <c r="U505" s="37" cm="1">
        <f t="array" ref="U505">INDEX($U$292:$U$645, MATCH(MIN(IF(ABS($B$292:$B$645-B505)&lt;&gt;0, ABS($B$292:$B$645-B505))), IF(ABS($B$292:$B$645-B505)&lt;&gt;0, ABS($B$292:$B$645-B505)), 0))</f>
        <v>0</v>
      </c>
      <c r="V505" s="133" cm="1">
        <f t="array" ref="V505">INDEX($V$292:$V$645, MATCH(MIN(IF(ABS($B$292:$B$645-B505)&lt;&gt;0, ABS($B$292:$B$645-B505))), IF(ABS($B$292:$B$645-B505)&lt;&gt;0, ABS($B$292:$B$645-B505)), 0))</f>
        <v>0</v>
      </c>
      <c r="W505" s="139">
        <v>218.19499999999999</v>
      </c>
      <c r="X505" s="7">
        <v>0.84330000000000005</v>
      </c>
      <c r="Y505" s="8">
        <v>-2.1602000000000001E-3</v>
      </c>
      <c r="Z505" s="33">
        <v>2.7874000000000002E-6</v>
      </c>
      <c r="AA505" s="141">
        <v>0.155</v>
      </c>
      <c r="AB505" s="9">
        <v>-5.9011000000000001E-5</v>
      </c>
      <c r="AC505" s="10">
        <v>-1.9103000000000001E-7</v>
      </c>
      <c r="AD505" s="146">
        <v>66.260000000000005</v>
      </c>
      <c r="AE505" s="147">
        <v>0.38</v>
      </c>
      <c r="AF505" s="150">
        <v>50.686999999999998</v>
      </c>
      <c r="AG505" s="152">
        <v>1.2222</v>
      </c>
    </row>
    <row r="506" spans="1:33" x14ac:dyDescent="0.2">
      <c r="A506" s="27">
        <v>12</v>
      </c>
      <c r="B506" s="69">
        <v>11.41187045375</v>
      </c>
      <c r="C506" s="28">
        <f t="shared" si="32"/>
        <v>0.64098146120876143</v>
      </c>
      <c r="D506" s="52">
        <v>170.33799999999999</v>
      </c>
      <c r="E506" s="48">
        <v>671.22</v>
      </c>
      <c r="F506" s="48">
        <v>18.52</v>
      </c>
      <c r="G506" s="11">
        <v>6.7949999999999998E-4</v>
      </c>
      <c r="H506" s="61">
        <f t="shared" si="30"/>
        <v>250.86597938144328</v>
      </c>
      <c r="I506" s="29">
        <f t="shared" si="31"/>
        <v>0.22533873294185891</v>
      </c>
      <c r="J506" s="55">
        <v>0.375</v>
      </c>
      <c r="K506" s="76">
        <v>-4.8216000000000001</v>
      </c>
      <c r="L506" s="82">
        <v>1025.2</v>
      </c>
      <c r="M506" s="85">
        <v>7.4000000000000003E-3</v>
      </c>
      <c r="N506" s="4">
        <v>-6.8719999999999996E-6</v>
      </c>
      <c r="O506" s="96">
        <v>0.25069999999999998</v>
      </c>
      <c r="P506" s="97">
        <v>0.252</v>
      </c>
      <c r="Q506" s="98">
        <v>0.28570000000000001</v>
      </c>
      <c r="R506" s="113" t="str" cm="1">
        <f t="array" ref="R506">LEFT(INDEX($R$292:$R$645, MATCH(MIN(IF(ABS($B$292:$B$645-B506)&lt;&gt;0, ABS($B$292:$B$645-B506))), IF(ABS($B$292:$B$645-B506)&lt;&gt;0, ABS($B$292:$B$645-B506)), 0)),7)</f>
        <v>24.088</v>
      </c>
      <c r="S506" s="119" cm="1">
        <f t="array" ref="S506">INDEX($S$292:$S$645, MATCH(MIN(IF(ABS($B$292:$B$645-B506)&lt;&gt;0, ABS($B$292:$B$645-B506))), IF(ABS($B$292:$B$645-B506)&lt;&gt;0, ABS($B$292:$B$645-B506)), 0))</f>
        <v>-3439.6</v>
      </c>
      <c r="T506" s="126" cm="1">
        <f t="array" ref="T506">INDEX($T$292:$T$645, MATCH(MIN(IF(ABS($B$292:$B$645-B506)&lt;&gt;0, ABS($B$292:$B$645-B506))), IF(ABS($B$292:$B$645-B506)&lt;&gt;0, ABS($B$292:$B$645-B506)), 0))</f>
        <v>-5.2449000000000003</v>
      </c>
      <c r="U506" s="37" cm="1">
        <f t="array" ref="U506">INDEX($U$292:$U$645, MATCH(MIN(IF(ABS($B$292:$B$645-B506)&lt;&gt;0, ABS($B$292:$B$645-B506))), IF(ABS($B$292:$B$645-B506)&lt;&gt;0, ABS($B$292:$B$645-B506)), 0))</f>
        <v>0</v>
      </c>
      <c r="V506" s="133" cm="1">
        <f t="array" ref="V506">INDEX($V$292:$V$645, MATCH(MIN(IF(ABS($B$292:$B$645-B506)&lt;&gt;0, ABS($B$292:$B$645-B506))), IF(ABS($B$292:$B$645-B506)&lt;&gt;0, ABS($B$292:$B$645-B506)), 0))</f>
        <v>0</v>
      </c>
      <c r="W506" s="139">
        <v>221.65199999999999</v>
      </c>
      <c r="X506" s="7">
        <v>0.81757999999999997</v>
      </c>
      <c r="Y506" s="8">
        <v>-2.0576000000000001E-3</v>
      </c>
      <c r="Z506" s="33">
        <v>2.6348000000000002E-6</v>
      </c>
      <c r="AA506" s="141">
        <v>0.15529999999999999</v>
      </c>
      <c r="AB506" s="9">
        <v>-5.8381999999999998E-5</v>
      </c>
      <c r="AC506" s="10">
        <v>-1.8211999999999999E-7</v>
      </c>
      <c r="AD506" s="146">
        <v>67.959999999999994</v>
      </c>
      <c r="AE506" s="147">
        <v>0.38</v>
      </c>
      <c r="AF506" s="150">
        <v>51.098999999999997</v>
      </c>
      <c r="AG506" s="152">
        <v>1.2222</v>
      </c>
    </row>
    <row r="507" spans="1:33" x14ac:dyDescent="0.2">
      <c r="A507" s="27">
        <v>12</v>
      </c>
      <c r="B507" s="69">
        <v>10.36467201</v>
      </c>
      <c r="C507" s="28">
        <f t="shared" si="32"/>
        <v>0.57514041647707226</v>
      </c>
      <c r="D507" s="52">
        <v>170.33799999999999</v>
      </c>
      <c r="E507" s="48">
        <v>651.79</v>
      </c>
      <c r="F507" s="48">
        <v>18.47</v>
      </c>
      <c r="G507" s="11">
        <v>6.7849999999999996E-4</v>
      </c>
      <c r="H507" s="61">
        <f t="shared" si="30"/>
        <v>251.23598820058999</v>
      </c>
      <c r="I507" s="29">
        <f t="shared" si="31"/>
        <v>0.23108878865710802</v>
      </c>
      <c r="J507" s="55">
        <v>0.40400000000000003</v>
      </c>
      <c r="K507" s="76">
        <v>-4.8840000000000003</v>
      </c>
      <c r="L507" s="82">
        <v>1007</v>
      </c>
      <c r="M507" s="85">
        <v>7.9000000000000008E-3</v>
      </c>
      <c r="N507" s="4">
        <v>-7.5119E-6</v>
      </c>
      <c r="O507" s="96">
        <v>0.25109999999999999</v>
      </c>
      <c r="P507" s="97">
        <v>0.25569999999999998</v>
      </c>
      <c r="Q507" s="98">
        <v>0.28570000000000001</v>
      </c>
      <c r="R507" s="113" t="str" cm="1">
        <f t="array" ref="R507">LEFT(INDEX($R$292:$R$645, MATCH(MIN(IF(ABS($B$292:$B$645-B507)&lt;&gt;0, ABS($B$292:$B$645-B507))), IF(ABS($B$292:$B$645-B507)&lt;&gt;0, ABS($B$292:$B$645-B507)), 0)),7)</f>
        <v>24.784</v>
      </c>
      <c r="S507" s="119" cm="1">
        <f t="array" ref="S507">INDEX($S$292:$S$645, MATCH(MIN(IF(ABS($B$292:$B$645-B507)&lt;&gt;0, ABS($B$292:$B$645-B507))), IF(ABS($B$292:$B$645-B507)&lt;&gt;0, ABS($B$292:$B$645-B507)), 0))</f>
        <v>-3455.2</v>
      </c>
      <c r="T507" s="126" cm="1">
        <f t="array" ref="T507">INDEX($T$292:$T$645, MATCH(MIN(IF(ABS($B$292:$B$645-B507)&lt;&gt;0, ABS($B$292:$B$645-B507))), IF(ABS($B$292:$B$645-B507)&lt;&gt;0, ABS($B$292:$B$645-B507)), 0))</f>
        <v>-5.4581</v>
      </c>
      <c r="U507" s="37" cm="1">
        <f t="array" ref="U507">INDEX($U$292:$U$645, MATCH(MIN(IF(ABS($B$292:$B$645-B507)&lt;&gt;0, ABS($B$292:$B$645-B507))), IF(ABS($B$292:$B$645-B507)&lt;&gt;0, ABS($B$292:$B$645-B507)), 0))</f>
        <v>0</v>
      </c>
      <c r="V507" s="133" cm="1">
        <f t="array" ref="V507">INDEX($V$292:$V$645, MATCH(MIN(IF(ABS($B$292:$B$645-B507)&lt;&gt;0, ABS($B$292:$B$645-B507))), IF(ABS($B$292:$B$645-B507)&lt;&gt;0, ABS($B$292:$B$645-B507)), 0))</f>
        <v>0</v>
      </c>
      <c r="W507" s="139">
        <v>229.08500000000001</v>
      </c>
      <c r="X507" s="7">
        <v>0.79683000000000004</v>
      </c>
      <c r="Y507" s="8">
        <v>-2.0910999999999998E-3</v>
      </c>
      <c r="Z507" s="33">
        <v>2.8063000000000001E-6</v>
      </c>
      <c r="AA507" s="141">
        <v>0.15840000000000001</v>
      </c>
      <c r="AB507" s="9">
        <v>-6.7778000000000001E-5</v>
      </c>
      <c r="AC507" s="10">
        <v>-1.8764E-7</v>
      </c>
      <c r="AD507" s="146">
        <v>66.665000000000006</v>
      </c>
      <c r="AE507" s="147">
        <v>0.38</v>
      </c>
      <c r="AF507" s="150">
        <v>51.029000000000003</v>
      </c>
      <c r="AG507" s="152">
        <v>1.2222</v>
      </c>
    </row>
    <row r="508" spans="1:33" x14ac:dyDescent="0.2">
      <c r="A508" s="27">
        <v>12</v>
      </c>
      <c r="B508" s="69">
        <v>10.1390420825</v>
      </c>
      <c r="C508" s="28">
        <f t="shared" si="32"/>
        <v>0.56095427034784651</v>
      </c>
      <c r="D508" s="52">
        <v>170.33799999999999</v>
      </c>
      <c r="E508" s="48">
        <v>631.25</v>
      </c>
      <c r="F508" s="48">
        <v>18.34</v>
      </c>
      <c r="G508" s="35">
        <v>6.845E-4</v>
      </c>
      <c r="H508" s="61">
        <f t="shared" si="30"/>
        <v>249.03216374269002</v>
      </c>
      <c r="I508" s="29">
        <f t="shared" si="31"/>
        <v>0.23902538245164426</v>
      </c>
      <c r="J508" s="55">
        <v>0.432</v>
      </c>
      <c r="K508" s="76">
        <v>-4.7865000000000002</v>
      </c>
      <c r="L508" s="82">
        <v>964.22</v>
      </c>
      <c r="M508" s="85">
        <v>8.0000000000000002E-3</v>
      </c>
      <c r="N508" s="4">
        <v>-7.9783999999999997E-6</v>
      </c>
      <c r="O508" s="96">
        <v>0.24890000000000001</v>
      </c>
      <c r="P508" s="97">
        <v>0.2676</v>
      </c>
      <c r="Q508" s="98">
        <v>0.28570000000000001</v>
      </c>
      <c r="R508" s="113" t="str" cm="1">
        <f t="array" ref="R508">LEFT(INDEX($R$292:$R$645, MATCH(MIN(IF(ABS($B$292:$B$645-B508)&lt;&gt;0, ABS($B$292:$B$645-B508))), IF(ABS($B$292:$B$645-B508)&lt;&gt;0, ABS($B$292:$B$645-B508)), 0)),7)</f>
        <v>26.006</v>
      </c>
      <c r="S508" s="119" cm="1">
        <f t="array" ref="S508">INDEX($S$292:$S$645, MATCH(MIN(IF(ABS($B$292:$B$645-B508)&lt;&gt;0, ABS($B$292:$B$645-B508))), IF(ABS($B$292:$B$645-B508)&lt;&gt;0, ABS($B$292:$B$645-B508)), 0))</f>
        <v>-3426.2</v>
      </c>
      <c r="T508" s="126" cm="1">
        <f t="array" ref="T508">INDEX($T$292:$T$645, MATCH(MIN(IF(ABS($B$292:$B$645-B508)&lt;&gt;0, ABS($B$292:$B$645-B508))), IF(ABS($B$292:$B$645-B508)&lt;&gt;0, ABS($B$292:$B$645-B508)), 0))</f>
        <v>-5.8594999999999997</v>
      </c>
      <c r="U508" s="37" cm="1">
        <f t="array" ref="U508">INDEX($U$292:$U$645, MATCH(MIN(IF(ABS($B$292:$B$645-B508)&lt;&gt;0, ABS($B$292:$B$645-B508))), IF(ABS($B$292:$B$645-B508)&lt;&gt;0, ABS($B$292:$B$645-B508)), 0))</f>
        <v>0</v>
      </c>
      <c r="V508" s="133" cm="1">
        <f t="array" ref="V508">INDEX($V$292:$V$645, MATCH(MIN(IF(ABS($B$292:$B$645-B508)&lt;&gt;0, ABS($B$292:$B$645-B508))), IF(ABS($B$292:$B$645-B508)&lt;&gt;0, ABS($B$292:$B$645-B508)), 0))</f>
        <v>0</v>
      </c>
      <c r="W508" s="139">
        <v>219.84</v>
      </c>
      <c r="X508" s="7">
        <v>0.89847999999999995</v>
      </c>
      <c r="Y508" s="8">
        <v>-2.4088999999999998E-3</v>
      </c>
      <c r="Z508" s="33">
        <v>3.1791000000000002E-6</v>
      </c>
      <c r="AA508" s="141">
        <v>0.158</v>
      </c>
      <c r="AB508" s="9">
        <v>-6.4096000000000004E-5</v>
      </c>
      <c r="AC508" s="10">
        <v>-2.0767000000000001E-7</v>
      </c>
      <c r="AD508" s="146">
        <v>65.201999999999998</v>
      </c>
      <c r="AE508" s="147">
        <v>0.38</v>
      </c>
      <c r="AF508" s="150">
        <v>50.816000000000003</v>
      </c>
      <c r="AG508" s="152">
        <v>1.2222</v>
      </c>
    </row>
    <row r="509" spans="1:33" x14ac:dyDescent="0.2">
      <c r="A509" s="27">
        <v>12</v>
      </c>
      <c r="B509" s="69">
        <v>8.6715625749999994</v>
      </c>
      <c r="C509" s="28">
        <f t="shared" si="32"/>
        <v>0.46868867878513487</v>
      </c>
      <c r="D509" s="52">
        <v>170.33799999999999</v>
      </c>
      <c r="E509" s="48">
        <v>634.39</v>
      </c>
      <c r="F509" s="48">
        <v>18.29</v>
      </c>
      <c r="G509" s="35">
        <v>6.8349999999999997E-4</v>
      </c>
      <c r="H509" s="61">
        <f t="shared" si="30"/>
        <v>249.39677891654466</v>
      </c>
      <c r="I509" s="29">
        <f t="shared" si="31"/>
        <v>0.23684709398453727</v>
      </c>
      <c r="J509" s="55">
        <v>0.46200000000000002</v>
      </c>
      <c r="K509" s="76">
        <v>-5.1597999999999997</v>
      </c>
      <c r="L509" s="82">
        <v>1021.3</v>
      </c>
      <c r="M509" s="85">
        <v>8.8999999999999999E-3</v>
      </c>
      <c r="N509" s="4">
        <v>-8.6349999999999995E-6</v>
      </c>
      <c r="O509" s="96">
        <v>0.2492</v>
      </c>
      <c r="P509" s="97">
        <v>0.26600000000000001</v>
      </c>
      <c r="Q509" s="98">
        <v>0.28570000000000001</v>
      </c>
      <c r="R509" s="113" t="str" cm="1">
        <f t="array" ref="R509">LEFT(INDEX($R$292:$R$645, MATCH(MIN(IF(ABS($B$292:$B$645-B509)&lt;&gt;0, ABS($B$292:$B$645-B509))), IF(ABS($B$292:$B$645-B509)&lt;&gt;0, ABS($B$292:$B$645-B509)), 0)),7)</f>
        <v>26.042</v>
      </c>
      <c r="S509" s="119" cm="1">
        <f t="array" ref="S509">INDEX($S$292:$S$645, MATCH(MIN(IF(ABS($B$292:$B$645-B509)&lt;&gt;0, ABS($B$292:$B$645-B509))), IF(ABS($B$292:$B$645-B509)&lt;&gt;0, ABS($B$292:$B$645-B509)), 0))</f>
        <v>-3497.2</v>
      </c>
      <c r="T509" s="126" cm="1">
        <f t="array" ref="T509">INDEX($T$292:$T$645, MATCH(MIN(IF(ABS($B$292:$B$645-B509)&lt;&gt;0, ABS($B$292:$B$645-B509))), IF(ABS($B$292:$B$645-B509)&lt;&gt;0, ABS($B$292:$B$645-B509)), 0))</f>
        <v>-5.8406000000000002</v>
      </c>
      <c r="U509" s="37" cm="1">
        <f t="array" ref="U509">INDEX($U$292:$U$645, MATCH(MIN(IF(ABS($B$292:$B$645-B509)&lt;&gt;0, ABS($B$292:$B$645-B509))), IF(ABS($B$292:$B$645-B509)&lt;&gt;0, ABS($B$292:$B$645-B509)), 0))</f>
        <v>0</v>
      </c>
      <c r="V509" s="133" cm="1">
        <f t="array" ref="V509">INDEX($V$292:$V$645, MATCH(MIN(IF(ABS($B$292:$B$645-B509)&lt;&gt;0, ABS($B$292:$B$645-B509))), IF(ABS($B$292:$B$645-B509)&lt;&gt;0, ABS($B$292:$B$645-B509)), 0))</f>
        <v>0</v>
      </c>
      <c r="W509" s="139">
        <v>235.37100000000001</v>
      </c>
      <c r="X509" s="7">
        <v>0.81703000000000003</v>
      </c>
      <c r="Y509" s="8">
        <v>-2.2261999999999998E-3</v>
      </c>
      <c r="Z509" s="33">
        <v>3.05E-6</v>
      </c>
      <c r="AA509" s="141">
        <v>0.16159999999999999</v>
      </c>
      <c r="AB509" s="9">
        <v>-7.2977000000000003E-5</v>
      </c>
      <c r="AC509" s="10">
        <v>-1.9919E-7</v>
      </c>
      <c r="AD509" s="146">
        <v>66.378</v>
      </c>
      <c r="AE509" s="147">
        <v>0.38</v>
      </c>
      <c r="AF509" s="150">
        <v>51.372999999999998</v>
      </c>
      <c r="AG509" s="152">
        <v>1.2222</v>
      </c>
    </row>
    <row r="510" spans="1:33" x14ac:dyDescent="0.2">
      <c r="A510" s="27">
        <v>12</v>
      </c>
      <c r="B510" s="69">
        <v>9.6524560749999999</v>
      </c>
      <c r="C510" s="28">
        <f t="shared" si="32"/>
        <v>0.53036089878887394</v>
      </c>
      <c r="D510" s="52">
        <v>170.33799999999999</v>
      </c>
      <c r="E510" s="48">
        <v>643.65</v>
      </c>
      <c r="F510" s="48">
        <v>18.34</v>
      </c>
      <c r="G510" s="35">
        <v>6.845E-4</v>
      </c>
      <c r="H510" s="61">
        <f t="shared" si="30"/>
        <v>249.03216374269002</v>
      </c>
      <c r="I510" s="29">
        <f t="shared" si="31"/>
        <v>0.23442052772873528</v>
      </c>
      <c r="J510" s="55">
        <v>0.432</v>
      </c>
      <c r="K510" s="76">
        <v>-4.9922000000000004</v>
      </c>
      <c r="L510" s="82">
        <v>1011.5</v>
      </c>
      <c r="M510" s="85">
        <v>8.3000000000000001E-3</v>
      </c>
      <c r="N510" s="4">
        <v>-7.9907999999999998E-6</v>
      </c>
      <c r="O510" s="96">
        <v>0.24890000000000001</v>
      </c>
      <c r="P510" s="97">
        <v>0.26369999999999999</v>
      </c>
      <c r="Q510" s="98">
        <v>0.28570000000000001</v>
      </c>
      <c r="R510" s="113" t="str" cm="1">
        <f t="array" aca="1" ref="R510" ca="1">LEFT(INDEX($R$292:$R$645, MATCH(MIN(IF(ABS($B$292:$B$645-B510)&lt;&gt;0, ABS($B$292:$B$645-B510))), IF(ABS($B$292:$B$645-B510)&lt;&gt;0, ABS($B$292:$B$645-B510)), 0)),7)</f>
        <v>25.134</v>
      </c>
      <c r="S510" s="119" cm="1">
        <f t="array" aca="1" ref="S510" ca="1">INDEX($S$292:$S$645, MATCH(MIN(IF(ABS($B$292:$B$645-B510)&lt;&gt;0, ABS($B$292:$B$645-B510))), IF(ABS($B$292:$B$645-B510)&lt;&gt;0, ABS($B$292:$B$645-B510)), 0))</f>
        <v>-3425.9</v>
      </c>
      <c r="T510" s="126" cm="1">
        <f t="array" aca="1" ref="T510" ca="1">INDEX($T$292:$T$645, MATCH(MIN(IF(ABS($B$292:$B$645-B510)&lt;&gt;0, ABS($B$292:$B$645-B510))), IF(ABS($B$292:$B$645-B510)&lt;&gt;0, ABS($B$292:$B$645-B510)), 0))</f>
        <v>-5.5811999999999999</v>
      </c>
      <c r="U510" s="37" cm="1">
        <f t="array" aca="1" ref="U510" ca="1">INDEX($U$292:$U$645, MATCH(MIN(IF(ABS($B$292:$B$645-B510)&lt;&gt;0, ABS($B$292:$B$645-B510))), IF(ABS($B$292:$B$645-B510)&lt;&gt;0, ABS($B$292:$B$645-B510)), 0))</f>
        <v>0</v>
      </c>
      <c r="V510" s="133" cm="1">
        <f t="array" aca="1" ref="V510" ca="1">INDEX($V$292:$V$645, MATCH(MIN(IF(ABS($B$292:$B$645-B510)&lt;&gt;0, ABS($B$292:$B$645-B510))), IF(ABS($B$292:$B$645-B510)&lt;&gt;0, ABS($B$292:$B$645-B510)), 0))</f>
        <v>0</v>
      </c>
      <c r="W510" s="139">
        <v>223.691</v>
      </c>
      <c r="X510" s="7">
        <v>0.86931000000000003</v>
      </c>
      <c r="Y510" s="8">
        <v>-2.2948000000000001E-3</v>
      </c>
      <c r="Z510" s="33">
        <v>3.0096E-6</v>
      </c>
      <c r="AA510" s="141">
        <v>0.15820000000000001</v>
      </c>
      <c r="AB510" s="9">
        <v>-6.3423000000000006E-5</v>
      </c>
      <c r="AC510" s="10">
        <v>-1.9957999999999999E-7</v>
      </c>
      <c r="AD510" s="146">
        <v>66.605999999999995</v>
      </c>
      <c r="AE510" s="147">
        <v>0.38</v>
      </c>
      <c r="AF510" s="150">
        <v>51.164000000000001</v>
      </c>
      <c r="AG510" s="152">
        <v>1.2222</v>
      </c>
    </row>
    <row r="511" spans="1:33" x14ac:dyDescent="0.2">
      <c r="A511" s="27">
        <v>12</v>
      </c>
      <c r="B511" s="69">
        <v>9.6517657374999999</v>
      </c>
      <c r="C511" s="28">
        <f t="shared" si="32"/>
        <v>0.53031749484524826</v>
      </c>
      <c r="D511" s="52">
        <v>170.33799999999999</v>
      </c>
      <c r="E511" s="48">
        <v>640.89</v>
      </c>
      <c r="F511" s="48">
        <v>18.34</v>
      </c>
      <c r="G511" s="35">
        <v>6.845E-4</v>
      </c>
      <c r="H511" s="61">
        <f t="shared" si="30"/>
        <v>249.03216374269002</v>
      </c>
      <c r="I511" s="29">
        <f t="shared" si="31"/>
        <v>0.2354300623704543</v>
      </c>
      <c r="J511" s="55">
        <v>0.432</v>
      </c>
      <c r="K511" s="76">
        <v>-4.9513999999999996</v>
      </c>
      <c r="L511" s="82">
        <v>1001.7</v>
      </c>
      <c r="M511" s="85">
        <v>8.2000000000000007E-3</v>
      </c>
      <c r="N511" s="4">
        <v>-7.9954999999999999E-6</v>
      </c>
      <c r="O511" s="96">
        <v>0.24890000000000001</v>
      </c>
      <c r="P511" s="97">
        <v>0.2636</v>
      </c>
      <c r="Q511" s="98">
        <v>0.28570000000000001</v>
      </c>
      <c r="R511" s="113" t="str" cm="1">
        <f t="array" aca="1" ref="R511" ca="1">LEFT(INDEX($R$292:$R$645, MATCH(MIN(IF(ABS($B$292:$B$645-B511)&lt;&gt;0, ABS($B$292:$B$645-B511))), IF(ABS($B$292:$B$645-B511)&lt;&gt;0, ABS($B$292:$B$645-B511)), 0)),7)</f>
        <v>25.134</v>
      </c>
      <c r="S511" s="119" cm="1">
        <f t="array" aca="1" ref="S511" ca="1">INDEX($S$292:$S$645, MATCH(MIN(IF(ABS($B$292:$B$645-B511)&lt;&gt;0, ABS($B$292:$B$645-B511))), IF(ABS($B$292:$B$645-B511)&lt;&gt;0, ABS($B$292:$B$645-B511)), 0))</f>
        <v>-3425.9</v>
      </c>
      <c r="T511" s="126" cm="1">
        <f t="array" aca="1" ref="T511" ca="1">INDEX($T$292:$T$645, MATCH(MIN(IF(ABS($B$292:$B$645-B511)&lt;&gt;0, ABS($B$292:$B$645-B511))), IF(ABS($B$292:$B$645-B511)&lt;&gt;0, ABS($B$292:$B$645-B511)), 0))</f>
        <v>-5.5811999999999999</v>
      </c>
      <c r="U511" s="37" cm="1">
        <f t="array" aca="1" ref="U511" ca="1">INDEX($U$292:$U$645, MATCH(MIN(IF(ABS($B$292:$B$645-B511)&lt;&gt;0, ABS($B$292:$B$645-B511))), IF(ABS($B$292:$B$645-B511)&lt;&gt;0, ABS($B$292:$B$645-B511)), 0))</f>
        <v>0</v>
      </c>
      <c r="V511" s="133" cm="1">
        <f t="array" aca="1" ref="V511" ca="1">INDEX($V$292:$V$645, MATCH(MIN(IF(ABS($B$292:$B$645-B511)&lt;&gt;0, ABS($B$292:$B$645-B511))), IF(ABS($B$292:$B$645-B511)&lt;&gt;0, ABS($B$292:$B$645-B511)), 0))</f>
        <v>0</v>
      </c>
      <c r="W511" s="139">
        <v>222.38300000000001</v>
      </c>
      <c r="X511" s="7">
        <v>0.87910999999999995</v>
      </c>
      <c r="Y511" s="8">
        <v>-2.3297999999999999E-3</v>
      </c>
      <c r="Z511" s="33">
        <v>3.0593000000000001E-6</v>
      </c>
      <c r="AA511" s="141">
        <v>0.15820000000000001</v>
      </c>
      <c r="AB511" s="9">
        <v>-6.3572999999999996E-5</v>
      </c>
      <c r="AC511" s="10">
        <v>-2.0132999999999999E-7</v>
      </c>
      <c r="AD511" s="146">
        <v>66.293999999999997</v>
      </c>
      <c r="AE511" s="147">
        <v>0.38</v>
      </c>
      <c r="AF511" s="150">
        <v>51.087000000000003</v>
      </c>
      <c r="AG511" s="152">
        <v>1.2222</v>
      </c>
    </row>
    <row r="512" spans="1:33" x14ac:dyDescent="0.2">
      <c r="A512" s="27">
        <v>12</v>
      </c>
      <c r="B512" s="69">
        <v>9.3553818750000008</v>
      </c>
      <c r="C512" s="28">
        <f t="shared" si="32"/>
        <v>0.51168280027987711</v>
      </c>
      <c r="D512" s="52">
        <v>170.33799999999999</v>
      </c>
      <c r="E512" s="48">
        <v>645.03</v>
      </c>
      <c r="F512" s="48">
        <v>18.34</v>
      </c>
      <c r="G512" s="35">
        <v>6.845E-4</v>
      </c>
      <c r="H512" s="61">
        <f t="shared" si="30"/>
        <v>249.03216374269002</v>
      </c>
      <c r="I512" s="29">
        <f t="shared" si="31"/>
        <v>0.23391900015906308</v>
      </c>
      <c r="J512" s="55">
        <v>0.432</v>
      </c>
      <c r="K512" s="76">
        <v>-5.0117000000000003</v>
      </c>
      <c r="L512" s="82">
        <v>1016.3</v>
      </c>
      <c r="M512" s="85">
        <v>8.3000000000000001E-3</v>
      </c>
      <c r="N512" s="4">
        <v>-7.9872000000000004E-6</v>
      </c>
      <c r="O512" s="96">
        <v>0.24890000000000001</v>
      </c>
      <c r="P512" s="97">
        <v>0.26140000000000002</v>
      </c>
      <c r="Q512" s="98">
        <v>0.28570000000000001</v>
      </c>
      <c r="R512" s="113" t="str" cm="1">
        <f t="array" ref="R512">LEFT(INDEX($R$292:$R$645, MATCH(MIN(IF(ABS($B$292:$B$645-B512)&lt;&gt;0, ABS($B$292:$B$645-B512))), IF(ABS($B$292:$B$645-B512)&lt;&gt;0, ABS($B$292:$B$645-B512)), 0)),7)</f>
        <v>25.535</v>
      </c>
      <c r="S512" s="119" cm="1">
        <f t="array" ref="S512">INDEX($S$292:$S$645, MATCH(MIN(IF(ABS($B$292:$B$645-B512)&lt;&gt;0, ABS($B$292:$B$645-B512))), IF(ABS($B$292:$B$645-B512)&lt;&gt;0, ABS($B$292:$B$645-B512)), 0))</f>
        <v>-3462.8</v>
      </c>
      <c r="T512" s="126" cm="1">
        <f t="array" ref="T512">INDEX($T$292:$T$645, MATCH(MIN(IF(ABS($B$292:$B$645-B512)&lt;&gt;0, ABS($B$292:$B$645-B512))), IF(ABS($B$292:$B$645-B512)&lt;&gt;0, ABS($B$292:$B$645-B512)), 0))</f>
        <v>-5.6935000000000002</v>
      </c>
      <c r="U512" s="37" cm="1">
        <f t="array" ref="U512">INDEX($U$292:$U$645, MATCH(MIN(IF(ABS($B$292:$B$645-B512)&lt;&gt;0, ABS($B$292:$B$645-B512))), IF(ABS($B$292:$B$645-B512)&lt;&gt;0, ABS($B$292:$B$645-B512)), 0))</f>
        <v>0</v>
      </c>
      <c r="V512" s="133" cm="1">
        <f t="array" ref="V512">INDEX($V$292:$V$645, MATCH(MIN(IF(ABS($B$292:$B$645-B512)&lt;&gt;0, ABS($B$292:$B$645-B512))), IF(ABS($B$292:$B$645-B512)&lt;&gt;0, ABS($B$292:$B$645-B512)), 0))</f>
        <v>0</v>
      </c>
      <c r="W512" s="139">
        <v>223.25399999999999</v>
      </c>
      <c r="X512" s="7">
        <v>0.87258000000000002</v>
      </c>
      <c r="Y512" s="8">
        <v>-2.3016E-3</v>
      </c>
      <c r="Z512" s="33">
        <v>3.0156E-6</v>
      </c>
      <c r="AA512" s="141">
        <v>0.1583</v>
      </c>
      <c r="AB512" s="9">
        <v>-6.3348000000000004E-5</v>
      </c>
      <c r="AC512" s="10">
        <v>-1.9871000000000001E-7</v>
      </c>
      <c r="AD512" s="146">
        <v>66.762</v>
      </c>
      <c r="AE512" s="147">
        <v>0.38</v>
      </c>
      <c r="AF512" s="150">
        <v>51.201999999999998</v>
      </c>
      <c r="AG512" s="152">
        <v>1.2222</v>
      </c>
    </row>
    <row r="513" spans="1:33" x14ac:dyDescent="0.2">
      <c r="A513" s="27">
        <v>12</v>
      </c>
      <c r="B513" s="69">
        <v>10.801646115</v>
      </c>
      <c r="C513" s="28">
        <f t="shared" si="32"/>
        <v>0.60261451345038997</v>
      </c>
      <c r="D513" s="52">
        <v>170.33799999999999</v>
      </c>
      <c r="E513" s="48">
        <v>655.89</v>
      </c>
      <c r="F513" s="48">
        <v>18.39</v>
      </c>
      <c r="G513" s="35">
        <v>6.8550000000000002E-4</v>
      </c>
      <c r="H513" s="61">
        <f t="shared" si="30"/>
        <v>248.66861313868614</v>
      </c>
      <c r="I513" s="29">
        <f t="shared" si="31"/>
        <v>0.2310102611456557</v>
      </c>
      <c r="J513" s="55">
        <v>0.40300000000000002</v>
      </c>
      <c r="K513" s="76">
        <v>-4.8616000000000001</v>
      </c>
      <c r="L513" s="82">
        <v>1010.6</v>
      </c>
      <c r="M513" s="85">
        <v>7.7999999999999996E-3</v>
      </c>
      <c r="N513" s="4">
        <v>-7.3675000000000002E-6</v>
      </c>
      <c r="O513" s="96">
        <v>0.2485</v>
      </c>
      <c r="P513" s="97">
        <v>0.25929999999999997</v>
      </c>
      <c r="Q513" s="98">
        <v>0.28570000000000001</v>
      </c>
      <c r="R513" s="113" t="str" cm="1">
        <f t="array" ref="R513">LEFT(INDEX($R$292:$R$645, MATCH(MIN(IF(ABS($B$292:$B$645-B513)&lt;&gt;0, ABS($B$292:$B$645-B513))), IF(ABS($B$292:$B$645-B513)&lt;&gt;0, ABS($B$292:$B$645-B513)), 0)),7)</f>
        <v>25.767</v>
      </c>
      <c r="S513" s="119" cm="1">
        <f t="array" ref="S513">INDEX($S$292:$S$645, MATCH(MIN(IF(ABS($B$292:$B$645-B513)&lt;&gt;0, ABS($B$292:$B$645-B513))), IF(ABS($B$292:$B$645-B513)&lt;&gt;0, ABS($B$292:$B$645-B513)), 0))</f>
        <v>-3444.4</v>
      </c>
      <c r="T513" s="126" cm="1">
        <f t="array" ref="T513">INDEX($T$292:$T$645, MATCH(MIN(IF(ABS($B$292:$B$645-B513)&lt;&gt;0, ABS($B$292:$B$645-B513))), IF(ABS($B$292:$B$645-B513)&lt;&gt;0, ABS($B$292:$B$645-B513)), 0))</f>
        <v>-5.7752999999999997</v>
      </c>
      <c r="U513" s="37" cm="1">
        <f t="array" ref="U513">INDEX($U$292:$U$645, MATCH(MIN(IF(ABS($B$292:$B$645-B513)&lt;&gt;0, ABS($B$292:$B$645-B513))), IF(ABS($B$292:$B$645-B513)&lt;&gt;0, ABS($B$292:$B$645-B513)), 0))</f>
        <v>0</v>
      </c>
      <c r="V513" s="133" cm="1">
        <f t="array" ref="V513">INDEX($V$292:$V$645, MATCH(MIN(IF(ABS($B$292:$B$645-B513)&lt;&gt;0, ABS($B$292:$B$645-B513))), IF(ABS($B$292:$B$645-B513)&lt;&gt;0, ABS($B$292:$B$645-B513)), 0))</f>
        <v>0</v>
      </c>
      <c r="W513" s="139">
        <v>212.29599999999999</v>
      </c>
      <c r="X513" s="7">
        <v>0.91881000000000002</v>
      </c>
      <c r="Y513" s="8">
        <v>-2.3511000000000001E-3</v>
      </c>
      <c r="Z513" s="33">
        <v>2.9525999999999999E-6</v>
      </c>
      <c r="AA513" s="141">
        <v>0.15490000000000001</v>
      </c>
      <c r="AB513" s="9">
        <v>-5.3715999999999999E-5</v>
      </c>
      <c r="AC513" s="10">
        <v>-1.9831999999999999E-7</v>
      </c>
      <c r="AD513" s="146">
        <v>67.137</v>
      </c>
      <c r="AE513" s="147">
        <v>0.38</v>
      </c>
      <c r="AF513" s="150">
        <v>51.039000000000001</v>
      </c>
      <c r="AG513" s="152">
        <v>1.2222</v>
      </c>
    </row>
    <row r="514" spans="1:33" x14ac:dyDescent="0.2">
      <c r="A514" s="27">
        <v>12</v>
      </c>
      <c r="B514" s="69">
        <v>10.334166713749999</v>
      </c>
      <c r="C514" s="28">
        <f t="shared" si="32"/>
        <v>0.57322244134357481</v>
      </c>
      <c r="D514" s="52">
        <v>170.33799999999999</v>
      </c>
      <c r="E514" s="48">
        <v>643.65</v>
      </c>
      <c r="F514" s="48">
        <v>18.34</v>
      </c>
      <c r="G514" s="35">
        <v>6.845E-4</v>
      </c>
      <c r="H514" s="61">
        <f t="shared" si="30"/>
        <v>249.03216374269002</v>
      </c>
      <c r="I514" s="29">
        <f t="shared" si="31"/>
        <v>0.23442052772873528</v>
      </c>
      <c r="J514" s="55">
        <v>0.432</v>
      </c>
      <c r="K514" s="76">
        <v>-4.9922000000000004</v>
      </c>
      <c r="L514" s="82">
        <v>1011.5</v>
      </c>
      <c r="M514" s="85">
        <v>8.3000000000000001E-3</v>
      </c>
      <c r="N514" s="4">
        <v>-7.9907999999999998E-6</v>
      </c>
      <c r="O514" s="96">
        <v>0.24890000000000001</v>
      </c>
      <c r="P514" s="97">
        <v>0.2661</v>
      </c>
      <c r="Q514" s="98">
        <v>0.28570000000000001</v>
      </c>
      <c r="R514" s="113" t="str" cm="1">
        <f t="array" ref="R514">LEFT(INDEX($R$292:$R$645, MATCH(MIN(IF(ABS($B$292:$B$645-B514)&lt;&gt;0, ABS($B$292:$B$645-B514))), IF(ABS($B$292:$B$645-B514)&lt;&gt;0, ABS($B$292:$B$645-B514)), 0)),7)</f>
        <v>24.784</v>
      </c>
      <c r="S514" s="119" cm="1">
        <f t="array" ref="S514">INDEX($S$292:$S$645, MATCH(MIN(IF(ABS($B$292:$B$645-B514)&lt;&gt;0, ABS($B$292:$B$645-B514))), IF(ABS($B$292:$B$645-B514)&lt;&gt;0, ABS($B$292:$B$645-B514)), 0))</f>
        <v>-3455.2</v>
      </c>
      <c r="T514" s="126" cm="1">
        <f t="array" ref="T514">INDEX($T$292:$T$645, MATCH(MIN(IF(ABS($B$292:$B$645-B514)&lt;&gt;0, ABS($B$292:$B$645-B514))), IF(ABS($B$292:$B$645-B514)&lt;&gt;0, ABS($B$292:$B$645-B514)), 0))</f>
        <v>-5.4581</v>
      </c>
      <c r="U514" s="37" cm="1">
        <f t="array" ref="U514">INDEX($U$292:$U$645, MATCH(MIN(IF(ABS($B$292:$B$645-B514)&lt;&gt;0, ABS($B$292:$B$645-B514))), IF(ABS($B$292:$B$645-B514)&lt;&gt;0, ABS($B$292:$B$645-B514)), 0))</f>
        <v>0</v>
      </c>
      <c r="V514" s="133" cm="1">
        <f t="array" ref="V514">INDEX($V$292:$V$645, MATCH(MIN(IF(ABS($B$292:$B$645-B514)&lt;&gt;0, ABS($B$292:$B$645-B514))), IF(ABS($B$292:$B$645-B514)&lt;&gt;0, ABS($B$292:$B$645-B514)), 0))</f>
        <v>0</v>
      </c>
      <c r="W514" s="139">
        <v>224.84299999999999</v>
      </c>
      <c r="X514" s="7">
        <v>0.86072000000000004</v>
      </c>
      <c r="Y514" s="8">
        <v>-2.2693000000000001E-3</v>
      </c>
      <c r="Z514" s="33">
        <v>2.9772000000000001E-6</v>
      </c>
      <c r="AA514" s="141">
        <v>0.15820000000000001</v>
      </c>
      <c r="AB514" s="9">
        <v>-6.3423000000000006E-5</v>
      </c>
      <c r="AC514" s="10">
        <v>-1.9957999999999999E-7</v>
      </c>
      <c r="AD514" s="146">
        <v>66.605999999999995</v>
      </c>
      <c r="AE514" s="147">
        <v>0.38</v>
      </c>
      <c r="AF514" s="150">
        <v>51.164000000000001</v>
      </c>
      <c r="AG514" s="152">
        <v>1.2222</v>
      </c>
    </row>
    <row r="515" spans="1:33" x14ac:dyDescent="0.2">
      <c r="A515" s="27">
        <v>12</v>
      </c>
      <c r="B515" s="69">
        <v>11.571321656249999</v>
      </c>
      <c r="C515" s="28">
        <f t="shared" si="32"/>
        <v>0.6510067184262277</v>
      </c>
      <c r="D515" s="52">
        <v>170.33799999999999</v>
      </c>
      <c r="E515" s="48">
        <v>644.79999999999995</v>
      </c>
      <c r="F515" s="48">
        <v>18.39</v>
      </c>
      <c r="G515" s="35">
        <v>6.8550000000000002E-4</v>
      </c>
      <c r="H515" s="61">
        <f t="shared" ref="H515:H555" si="33">1/LEFT(G515,8)*D515/1000</f>
        <v>248.66861313868614</v>
      </c>
      <c r="I515" s="29">
        <f t="shared" ref="I515:I555" si="34">LEFT(F515,5)*100000/(H515*8.314/(D515/1000)*E515)</f>
        <v>0.23498343700810193</v>
      </c>
      <c r="J515" s="55">
        <v>0.40300000000000002</v>
      </c>
      <c r="K515" s="76">
        <v>-4.7081</v>
      </c>
      <c r="L515" s="82">
        <v>972.82</v>
      </c>
      <c r="M515" s="85">
        <v>7.6E-3</v>
      </c>
      <c r="N515" s="4">
        <v>-7.3825E-6</v>
      </c>
      <c r="O515" s="96">
        <v>0.2485</v>
      </c>
      <c r="P515" s="97">
        <v>0.26379999999999998</v>
      </c>
      <c r="Q515" s="98">
        <v>0.28570000000000001</v>
      </c>
      <c r="R515" s="113" t="str" cm="1">
        <f t="array" ref="R515">LEFT(INDEX($R$292:$R$645, MATCH(MIN(IF(ABS($B$292:$B$645-B515)&lt;&gt;0, ABS($B$292:$B$645-B515))), IF(ABS($B$292:$B$645-B515)&lt;&gt;0, ABS($B$292:$B$645-B515)), 0)),7)</f>
        <v>25.479</v>
      </c>
      <c r="S515" s="119" cm="1">
        <f t="array" ref="S515">INDEX($S$292:$S$645, MATCH(MIN(IF(ABS($B$292:$B$645-B515)&lt;&gt;0, ABS($B$292:$B$645-B515))), IF(ABS($B$292:$B$645-B515)&lt;&gt;0, ABS($B$292:$B$645-B515)), 0))</f>
        <v>-3393.1</v>
      </c>
      <c r="T515" s="126" cm="1">
        <f t="array" ref="T515">INDEX($T$292:$T$645, MATCH(MIN(IF(ABS($B$292:$B$645-B515)&lt;&gt;0, ABS($B$292:$B$645-B515))), IF(ABS($B$292:$B$645-B515)&lt;&gt;0, ABS($B$292:$B$645-B515)), 0))</f>
        <v>-5.7050000000000001</v>
      </c>
      <c r="U515" s="37" cm="1">
        <f t="array" ref="U515">INDEX($U$292:$U$645, MATCH(MIN(IF(ABS($B$292:$B$645-B515)&lt;&gt;0, ABS($B$292:$B$645-B515))), IF(ABS($B$292:$B$645-B515)&lt;&gt;0, ABS($B$292:$B$645-B515)), 0))</f>
        <v>0</v>
      </c>
      <c r="V515" s="133" cm="1">
        <f t="array" ref="V515">INDEX($V$292:$V$645, MATCH(MIN(IF(ABS($B$292:$B$645-B515)&lt;&gt;0, ABS($B$292:$B$645-B515))), IF(ABS($B$292:$B$645-B515)&lt;&gt;0, ABS($B$292:$B$645-B515)), 0))</f>
        <v>0</v>
      </c>
      <c r="W515" s="139">
        <v>209.16200000000001</v>
      </c>
      <c r="X515" s="7">
        <v>0.94294</v>
      </c>
      <c r="Y515" s="8">
        <v>-2.4440999999999998E-3</v>
      </c>
      <c r="Z515" s="33">
        <v>3.0861E-6</v>
      </c>
      <c r="AA515" s="141">
        <v>0.15459999999999999</v>
      </c>
      <c r="AB515" s="9">
        <v>-5.3937000000000002E-5</v>
      </c>
      <c r="AC515" s="10">
        <v>-2.0557000000000001E-7</v>
      </c>
      <c r="AD515" s="146">
        <v>65.894000000000005</v>
      </c>
      <c r="AE515" s="147">
        <v>0.38</v>
      </c>
      <c r="AF515" s="150">
        <v>50.734999999999999</v>
      </c>
      <c r="AG515" s="152">
        <v>1.2222</v>
      </c>
    </row>
    <row r="516" spans="1:33" x14ac:dyDescent="0.2">
      <c r="A516" s="27">
        <v>12</v>
      </c>
      <c r="B516" s="69">
        <v>9.8290114249999991</v>
      </c>
      <c r="C516" s="28">
        <f t="shared" si="32"/>
        <v>0.54146155384269701</v>
      </c>
      <c r="D516" s="52">
        <v>170.33799999999999</v>
      </c>
      <c r="E516" s="48">
        <v>634</v>
      </c>
      <c r="F516" s="48">
        <v>18.34</v>
      </c>
      <c r="G516" s="35">
        <v>6.845E-4</v>
      </c>
      <c r="H516" s="61">
        <f t="shared" si="33"/>
        <v>249.03216374269002</v>
      </c>
      <c r="I516" s="29">
        <f t="shared" si="34"/>
        <v>0.23798860042996917</v>
      </c>
      <c r="J516" s="55">
        <v>0.432</v>
      </c>
      <c r="K516" s="76">
        <v>-4.8373999999999997</v>
      </c>
      <c r="L516" s="82">
        <v>975.44</v>
      </c>
      <c r="M516" s="85">
        <v>8.0999999999999996E-3</v>
      </c>
      <c r="N516" s="4">
        <v>-7.9890999999999995E-6</v>
      </c>
      <c r="O516" s="96">
        <v>0.24890000000000001</v>
      </c>
      <c r="P516" s="97">
        <v>0.26550000000000001</v>
      </c>
      <c r="Q516" s="98">
        <v>0.28570000000000001</v>
      </c>
      <c r="R516" s="113" t="str" cm="1">
        <f t="array" ref="R516">LEFT(INDEX($R$292:$R$645, MATCH(MIN(IF(ABS($B$292:$B$645-B516)&lt;&gt;0, ABS($B$292:$B$645-B516))), IF(ABS($B$292:$B$645-B516)&lt;&gt;0, ABS($B$292:$B$645-B516)), 0)),7)</f>
        <v>25.673</v>
      </c>
      <c r="S516" s="119" cm="1">
        <f t="array" ref="S516">INDEX($S$292:$S$645, MATCH(MIN(IF(ABS($B$292:$B$645-B516)&lt;&gt;0, ABS($B$292:$B$645-B516))), IF(ABS($B$292:$B$645-B516)&lt;&gt;0, ABS($B$292:$B$645-B516)), 0))</f>
        <v>-3451.7</v>
      </c>
      <c r="T516" s="126" cm="1">
        <f t="array" ref="T516">INDEX($T$292:$T$645, MATCH(MIN(IF(ABS($B$292:$B$645-B516)&lt;&gt;0, ABS($B$292:$B$645-B516))), IF(ABS($B$292:$B$645-B516)&lt;&gt;0, ABS($B$292:$B$645-B516)), 0))</f>
        <v>-5.7423000000000002</v>
      </c>
      <c r="U516" s="37" cm="1">
        <f t="array" ref="U516">INDEX($U$292:$U$645, MATCH(MIN(IF(ABS($B$292:$B$645-B516)&lt;&gt;0, ABS($B$292:$B$645-B516))), IF(ABS($B$292:$B$645-B516)&lt;&gt;0, ABS($B$292:$B$645-B516)), 0))</f>
        <v>0</v>
      </c>
      <c r="V516" s="133" cm="1">
        <f t="array" ref="V516">INDEX($V$292:$V$645, MATCH(MIN(IF(ABS($B$292:$B$645-B516)&lt;&gt;0, ABS($B$292:$B$645-B516))), IF(ABS($B$292:$B$645-B516)&lt;&gt;0, ABS($B$292:$B$645-B516)), 0))</f>
        <v>0</v>
      </c>
      <c r="W516" s="139">
        <v>220.09899999999999</v>
      </c>
      <c r="X516" s="7">
        <v>0.89641999999999999</v>
      </c>
      <c r="Y516" s="8">
        <v>-2.3966E-3</v>
      </c>
      <c r="Z516" s="33">
        <v>3.1578000000000001E-6</v>
      </c>
      <c r="AA516" s="141">
        <v>0.15809999999999999</v>
      </c>
      <c r="AB516" s="9">
        <v>-6.3947000000000003E-5</v>
      </c>
      <c r="AC516" s="10">
        <v>-2.0583000000000001E-7</v>
      </c>
      <c r="AD516" s="146">
        <v>65.513999999999996</v>
      </c>
      <c r="AE516" s="147">
        <v>0.38</v>
      </c>
      <c r="AF516" s="150">
        <v>50.893999999999998</v>
      </c>
      <c r="AG516" s="152">
        <v>1.2222</v>
      </c>
    </row>
    <row r="517" spans="1:33" x14ac:dyDescent="0.2">
      <c r="A517" s="27">
        <v>12</v>
      </c>
      <c r="B517" s="69">
        <v>7.3894938787499997</v>
      </c>
      <c r="C517" s="28">
        <f t="shared" si="32"/>
        <v>0.3880805162322819</v>
      </c>
      <c r="D517" s="52">
        <v>170.33799999999999</v>
      </c>
      <c r="E517" s="48">
        <v>643.97</v>
      </c>
      <c r="F517" s="48">
        <v>18.29</v>
      </c>
      <c r="G517" s="35">
        <v>6.8349999999999997E-4</v>
      </c>
      <c r="H517" s="61">
        <f t="shared" si="33"/>
        <v>249.39677891654466</v>
      </c>
      <c r="I517" s="29">
        <f t="shared" si="34"/>
        <v>0.23332364543822007</v>
      </c>
      <c r="J517" s="55">
        <v>0.46200000000000002</v>
      </c>
      <c r="K517" s="76">
        <v>-5.2964000000000002</v>
      </c>
      <c r="L517" s="82">
        <v>1055.2</v>
      </c>
      <c r="M517" s="85">
        <v>8.9999999999999993E-3</v>
      </c>
      <c r="N517" s="4">
        <v>-8.5938000000000006E-6</v>
      </c>
      <c r="O517" s="96">
        <v>0.2492</v>
      </c>
      <c r="P517" s="97">
        <v>0.25950000000000001</v>
      </c>
      <c r="Q517" s="98">
        <v>0.28570000000000001</v>
      </c>
      <c r="R517" s="113" t="str" cm="1">
        <f t="array" ref="R517">LEFT(INDEX($R$292:$R$645, MATCH(MIN(IF(ABS($B$292:$B$645-B517)&lt;&gt;0, ABS($B$292:$B$645-B517))), IF(ABS($B$292:$B$645-B517)&lt;&gt;0, ABS($B$292:$B$645-B517)), 0)),7)</f>
        <v>25.775</v>
      </c>
      <c r="S517" s="119" cm="1">
        <f t="array" ref="S517">INDEX($S$292:$S$645, MATCH(MIN(IF(ABS($B$292:$B$645-B517)&lt;&gt;0, ABS($B$292:$B$645-B517))), IF(ABS($B$292:$B$645-B517)&lt;&gt;0, ABS($B$292:$B$645-B517)), 0))</f>
        <v>-3518.5</v>
      </c>
      <c r="T517" s="126" cm="1">
        <f t="array" ref="T517">INDEX($T$292:$T$645, MATCH(MIN(IF(ABS($B$292:$B$645-B517)&lt;&gt;0, ABS($B$292:$B$645-B517))), IF(ABS($B$292:$B$645-B517)&lt;&gt;0, ABS($B$292:$B$645-B517)), 0))</f>
        <v>-5.7468000000000004</v>
      </c>
      <c r="U517" s="37" cm="1">
        <f t="array" ref="U517">INDEX($U$292:$U$645, MATCH(MIN(IF(ABS($B$292:$B$645-B517)&lt;&gt;0, ABS($B$292:$B$645-B517))), IF(ABS($B$292:$B$645-B517)&lt;&gt;0, ABS($B$292:$B$645-B517)), 0))</f>
        <v>0</v>
      </c>
      <c r="V517" s="133" cm="1">
        <f t="array" ref="V517">INDEX($V$292:$V$645, MATCH(MIN(IF(ABS($B$292:$B$645-B517)&lt;&gt;0, ABS($B$292:$B$645-B517))), IF(ABS($B$292:$B$645-B517)&lt;&gt;0, ABS($B$292:$B$645-B517)), 0))</f>
        <v>0</v>
      </c>
      <c r="W517" s="139">
        <v>236.51900000000001</v>
      </c>
      <c r="X517" s="7">
        <v>0.80923</v>
      </c>
      <c r="Y517" s="8">
        <v>-2.1824000000000001E-3</v>
      </c>
      <c r="Z517" s="33">
        <v>2.9728999999999999E-6</v>
      </c>
      <c r="AA517" s="141">
        <v>0.16170000000000001</v>
      </c>
      <c r="AB517" s="9">
        <v>-7.2148000000000001E-5</v>
      </c>
      <c r="AC517" s="10">
        <v>-1.9334999999999999E-7</v>
      </c>
      <c r="AD517" s="146">
        <v>67.477999999999994</v>
      </c>
      <c r="AE517" s="147">
        <v>0.38</v>
      </c>
      <c r="AF517" s="150">
        <v>51.643000000000001</v>
      </c>
      <c r="AG517" s="152">
        <v>1.2222</v>
      </c>
    </row>
    <row r="518" spans="1:33" x14ac:dyDescent="0.2">
      <c r="A518" s="27">
        <v>12</v>
      </c>
      <c r="B518" s="69">
        <v>10.515468224999999</v>
      </c>
      <c r="C518" s="28">
        <f t="shared" si="32"/>
        <v>0.58462150422738468</v>
      </c>
      <c r="D518" s="52">
        <v>170.33799999999999</v>
      </c>
      <c r="E518" s="48">
        <v>639.52</v>
      </c>
      <c r="F518" s="48">
        <v>18.34</v>
      </c>
      <c r="G518" s="35">
        <v>6.845E-4</v>
      </c>
      <c r="H518" s="61">
        <f t="shared" si="33"/>
        <v>249.03216374269002</v>
      </c>
      <c r="I518" s="29">
        <f t="shared" si="34"/>
        <v>0.23593440810701846</v>
      </c>
      <c r="J518" s="55">
        <v>0.432</v>
      </c>
      <c r="K518" s="76">
        <v>-4.93</v>
      </c>
      <c r="L518" s="82">
        <v>996.64</v>
      </c>
      <c r="M518" s="85">
        <v>8.2000000000000007E-3</v>
      </c>
      <c r="N518" s="4">
        <v>-7.9963E-6</v>
      </c>
      <c r="O518" s="96">
        <v>0.24890000000000001</v>
      </c>
      <c r="P518" s="97">
        <v>0.26829999999999998</v>
      </c>
      <c r="Q518" s="98">
        <v>0.28570000000000001</v>
      </c>
      <c r="R518" s="113" t="str" cm="1">
        <f t="array" ref="R518">LEFT(INDEX($R$292:$R$645, MATCH(MIN(IF(ABS($B$292:$B$645-B518)&lt;&gt;0, ABS($B$292:$B$645-B518))), IF(ABS($B$292:$B$645-B518)&lt;&gt;0, ABS($B$292:$B$645-B518)), 0)),7)</f>
        <v>25.217</v>
      </c>
      <c r="S518" s="119" cm="1">
        <f t="array" ref="S518">INDEX($S$292:$S$645, MATCH(MIN(IF(ABS($B$292:$B$645-B518)&lt;&gt;0, ABS($B$292:$B$645-B518))), IF(ABS($B$292:$B$645-B518)&lt;&gt;0, ABS($B$292:$B$645-B518)), 0))</f>
        <v>-3413.7</v>
      </c>
      <c r="T518" s="126" cm="1">
        <f t="array" ref="T518">INDEX($T$292:$T$645, MATCH(MIN(IF(ABS($B$292:$B$645-B518)&lt;&gt;0, ABS($B$292:$B$645-B518))), IF(ABS($B$292:$B$645-B518)&lt;&gt;0, ABS($B$292:$B$645-B518)), 0))</f>
        <v>-5.6127000000000002</v>
      </c>
      <c r="U518" s="37" cm="1">
        <f t="array" ref="U518">INDEX($U$292:$U$645, MATCH(MIN(IF(ABS($B$292:$B$645-B518)&lt;&gt;0, ABS($B$292:$B$645-B518))), IF(ABS($B$292:$B$645-B518)&lt;&gt;0, ABS($B$292:$B$645-B518)), 0))</f>
        <v>0</v>
      </c>
      <c r="V518" s="133" cm="1">
        <f t="array" ref="V518">INDEX($V$292:$V$645, MATCH(MIN(IF(ABS($B$292:$B$645-B518)&lt;&gt;0, ABS($B$292:$B$645-B518))), IF(ABS($B$292:$B$645-B518)&lt;&gt;0, ABS($B$292:$B$645-B518)), 0))</f>
        <v>0</v>
      </c>
      <c r="W518" s="139">
        <v>223.96799999999999</v>
      </c>
      <c r="X518" s="7">
        <v>0.86728000000000005</v>
      </c>
      <c r="Y518" s="8">
        <v>-2.2975000000000001E-3</v>
      </c>
      <c r="Z518" s="33">
        <v>3.0209000000000002E-6</v>
      </c>
      <c r="AA518" s="141">
        <v>0.15820000000000001</v>
      </c>
      <c r="AB518" s="9">
        <v>-6.3647999999999998E-5</v>
      </c>
      <c r="AC518" s="10">
        <v>-2.0221999999999999E-7</v>
      </c>
      <c r="AD518" s="146">
        <v>66.138000000000005</v>
      </c>
      <c r="AE518" s="147">
        <v>0.38</v>
      </c>
      <c r="AF518" s="150">
        <v>51.048000000000002</v>
      </c>
      <c r="AG518" s="152">
        <v>1.2222</v>
      </c>
    </row>
    <row r="519" spans="1:33" x14ac:dyDescent="0.2">
      <c r="A519" s="27">
        <v>12</v>
      </c>
      <c r="B519" s="69">
        <v>9.2500101650000008</v>
      </c>
      <c r="C519" s="28">
        <f t="shared" si="32"/>
        <v>0.50505771072500683</v>
      </c>
      <c r="D519" s="52">
        <v>170.33799999999999</v>
      </c>
      <c r="E519" s="48">
        <v>639.52</v>
      </c>
      <c r="F519" s="48">
        <v>18.34</v>
      </c>
      <c r="G519" s="35">
        <v>6.845E-4</v>
      </c>
      <c r="H519" s="61">
        <f t="shared" si="33"/>
        <v>249.03216374269002</v>
      </c>
      <c r="I519" s="29">
        <f t="shared" si="34"/>
        <v>0.23593440810701846</v>
      </c>
      <c r="J519" s="55">
        <v>0.432</v>
      </c>
      <c r="K519" s="76">
        <v>-4.93</v>
      </c>
      <c r="L519" s="82">
        <v>996.64</v>
      </c>
      <c r="M519" s="85">
        <v>8.2000000000000007E-3</v>
      </c>
      <c r="N519" s="4">
        <v>-7.9963E-6</v>
      </c>
      <c r="O519" s="96">
        <v>0.24890000000000001</v>
      </c>
      <c r="P519" s="97">
        <v>0.26100000000000001</v>
      </c>
      <c r="Q519" s="98">
        <v>0.28570000000000001</v>
      </c>
      <c r="R519" s="113" t="str" cm="1">
        <f t="array" ref="R519">LEFT(INDEX($R$292:$R$645, MATCH(MIN(IF(ABS($B$292:$B$645-B519)&lt;&gt;0, ABS($B$292:$B$645-B519))), IF(ABS($B$292:$B$645-B519)&lt;&gt;0, ABS($B$292:$B$645-B519)), 0)),7)</f>
        <v>25.443</v>
      </c>
      <c r="S519" s="119" cm="1">
        <f t="array" ref="S519">INDEX($S$292:$S$645, MATCH(MIN(IF(ABS($B$292:$B$645-B519)&lt;&gt;0, ABS($B$292:$B$645-B519))), IF(ABS($B$292:$B$645-B519)&lt;&gt;0, ABS($B$292:$B$645-B519)), 0))</f>
        <v>-3470.1</v>
      </c>
      <c r="T519" s="126" cm="1">
        <f t="array" ref="T519">INDEX($T$292:$T$645, MATCH(MIN(IF(ABS($B$292:$B$645-B519)&lt;&gt;0, ABS($B$292:$B$645-B519))), IF(ABS($B$292:$B$645-B519)&lt;&gt;0, ABS($B$292:$B$645-B519)), 0))</f>
        <v>-5.6614000000000004</v>
      </c>
      <c r="U519" s="37" cm="1">
        <f t="array" ref="U519">INDEX($U$292:$U$645, MATCH(MIN(IF(ABS($B$292:$B$645-B519)&lt;&gt;0, ABS($B$292:$B$645-B519))), IF(ABS($B$292:$B$645-B519)&lt;&gt;0, ABS($B$292:$B$645-B519)), 0))</f>
        <v>0</v>
      </c>
      <c r="V519" s="133" cm="1">
        <f t="array" ref="V519">INDEX($V$292:$V$645, MATCH(MIN(IF(ABS($B$292:$B$645-B519)&lt;&gt;0, ABS($B$292:$B$645-B519))), IF(ABS($B$292:$B$645-B519)&lt;&gt;0, ABS($B$292:$B$645-B519)), 0))</f>
        <v>0</v>
      </c>
      <c r="W519" s="139">
        <v>220.518</v>
      </c>
      <c r="X519" s="7">
        <v>0.89312000000000002</v>
      </c>
      <c r="Y519" s="8">
        <v>-2.3746000000000001E-3</v>
      </c>
      <c r="Z519" s="33">
        <v>3.1188000000000001E-6</v>
      </c>
      <c r="AA519" s="141">
        <v>0.15820000000000001</v>
      </c>
      <c r="AB519" s="9">
        <v>-6.3647999999999998E-5</v>
      </c>
      <c r="AC519" s="10">
        <v>-2.0221999999999999E-7</v>
      </c>
      <c r="AD519" s="146">
        <v>66.138000000000005</v>
      </c>
      <c r="AE519" s="147">
        <v>0.38</v>
      </c>
      <c r="AF519" s="150">
        <v>51.048000000000002</v>
      </c>
      <c r="AG519" s="152">
        <v>1.2222</v>
      </c>
    </row>
    <row r="520" spans="1:33" x14ac:dyDescent="0.2">
      <c r="A520" s="27">
        <v>12</v>
      </c>
      <c r="B520" s="69">
        <v>8.3721163500000007</v>
      </c>
      <c r="C520" s="28">
        <f t="shared" si="32"/>
        <v>0.44986144273199652</v>
      </c>
      <c r="D520" s="52">
        <v>170.33799999999999</v>
      </c>
      <c r="E520" s="48">
        <v>642.6</v>
      </c>
      <c r="F520" s="48">
        <v>18.29</v>
      </c>
      <c r="G520" s="35">
        <v>6.8349999999999997E-4</v>
      </c>
      <c r="H520" s="61">
        <f t="shared" si="33"/>
        <v>249.39677891654466</v>
      </c>
      <c r="I520" s="29">
        <f t="shared" si="34"/>
        <v>0.23382108302653376</v>
      </c>
      <c r="J520" s="55">
        <v>0.46200000000000002</v>
      </c>
      <c r="K520" s="76">
        <v>-5.2788000000000004</v>
      </c>
      <c r="L520" s="82">
        <v>1050.5999999999999</v>
      </c>
      <c r="M520" s="85">
        <v>8.9999999999999993E-3</v>
      </c>
      <c r="N520" s="4">
        <v>-8.6023999999999992E-6</v>
      </c>
      <c r="O520" s="96">
        <v>0.2492</v>
      </c>
      <c r="P520" s="97">
        <v>0.26419999999999999</v>
      </c>
      <c r="Q520" s="98">
        <v>0.28570000000000001</v>
      </c>
      <c r="R520" s="113" t="str" cm="1">
        <f t="array" ref="R520">LEFT(INDEX($R$292:$R$645, MATCH(MIN(IF(ABS($B$292:$B$645-B520)&lt;&gt;0, ABS($B$292:$B$645-B520))), IF(ABS($B$292:$B$645-B520)&lt;&gt;0, ABS($B$292:$B$645-B520)), 0)),7)</f>
        <v>25.831</v>
      </c>
      <c r="S520" s="119" cm="1">
        <f t="array" ref="S520">INDEX($S$292:$S$645, MATCH(MIN(IF(ABS($B$292:$B$645-B520)&lt;&gt;0, ABS($B$292:$B$645-B520))), IF(ABS($B$292:$B$645-B520)&lt;&gt;0, ABS($B$292:$B$645-B520)), 0))</f>
        <v>-3514</v>
      </c>
      <c r="T520" s="126" cm="1">
        <f t="array" ref="T520">INDEX($T$292:$T$645, MATCH(MIN(IF(ABS($B$292:$B$645-B520)&lt;&gt;0, ABS($B$292:$B$645-B520))), IF(ABS($B$292:$B$645-B520)&lt;&gt;0, ABS($B$292:$B$645-B520)), 0))</f>
        <v>-5.7663000000000002</v>
      </c>
      <c r="U520" s="37" cm="1">
        <f t="array" ref="U520">INDEX($U$292:$U$645, MATCH(MIN(IF(ABS($B$292:$B$645-B520)&lt;&gt;0, ABS($B$292:$B$645-B520))), IF(ABS($B$292:$B$645-B520)&lt;&gt;0, ABS($B$292:$B$645-B520)), 0))</f>
        <v>0</v>
      </c>
      <c r="V520" s="133" cm="1">
        <f t="array" ref="V520">INDEX($V$292:$V$645, MATCH(MIN(IF(ABS($B$292:$B$645-B520)&lt;&gt;0, ABS($B$292:$B$645-B520))), IF(ABS($B$292:$B$645-B520)&lt;&gt;0, ABS($B$292:$B$645-B520)), 0))</f>
        <v>0</v>
      </c>
      <c r="W520" s="139">
        <v>237.94</v>
      </c>
      <c r="X520" s="7">
        <v>0.79832000000000003</v>
      </c>
      <c r="Y520" s="8">
        <v>-2.1516999999999999E-3</v>
      </c>
      <c r="Z520" s="33">
        <v>2.9351999999999999E-6</v>
      </c>
      <c r="AA520" s="141">
        <v>0.16170000000000001</v>
      </c>
      <c r="AB520" s="9">
        <v>-7.2266000000000002E-5</v>
      </c>
      <c r="AC520" s="10">
        <v>-1.9417E-7</v>
      </c>
      <c r="AD520" s="146">
        <v>67.320999999999998</v>
      </c>
      <c r="AE520" s="147">
        <v>0.38</v>
      </c>
      <c r="AF520" s="150">
        <v>51.604999999999997</v>
      </c>
      <c r="AG520" s="152">
        <v>1.2222</v>
      </c>
    </row>
    <row r="521" spans="1:33" x14ac:dyDescent="0.2">
      <c r="A521" s="27">
        <v>12</v>
      </c>
      <c r="B521" s="69">
        <v>9.4338396687500001</v>
      </c>
      <c r="C521" s="28">
        <f t="shared" si="32"/>
        <v>0.51661571737756196</v>
      </c>
      <c r="D521" s="52">
        <v>170.33799999999999</v>
      </c>
      <c r="E521" s="48">
        <v>642.27</v>
      </c>
      <c r="F521" s="48">
        <v>18.34</v>
      </c>
      <c r="G521" s="35">
        <v>6.845E-4</v>
      </c>
      <c r="H521" s="61">
        <f t="shared" si="33"/>
        <v>249.03216374269002</v>
      </c>
      <c r="I521" s="29">
        <f t="shared" si="34"/>
        <v>0.23492421049184994</v>
      </c>
      <c r="J521" s="55">
        <v>0.432</v>
      </c>
      <c r="K521" s="76">
        <v>-4.9721000000000002</v>
      </c>
      <c r="L521" s="82">
        <v>1006.7</v>
      </c>
      <c r="M521" s="85">
        <v>8.3000000000000001E-3</v>
      </c>
      <c r="N521" s="4">
        <v>-7.9935999999999992E-6</v>
      </c>
      <c r="O521" s="96">
        <v>0.24890000000000001</v>
      </c>
      <c r="P521" s="97">
        <v>0.2636</v>
      </c>
      <c r="Q521" s="98">
        <v>0.28570000000000001</v>
      </c>
      <c r="R521" s="113" t="str" cm="1">
        <f t="array" ref="R521">LEFT(INDEX($R$292:$R$645, MATCH(MIN(IF(ABS($B$292:$B$645-B521)&lt;&gt;0, ABS($B$292:$B$645-B521))), IF(ABS($B$292:$B$645-B521)&lt;&gt;0, ABS($B$292:$B$645-B521)), 0)),7)</f>
        <v>25.308</v>
      </c>
      <c r="S521" s="119" cm="1">
        <f t="array" ref="S521">INDEX($S$292:$S$645, MATCH(MIN(IF(ABS($B$292:$B$645-B521)&lt;&gt;0, ABS($B$292:$B$645-B521))), IF(ABS($B$292:$B$645-B521)&lt;&gt;0, ABS($B$292:$B$645-B521)), 0))</f>
        <v>-3481.2</v>
      </c>
      <c r="T521" s="126" cm="1">
        <f t="array" ref="T521">INDEX($T$292:$T$645, MATCH(MIN(IF(ABS($B$292:$B$645-B521)&lt;&gt;0, ABS($B$292:$B$645-B521))), IF(ABS($B$292:$B$645-B521)&lt;&gt;0, ABS($B$292:$B$645-B521)), 0))</f>
        <v>-5.6139000000000001</v>
      </c>
      <c r="U521" s="37" cm="1">
        <f t="array" ref="U521">INDEX($U$292:$U$645, MATCH(MIN(IF(ABS($B$292:$B$645-B521)&lt;&gt;0, ABS($B$292:$B$645-B521))), IF(ABS($B$292:$B$645-B521)&lt;&gt;0, ABS($B$292:$B$645-B521)), 0))</f>
        <v>0</v>
      </c>
      <c r="V521" s="133" cm="1">
        <f t="array" ref="V521">INDEX($V$292:$V$645, MATCH(MIN(IF(ABS($B$292:$B$645-B521)&lt;&gt;0, ABS($B$292:$B$645-B521))), IF(ABS($B$292:$B$645-B521)&lt;&gt;0, ABS($B$292:$B$645-B521)), 0))</f>
        <v>0</v>
      </c>
      <c r="W521" s="139">
        <v>223.02</v>
      </c>
      <c r="X521" s="7">
        <v>0.87433000000000005</v>
      </c>
      <c r="Y521" s="8">
        <v>-2.3127E-3</v>
      </c>
      <c r="Z521" s="33">
        <v>3.0348000000000001E-6</v>
      </c>
      <c r="AA521" s="141">
        <v>0.15820000000000001</v>
      </c>
      <c r="AB521" s="9">
        <v>-6.3497999999999994E-5</v>
      </c>
      <c r="AC521" s="10">
        <v>-2.0045E-7</v>
      </c>
      <c r="AD521" s="146">
        <v>66.45</v>
      </c>
      <c r="AE521" s="147">
        <v>0.38</v>
      </c>
      <c r="AF521" s="150">
        <v>51.125</v>
      </c>
      <c r="AG521" s="152">
        <v>1.2222</v>
      </c>
    </row>
    <row r="522" spans="1:33" x14ac:dyDescent="0.2">
      <c r="A522" s="27">
        <v>12</v>
      </c>
      <c r="B522" s="69">
        <v>7.6931290237500001</v>
      </c>
      <c r="C522" s="28">
        <f t="shared" si="32"/>
        <v>0.40717112440055631</v>
      </c>
      <c r="D522" s="52">
        <v>170.33799999999999</v>
      </c>
      <c r="E522" s="48">
        <v>641.23</v>
      </c>
      <c r="F522" s="48">
        <v>18.29</v>
      </c>
      <c r="G522" s="35">
        <v>6.8349999999999997E-4</v>
      </c>
      <c r="H522" s="61">
        <f t="shared" si="33"/>
        <v>249.39677891654466</v>
      </c>
      <c r="I522" s="29">
        <f t="shared" si="34"/>
        <v>0.23432064618444332</v>
      </c>
      <c r="J522" s="55">
        <v>0.46200000000000002</v>
      </c>
      <c r="K522" s="76">
        <v>-5.2606000000000002</v>
      </c>
      <c r="L522" s="82">
        <v>1046</v>
      </c>
      <c r="M522" s="85">
        <v>8.9999999999999993E-3</v>
      </c>
      <c r="N522" s="4">
        <v>-8.6101999999999993E-6</v>
      </c>
      <c r="O522" s="96">
        <v>0.2492</v>
      </c>
      <c r="P522" s="97">
        <v>0.26169999999999999</v>
      </c>
      <c r="Q522" s="98">
        <v>0.28570000000000001</v>
      </c>
      <c r="R522" s="113" t="str" cm="1">
        <f t="array" ref="R522">LEFT(INDEX($R$292:$R$645, MATCH(MIN(IF(ABS($B$292:$B$645-B522)&lt;&gt;0, ABS($B$292:$B$645-B522))), IF(ABS($B$292:$B$645-B522)&lt;&gt;0, ABS($B$292:$B$645-B522)), 0)),7)</f>
        <v>25.868</v>
      </c>
      <c r="S522" s="119" cm="1">
        <f t="array" ref="S522">INDEX($S$292:$S$645, MATCH(MIN(IF(ABS($B$292:$B$645-B522)&lt;&gt;0, ABS($B$292:$B$645-B522))), IF(ABS($B$292:$B$645-B522)&lt;&gt;0, ABS($B$292:$B$645-B522)), 0))</f>
        <v>-3511</v>
      </c>
      <c r="T522" s="126" cm="1">
        <f t="array" ref="T522">INDEX($T$292:$T$645, MATCH(MIN(IF(ABS($B$292:$B$645-B522)&lt;&gt;0, ABS($B$292:$B$645-B522))), IF(ABS($B$292:$B$645-B522)&lt;&gt;0, ABS($B$292:$B$645-B522)), 0))</f>
        <v>-5.7793000000000001</v>
      </c>
      <c r="U522" s="37" cm="1">
        <f t="array" ref="U522">INDEX($U$292:$U$645, MATCH(MIN(IF(ABS($B$292:$B$645-B522)&lt;&gt;0, ABS($B$292:$B$645-B522))), IF(ABS($B$292:$B$645-B522)&lt;&gt;0, ABS($B$292:$B$645-B522)), 0))</f>
        <v>0</v>
      </c>
      <c r="V522" s="133" cm="1">
        <f t="array" ref="V522">INDEX($V$292:$V$645, MATCH(MIN(IF(ABS($B$292:$B$645-B522)&lt;&gt;0, ABS($B$292:$B$645-B522))), IF(ABS($B$292:$B$645-B522)&lt;&gt;0, ABS($B$292:$B$645-B522)), 0))</f>
        <v>0</v>
      </c>
      <c r="W522" s="139">
        <v>236.327</v>
      </c>
      <c r="X522" s="7">
        <v>0.81040000000000001</v>
      </c>
      <c r="Y522" s="8">
        <v>-2.1914999999999999E-3</v>
      </c>
      <c r="Z522" s="33">
        <v>2.9904000000000002E-6</v>
      </c>
      <c r="AA522" s="141">
        <v>0.16170000000000001</v>
      </c>
      <c r="AB522" s="9">
        <v>-7.2384000000000004E-5</v>
      </c>
      <c r="AC522" s="10">
        <v>-1.9499E-7</v>
      </c>
      <c r="AD522" s="146">
        <v>67.164000000000001</v>
      </c>
      <c r="AE522" s="147">
        <v>0.38</v>
      </c>
      <c r="AF522" s="150">
        <v>51.566000000000003</v>
      </c>
      <c r="AG522" s="152">
        <v>1.2222</v>
      </c>
    </row>
    <row r="523" spans="1:33" x14ac:dyDescent="0.2">
      <c r="A523" s="27">
        <v>12</v>
      </c>
      <c r="B523" s="69">
        <v>9.4308359437499991</v>
      </c>
      <c r="C523" s="28">
        <f t="shared" si="32"/>
        <v>0.51642686263540005</v>
      </c>
      <c r="D523" s="52">
        <v>170.33799999999999</v>
      </c>
      <c r="E523" s="47">
        <v>645.03</v>
      </c>
      <c r="F523" s="44">
        <v>18.34</v>
      </c>
      <c r="G523" s="11">
        <v>6.845E-4</v>
      </c>
      <c r="H523" s="61">
        <f t="shared" si="33"/>
        <v>249.03216374269002</v>
      </c>
      <c r="I523" s="29">
        <f t="shared" si="34"/>
        <v>0.23391900015906308</v>
      </c>
      <c r="J523" s="52">
        <v>0.432</v>
      </c>
      <c r="K523" s="75">
        <v>-5.0117000000000003</v>
      </c>
      <c r="L523" s="81">
        <v>1016.3</v>
      </c>
      <c r="M523" s="13">
        <v>8.3000000000000001E-3</v>
      </c>
      <c r="N523" s="12">
        <v>-7.9872000000000004E-6</v>
      </c>
      <c r="O523" s="93">
        <v>0.24890000000000001</v>
      </c>
      <c r="P523" s="94">
        <v>0.26429999999999998</v>
      </c>
      <c r="Q523" s="95">
        <v>0.28570000000000001</v>
      </c>
      <c r="R523" s="111">
        <v>25.308</v>
      </c>
      <c r="S523" s="118">
        <v>-3481.2</v>
      </c>
      <c r="T523" s="125">
        <v>-5.6139000000000001</v>
      </c>
      <c r="U523" s="14">
        <v>0</v>
      </c>
      <c r="V523" s="30">
        <v>0</v>
      </c>
      <c r="W523" s="138">
        <v>224.60900000000001</v>
      </c>
      <c r="X523" s="13">
        <v>0.86246</v>
      </c>
      <c r="Y523" s="14">
        <v>-2.2715999999999999E-3</v>
      </c>
      <c r="Z523" s="30">
        <v>2.9776000000000001E-6</v>
      </c>
      <c r="AA523" s="77">
        <v>0.1583</v>
      </c>
      <c r="AB523" s="5">
        <v>-6.3348000000000004E-5</v>
      </c>
      <c r="AC523" s="15">
        <v>-1.9871000000000001E-7</v>
      </c>
      <c r="AD523" s="146">
        <v>66.762</v>
      </c>
      <c r="AE523" s="147">
        <v>0.38</v>
      </c>
      <c r="AF523" s="150">
        <v>51.201999999999998</v>
      </c>
      <c r="AG523" s="152">
        <v>1.2222</v>
      </c>
    </row>
    <row r="524" spans="1:33" x14ac:dyDescent="0.2">
      <c r="A524" s="27">
        <v>12</v>
      </c>
      <c r="B524" s="69">
        <v>10.4115044475</v>
      </c>
      <c r="C524" s="28">
        <f t="shared" si="32"/>
        <v>0.57808493633454039</v>
      </c>
      <c r="D524" s="52">
        <v>170.33799999999999</v>
      </c>
      <c r="E524" s="47">
        <v>629.87</v>
      </c>
      <c r="F524" s="44">
        <v>18.34</v>
      </c>
      <c r="G524" s="11">
        <v>6.845E-4</v>
      </c>
      <c r="H524" s="61">
        <f t="shared" si="33"/>
        <v>249.03216374269002</v>
      </c>
      <c r="I524" s="29">
        <f t="shared" si="34"/>
        <v>0.2395490699233182</v>
      </c>
      <c r="J524" s="52">
        <v>0.432</v>
      </c>
      <c r="K524" s="75">
        <v>-4.7598000000000003</v>
      </c>
      <c r="L524" s="81">
        <v>958.44</v>
      </c>
      <c r="M524" s="13">
        <v>7.9000000000000008E-3</v>
      </c>
      <c r="N524" s="12">
        <v>-7.9711999999999992E-6</v>
      </c>
      <c r="O524" s="93">
        <v>0.24890000000000001</v>
      </c>
      <c r="P524" s="94">
        <v>0.26729999999999998</v>
      </c>
      <c r="Q524" s="95">
        <v>0.28570000000000001</v>
      </c>
      <c r="R524" s="111">
        <v>25.814</v>
      </c>
      <c r="S524" s="118">
        <v>-3440.8</v>
      </c>
      <c r="T524" s="125">
        <v>-5.7919999999999998</v>
      </c>
      <c r="U524" s="14">
        <v>0</v>
      </c>
      <c r="V524" s="30">
        <v>0</v>
      </c>
      <c r="W524" s="138">
        <v>219.00899999999999</v>
      </c>
      <c r="X524" s="13">
        <v>0.90481999999999996</v>
      </c>
      <c r="Y524" s="14">
        <v>-2.4310999999999998E-3</v>
      </c>
      <c r="Z524" s="30">
        <v>3.2101E-6</v>
      </c>
      <c r="AA524" s="77">
        <v>0.158</v>
      </c>
      <c r="AB524" s="5">
        <v>-6.4170000000000004E-5</v>
      </c>
      <c r="AC524" s="15">
        <v>-2.0861000000000001E-7</v>
      </c>
      <c r="AD524" s="146">
        <v>65.046000000000006</v>
      </c>
      <c r="AE524" s="147">
        <v>0.38</v>
      </c>
      <c r="AF524" s="150">
        <v>50.777999999999999</v>
      </c>
      <c r="AG524" s="152">
        <v>1.2222</v>
      </c>
    </row>
    <row r="525" spans="1:33" x14ac:dyDescent="0.2">
      <c r="A525" s="27">
        <v>12</v>
      </c>
      <c r="B525" s="69">
        <v>7.6835176537500001</v>
      </c>
      <c r="C525" s="28">
        <f t="shared" si="32"/>
        <v>0.4065668238060704</v>
      </c>
      <c r="D525" s="52">
        <v>170.33799999999999</v>
      </c>
      <c r="E525" s="47">
        <v>641.23</v>
      </c>
      <c r="F525" s="44">
        <v>18.29</v>
      </c>
      <c r="G525" s="11">
        <v>6.8349999999999997E-4</v>
      </c>
      <c r="H525" s="61">
        <f t="shared" si="33"/>
        <v>249.39677891654466</v>
      </c>
      <c r="I525" s="29">
        <f t="shared" si="34"/>
        <v>0.23432064618444332</v>
      </c>
      <c r="J525" s="52">
        <v>0.46200000000000002</v>
      </c>
      <c r="K525" s="75">
        <v>-5.2606000000000002</v>
      </c>
      <c r="L525" s="81">
        <v>1046</v>
      </c>
      <c r="M525" s="13">
        <v>8.9999999999999993E-3</v>
      </c>
      <c r="N525" s="12">
        <v>-8.6101999999999993E-6</v>
      </c>
      <c r="O525" s="93">
        <v>0.2492</v>
      </c>
      <c r="P525" s="94">
        <v>0.26169999999999999</v>
      </c>
      <c r="Q525" s="95">
        <v>0.28570000000000001</v>
      </c>
      <c r="R525" s="111">
        <v>25.638000000000002</v>
      </c>
      <c r="S525" s="118">
        <v>-3529.8</v>
      </c>
      <c r="T525" s="125">
        <v>-5.6985999999999999</v>
      </c>
      <c r="U525" s="14">
        <v>0</v>
      </c>
      <c r="V525" s="30">
        <v>0</v>
      </c>
      <c r="W525" s="138">
        <v>236.34399999999999</v>
      </c>
      <c r="X525" s="13">
        <v>0.81025999999999998</v>
      </c>
      <c r="Y525" s="14">
        <v>-2.1911000000000001E-3</v>
      </c>
      <c r="Z525" s="30">
        <v>2.9899E-6</v>
      </c>
      <c r="AA525" s="77">
        <v>0.16170000000000001</v>
      </c>
      <c r="AB525" s="5">
        <v>-7.2384000000000004E-5</v>
      </c>
      <c r="AC525" s="15">
        <v>-1.9499E-7</v>
      </c>
      <c r="AD525" s="146">
        <v>67.164000000000001</v>
      </c>
      <c r="AE525" s="147">
        <v>0.38</v>
      </c>
      <c r="AF525" s="150">
        <v>51.566000000000003</v>
      </c>
      <c r="AG525" s="152">
        <v>1.2222</v>
      </c>
    </row>
    <row r="526" spans="1:33" x14ac:dyDescent="0.2">
      <c r="A526" s="27">
        <v>12</v>
      </c>
      <c r="B526" s="69">
        <v>9.2502897300000004</v>
      </c>
      <c r="C526" s="28">
        <f t="shared" si="32"/>
        <v>0.5050752879586059</v>
      </c>
      <c r="D526" s="52">
        <v>170.33799999999999</v>
      </c>
      <c r="E526" s="47">
        <v>640.89</v>
      </c>
      <c r="F526" s="44">
        <v>18.34</v>
      </c>
      <c r="G526" s="11">
        <v>6.845E-4</v>
      </c>
      <c r="H526" s="61">
        <f t="shared" si="33"/>
        <v>249.03216374269002</v>
      </c>
      <c r="I526" s="29">
        <f t="shared" si="34"/>
        <v>0.2354300623704543</v>
      </c>
      <c r="J526" s="52">
        <v>0.432</v>
      </c>
      <c r="K526" s="75">
        <v>-4.9513999999999996</v>
      </c>
      <c r="L526" s="81">
        <v>1001.7</v>
      </c>
      <c r="M526" s="13">
        <v>8.2000000000000007E-3</v>
      </c>
      <c r="N526" s="12">
        <v>-7.9954999999999999E-6</v>
      </c>
      <c r="O526" s="93">
        <v>0.24890000000000001</v>
      </c>
      <c r="P526" s="94">
        <v>0.2611</v>
      </c>
      <c r="Q526" s="95">
        <v>0.28570000000000001</v>
      </c>
      <c r="R526" s="111">
        <v>25.443000000000001</v>
      </c>
      <c r="S526" s="118">
        <v>-3470.1</v>
      </c>
      <c r="T526" s="125">
        <v>-5.6614000000000004</v>
      </c>
      <c r="U526" s="14">
        <v>0</v>
      </c>
      <c r="V526" s="30">
        <v>0</v>
      </c>
      <c r="W526" s="138">
        <v>221.22499999999999</v>
      </c>
      <c r="X526" s="13">
        <v>0.88780000000000003</v>
      </c>
      <c r="Y526" s="14">
        <v>-2.3557000000000001E-3</v>
      </c>
      <c r="Z526" s="30">
        <v>3.0921E-6</v>
      </c>
      <c r="AA526" s="77">
        <v>0.15820000000000001</v>
      </c>
      <c r="AB526" s="5">
        <v>-6.3572999999999996E-5</v>
      </c>
      <c r="AC526" s="15">
        <v>-2.0132999999999999E-7</v>
      </c>
      <c r="AD526" s="146">
        <v>66.293999999999997</v>
      </c>
      <c r="AE526" s="147">
        <v>0.38</v>
      </c>
      <c r="AF526" s="150">
        <v>51.087000000000003</v>
      </c>
      <c r="AG526" s="152">
        <v>1.2222</v>
      </c>
    </row>
    <row r="527" spans="1:33" x14ac:dyDescent="0.2">
      <c r="A527" s="27">
        <v>12</v>
      </c>
      <c r="B527" s="69">
        <v>8.9468989800000003</v>
      </c>
      <c r="C527" s="28">
        <f t="shared" si="32"/>
        <v>0.48600004576248629</v>
      </c>
      <c r="D527" s="52">
        <v>170.33799999999999</v>
      </c>
      <c r="E527" s="47">
        <v>646.41</v>
      </c>
      <c r="F527" s="44">
        <v>18.34</v>
      </c>
      <c r="G527" s="11">
        <v>6.845E-4</v>
      </c>
      <c r="H527" s="61">
        <f t="shared" si="33"/>
        <v>249.03216374269002</v>
      </c>
      <c r="I527" s="29">
        <f t="shared" si="34"/>
        <v>0.23341961397967306</v>
      </c>
      <c r="J527" s="52">
        <v>0.432</v>
      </c>
      <c r="K527" s="75">
        <v>-5.0305</v>
      </c>
      <c r="L527" s="81">
        <v>1021.1</v>
      </c>
      <c r="M527" s="13">
        <v>8.3000000000000001E-3</v>
      </c>
      <c r="N527" s="12">
        <v>-7.9826000000000004E-6</v>
      </c>
      <c r="O527" s="93">
        <v>0.24890000000000001</v>
      </c>
      <c r="P527" s="94">
        <v>0.2591</v>
      </c>
      <c r="Q527" s="95">
        <v>0.28570000000000001</v>
      </c>
      <c r="R527" s="111">
        <v>25.263999999999999</v>
      </c>
      <c r="S527" s="118">
        <v>-3485</v>
      </c>
      <c r="T527" s="125">
        <v>-5.5982000000000003</v>
      </c>
      <c r="U527" s="14">
        <v>0</v>
      </c>
      <c r="V527" s="30">
        <v>0</v>
      </c>
      <c r="W527" s="138">
        <v>222.77099999999999</v>
      </c>
      <c r="X527" s="13">
        <v>0.87619000000000002</v>
      </c>
      <c r="Y527" s="14">
        <v>-2.3094999999999999E-3</v>
      </c>
      <c r="Z527" s="30">
        <v>3.0228999999999999E-6</v>
      </c>
      <c r="AA527" s="77">
        <v>0.1583</v>
      </c>
      <c r="AB527" s="5">
        <v>-6.3272E-5</v>
      </c>
      <c r="AC527" s="15">
        <v>-1.9784999999999999E-7</v>
      </c>
      <c r="AD527" s="146">
        <v>66.918000000000006</v>
      </c>
      <c r="AE527" s="147">
        <v>0.38</v>
      </c>
      <c r="AF527" s="150">
        <v>51.24</v>
      </c>
      <c r="AG527" s="152">
        <v>1.2222</v>
      </c>
    </row>
    <row r="528" spans="1:33" x14ac:dyDescent="0.2">
      <c r="A528" s="27">
        <v>12</v>
      </c>
      <c r="B528" s="69">
        <v>9.9283767399999991</v>
      </c>
      <c r="C528" s="28">
        <f t="shared" si="32"/>
        <v>0.54770900024479952</v>
      </c>
      <c r="D528" s="52">
        <v>170.33799999999999</v>
      </c>
      <c r="E528" s="47">
        <v>646.41</v>
      </c>
      <c r="F528" s="44">
        <v>18.34</v>
      </c>
      <c r="G528" s="11">
        <v>6.845E-4</v>
      </c>
      <c r="H528" s="61">
        <f t="shared" si="33"/>
        <v>249.03216374269002</v>
      </c>
      <c r="I528" s="29">
        <f t="shared" si="34"/>
        <v>0.23341961397967306</v>
      </c>
      <c r="J528" s="52">
        <v>0.432</v>
      </c>
      <c r="K528" s="75">
        <v>-5.0305</v>
      </c>
      <c r="L528" s="81">
        <v>1021.1</v>
      </c>
      <c r="M528" s="13">
        <v>8.3000000000000001E-3</v>
      </c>
      <c r="N528" s="12">
        <v>-7.9826000000000004E-6</v>
      </c>
      <c r="O528" s="93">
        <v>0.24890000000000001</v>
      </c>
      <c r="P528" s="94">
        <v>0.26400000000000001</v>
      </c>
      <c r="Q528" s="95">
        <v>0.28570000000000001</v>
      </c>
      <c r="R528" s="111">
        <v>25.263999999999999</v>
      </c>
      <c r="S528" s="118">
        <v>-3485</v>
      </c>
      <c r="T528" s="125">
        <v>-5.5982000000000003</v>
      </c>
      <c r="U528" s="14">
        <v>0</v>
      </c>
      <c r="V528" s="30">
        <v>0</v>
      </c>
      <c r="W528" s="138">
        <v>225.05600000000001</v>
      </c>
      <c r="X528" s="13">
        <v>0.85914000000000001</v>
      </c>
      <c r="Y528" s="14">
        <v>-2.2588999999999999E-3</v>
      </c>
      <c r="Z528" s="30">
        <v>2.9589000000000002E-6</v>
      </c>
      <c r="AA528" s="77">
        <v>0.1583</v>
      </c>
      <c r="AB528" s="5">
        <v>-6.3272E-5</v>
      </c>
      <c r="AC528" s="15">
        <v>-1.9784999999999999E-7</v>
      </c>
      <c r="AD528" s="146">
        <v>66.918000000000006</v>
      </c>
      <c r="AE528" s="147">
        <v>0.38</v>
      </c>
      <c r="AF528" s="150">
        <v>51.24</v>
      </c>
      <c r="AG528" s="152">
        <v>1.2222</v>
      </c>
    </row>
    <row r="529" spans="1:33" x14ac:dyDescent="0.2">
      <c r="A529" s="27">
        <v>12</v>
      </c>
      <c r="B529" s="69">
        <v>9.2479725662500005</v>
      </c>
      <c r="C529" s="28">
        <f t="shared" si="32"/>
        <v>0.50492959973396712</v>
      </c>
      <c r="D529" s="52">
        <v>170.33799999999999</v>
      </c>
      <c r="E529" s="47">
        <v>646.41</v>
      </c>
      <c r="F529" s="44">
        <v>18.34</v>
      </c>
      <c r="G529" s="11">
        <v>6.845E-4</v>
      </c>
      <c r="H529" s="61">
        <f t="shared" si="33"/>
        <v>249.03216374269002</v>
      </c>
      <c r="I529" s="29">
        <f t="shared" si="34"/>
        <v>0.23341961397967306</v>
      </c>
      <c r="J529" s="52">
        <v>0.432</v>
      </c>
      <c r="K529" s="75">
        <v>-5.0305</v>
      </c>
      <c r="L529" s="81">
        <v>1021.1</v>
      </c>
      <c r="M529" s="13">
        <v>8.3000000000000001E-3</v>
      </c>
      <c r="N529" s="12">
        <v>-7.9826000000000004E-6</v>
      </c>
      <c r="O529" s="93">
        <v>0.24890000000000001</v>
      </c>
      <c r="P529" s="94">
        <v>0.26150000000000001</v>
      </c>
      <c r="Q529" s="95">
        <v>0.28570000000000001</v>
      </c>
      <c r="R529" s="111">
        <v>25.263999999999999</v>
      </c>
      <c r="S529" s="118">
        <v>-3485</v>
      </c>
      <c r="T529" s="125">
        <v>-5.5982000000000003</v>
      </c>
      <c r="U529" s="14">
        <v>0</v>
      </c>
      <c r="V529" s="30">
        <v>0</v>
      </c>
      <c r="W529" s="138">
        <v>223.90100000000001</v>
      </c>
      <c r="X529" s="13">
        <v>0.86775000000000002</v>
      </c>
      <c r="Y529" s="14">
        <v>-2.2843999999999998E-3</v>
      </c>
      <c r="Z529" s="30">
        <v>2.9911999999999998E-6</v>
      </c>
      <c r="AA529" s="77">
        <v>0.1583</v>
      </c>
      <c r="AB529" s="5">
        <v>-6.3272E-5</v>
      </c>
      <c r="AC529" s="15">
        <v>-1.9784999999999999E-7</v>
      </c>
      <c r="AD529" s="146">
        <v>66.918000000000006</v>
      </c>
      <c r="AE529" s="147">
        <v>0.38</v>
      </c>
      <c r="AF529" s="150">
        <v>51.24</v>
      </c>
      <c r="AG529" s="152">
        <v>1.2222</v>
      </c>
    </row>
    <row r="530" spans="1:33" x14ac:dyDescent="0.2">
      <c r="A530" s="27">
        <v>12</v>
      </c>
      <c r="B530" s="69">
        <v>9.2529025874999995</v>
      </c>
      <c r="C530" s="28">
        <f t="shared" si="32"/>
        <v>0.5052395674880128</v>
      </c>
      <c r="D530" s="52">
        <v>170.33799999999999</v>
      </c>
      <c r="E530" s="47">
        <v>643.65</v>
      </c>
      <c r="F530" s="44">
        <v>18.34</v>
      </c>
      <c r="G530" s="11">
        <v>6.845E-4</v>
      </c>
      <c r="H530" s="61">
        <f t="shared" si="33"/>
        <v>249.03216374269002</v>
      </c>
      <c r="I530" s="29">
        <f t="shared" si="34"/>
        <v>0.23442052772873528</v>
      </c>
      <c r="J530" s="52">
        <v>0.432</v>
      </c>
      <c r="K530" s="75">
        <v>-4.9922000000000004</v>
      </c>
      <c r="L530" s="81">
        <v>1011.5</v>
      </c>
      <c r="M530" s="13">
        <v>8.3000000000000001E-3</v>
      </c>
      <c r="N530" s="12">
        <v>-7.9907999999999998E-6</v>
      </c>
      <c r="O530" s="93">
        <v>0.24890000000000001</v>
      </c>
      <c r="P530" s="94">
        <v>0.26140000000000002</v>
      </c>
      <c r="Q530" s="95">
        <v>0.28570000000000001</v>
      </c>
      <c r="R530" s="111">
        <v>25.353000000000002</v>
      </c>
      <c r="S530" s="118">
        <v>-3477.5</v>
      </c>
      <c r="T530" s="125">
        <v>-5.6295999999999999</v>
      </c>
      <c r="U530" s="14">
        <v>0</v>
      </c>
      <c r="V530" s="30">
        <v>0</v>
      </c>
      <c r="W530" s="138">
        <v>222.602</v>
      </c>
      <c r="X530" s="13">
        <v>0.87744999999999995</v>
      </c>
      <c r="Y530" s="14">
        <v>-2.3189999999999999E-3</v>
      </c>
      <c r="Z530" s="30">
        <v>3.0402000000000001E-6</v>
      </c>
      <c r="AA530" s="77">
        <v>0.15820000000000001</v>
      </c>
      <c r="AB530" s="5">
        <v>-6.3423000000000006E-5</v>
      </c>
      <c r="AC530" s="15">
        <v>-1.9957999999999999E-7</v>
      </c>
      <c r="AD530" s="146">
        <v>66.605999999999995</v>
      </c>
      <c r="AE530" s="147">
        <v>0.38</v>
      </c>
      <c r="AF530" s="150">
        <v>51.164000000000001</v>
      </c>
      <c r="AG530" s="152">
        <v>1.2222</v>
      </c>
    </row>
    <row r="531" spans="1:33" x14ac:dyDescent="0.2">
      <c r="A531" s="27">
        <v>12</v>
      </c>
      <c r="B531" s="69">
        <v>8.7664571324999994</v>
      </c>
      <c r="C531" s="28">
        <f t="shared" si="32"/>
        <v>0.47465503295844469</v>
      </c>
      <c r="D531" s="52">
        <v>170.33799999999999</v>
      </c>
      <c r="E531" s="47">
        <v>653.29</v>
      </c>
      <c r="F531" s="44">
        <v>18.34</v>
      </c>
      <c r="G531" s="11">
        <v>6.845E-4</v>
      </c>
      <c r="H531" s="61">
        <f t="shared" si="33"/>
        <v>249.03216374269002</v>
      </c>
      <c r="I531" s="29">
        <f t="shared" si="34"/>
        <v>0.23096139948966071</v>
      </c>
      <c r="J531" s="52">
        <v>0.432</v>
      </c>
      <c r="K531" s="75">
        <v>-5.1163999999999996</v>
      </c>
      <c r="L531" s="81">
        <v>1043.4000000000001</v>
      </c>
      <c r="M531" s="13">
        <v>8.3999999999999995E-3</v>
      </c>
      <c r="N531" s="12">
        <v>-7.9480000000000008E-6</v>
      </c>
      <c r="O531" s="93">
        <v>0.24890000000000001</v>
      </c>
      <c r="P531" s="94">
        <v>0.25719999999999998</v>
      </c>
      <c r="Q531" s="95">
        <v>0.28570000000000001</v>
      </c>
      <c r="R531" s="111">
        <v>25.044</v>
      </c>
      <c r="S531" s="118">
        <v>-3503.6</v>
      </c>
      <c r="T531" s="125">
        <v>-5.5213000000000001</v>
      </c>
      <c r="U531" s="14">
        <v>0</v>
      </c>
      <c r="V531" s="30">
        <v>0</v>
      </c>
      <c r="W531" s="138">
        <v>224.90299999999999</v>
      </c>
      <c r="X531" s="13">
        <v>0.86038999999999999</v>
      </c>
      <c r="Y531" s="14">
        <v>-2.2485999999999999E-3</v>
      </c>
      <c r="Z531" s="30">
        <v>2.9330000000000001E-6</v>
      </c>
      <c r="AA531" s="77">
        <v>0.15840000000000001</v>
      </c>
      <c r="AB531" s="5">
        <v>-6.2895E-5</v>
      </c>
      <c r="AC531" s="15">
        <v>-1.9362000000000001E-7</v>
      </c>
      <c r="AD531" s="146">
        <v>67.7</v>
      </c>
      <c r="AE531" s="147">
        <v>0.38</v>
      </c>
      <c r="AF531" s="150">
        <v>51.430999999999997</v>
      </c>
      <c r="AG531" s="152">
        <v>1.2222</v>
      </c>
    </row>
    <row r="532" spans="1:33" x14ac:dyDescent="0.2">
      <c r="A532" s="27">
        <v>12</v>
      </c>
      <c r="B532" s="69">
        <v>12.655775211250001</v>
      </c>
      <c r="C532" s="28">
        <f t="shared" si="32"/>
        <v>0.71919012287104966</v>
      </c>
      <c r="D532" s="52">
        <v>170.33799999999999</v>
      </c>
      <c r="E532" s="47">
        <v>635.1</v>
      </c>
      <c r="F532" s="44">
        <v>18.39</v>
      </c>
      <c r="G532" s="11">
        <v>6.8550000000000002E-4</v>
      </c>
      <c r="H532" s="61">
        <f t="shared" si="33"/>
        <v>248.66861313868614</v>
      </c>
      <c r="I532" s="29">
        <f t="shared" si="34"/>
        <v>0.23857238258986635</v>
      </c>
      <c r="J532" s="52">
        <v>0.40300000000000002</v>
      </c>
      <c r="K532" s="75">
        <v>-4.5401999999999996</v>
      </c>
      <c r="L532" s="81">
        <v>935.2</v>
      </c>
      <c r="M532" s="13">
        <v>7.3000000000000001E-3</v>
      </c>
      <c r="N532" s="12">
        <v>-7.3452000000000004E-6</v>
      </c>
      <c r="O532" s="93">
        <v>0.2485</v>
      </c>
      <c r="P532" s="94">
        <v>0.2722</v>
      </c>
      <c r="Q532" s="95">
        <v>0.28570000000000001</v>
      </c>
      <c r="R532" s="111">
        <v>25.431999999999999</v>
      </c>
      <c r="S532" s="118">
        <v>-3396.7</v>
      </c>
      <c r="T532" s="125">
        <v>-5.6886000000000001</v>
      </c>
      <c r="U532" s="14">
        <v>0</v>
      </c>
      <c r="V532" s="30">
        <v>0</v>
      </c>
      <c r="W532" s="138">
        <v>208.52799999999999</v>
      </c>
      <c r="X532" s="13">
        <v>0.94889000000000001</v>
      </c>
      <c r="Y532" s="14">
        <v>-2.4832000000000001E-3</v>
      </c>
      <c r="Z532" s="30">
        <v>3.1522000000000001E-6</v>
      </c>
      <c r="AA532" s="77">
        <v>0.15440000000000001</v>
      </c>
      <c r="AB532" s="5">
        <v>-5.4106E-5</v>
      </c>
      <c r="AC532" s="15">
        <v>-2.1226E-7</v>
      </c>
      <c r="AD532" s="146">
        <v>64.808999999999997</v>
      </c>
      <c r="AE532" s="147">
        <v>0.38</v>
      </c>
      <c r="AF532" s="150">
        <v>50.466000000000001</v>
      </c>
      <c r="AG532" s="152">
        <v>1.2222</v>
      </c>
    </row>
    <row r="533" spans="1:33" x14ac:dyDescent="0.2">
      <c r="A533" s="27">
        <v>12</v>
      </c>
      <c r="B533" s="69">
        <v>8.3638355124999997</v>
      </c>
      <c r="C533" s="28">
        <f t="shared" si="32"/>
        <v>0.44934079738964766</v>
      </c>
      <c r="D533" s="52">
        <v>170.33799999999999</v>
      </c>
      <c r="E533" s="47">
        <v>639.86</v>
      </c>
      <c r="F533" s="44">
        <v>18.29</v>
      </c>
      <c r="G533" s="11">
        <v>6.8349999999999997E-4</v>
      </c>
      <c r="H533" s="61">
        <f t="shared" si="33"/>
        <v>249.39677891654466</v>
      </c>
      <c r="I533" s="29">
        <f t="shared" si="34"/>
        <v>0.23482234856507767</v>
      </c>
      <c r="J533" s="52">
        <v>0.46200000000000002</v>
      </c>
      <c r="K533" s="75">
        <v>-5.2416999999999998</v>
      </c>
      <c r="L533" s="81">
        <v>1041.2</v>
      </c>
      <c r="M533" s="13">
        <v>8.9999999999999993E-3</v>
      </c>
      <c r="N533" s="12">
        <v>-8.6170999999999992E-6</v>
      </c>
      <c r="O533" s="93">
        <v>0.2492</v>
      </c>
      <c r="P533" s="94">
        <v>0.26400000000000001</v>
      </c>
      <c r="Q533" s="95">
        <v>0.28570000000000001</v>
      </c>
      <c r="R533" s="111">
        <v>25.684000000000001</v>
      </c>
      <c r="S533" s="118">
        <v>-3526</v>
      </c>
      <c r="T533" s="125">
        <v>-5.7145000000000001</v>
      </c>
      <c r="U533" s="14">
        <v>0</v>
      </c>
      <c r="V533" s="30">
        <v>0</v>
      </c>
      <c r="W533" s="138">
        <v>236.76300000000001</v>
      </c>
      <c r="X533" s="13">
        <v>0.80694999999999995</v>
      </c>
      <c r="Y533" s="14">
        <v>-2.1836999999999998E-3</v>
      </c>
      <c r="Z533" s="30">
        <v>2.9828999999999999E-6</v>
      </c>
      <c r="AA533" s="77">
        <v>0.16159999999999999</v>
      </c>
      <c r="AB533" s="5">
        <v>-7.2502000000000005E-5</v>
      </c>
      <c r="AC533" s="15">
        <v>-1.9581999999999999E-7</v>
      </c>
      <c r="AD533" s="146">
        <v>67.007000000000005</v>
      </c>
      <c r="AE533" s="147">
        <v>0.38</v>
      </c>
      <c r="AF533" s="150">
        <v>51.527999999999999</v>
      </c>
      <c r="AG533" s="152">
        <v>1.2222</v>
      </c>
    </row>
    <row r="534" spans="1:33" x14ac:dyDescent="0.2">
      <c r="A534" s="27">
        <v>12</v>
      </c>
      <c r="B534" s="69">
        <v>8.5741855200000003</v>
      </c>
      <c r="C534" s="28">
        <f t="shared" si="32"/>
        <v>0.46256624127354351</v>
      </c>
      <c r="D534" s="52">
        <v>170.33799999999999</v>
      </c>
      <c r="E534" s="47">
        <v>646.41</v>
      </c>
      <c r="F534" s="44">
        <v>18.34</v>
      </c>
      <c r="G534" s="11">
        <v>6.845E-4</v>
      </c>
      <c r="H534" s="61">
        <f t="shared" si="33"/>
        <v>249.03216374269002</v>
      </c>
      <c r="I534" s="29">
        <f t="shared" si="34"/>
        <v>0.23341961397967306</v>
      </c>
      <c r="J534" s="52">
        <v>0.432</v>
      </c>
      <c r="K534" s="75">
        <v>-5.0305</v>
      </c>
      <c r="L534" s="81">
        <v>1021.1</v>
      </c>
      <c r="M534" s="13">
        <v>8.3000000000000001E-3</v>
      </c>
      <c r="N534" s="12">
        <v>-7.9826000000000004E-6</v>
      </c>
      <c r="O534" s="93">
        <v>0.24890000000000001</v>
      </c>
      <c r="P534" s="94">
        <v>0.2591</v>
      </c>
      <c r="Q534" s="95">
        <v>0.28570000000000001</v>
      </c>
      <c r="R534" s="111">
        <v>25.263999999999999</v>
      </c>
      <c r="S534" s="118">
        <v>-3485</v>
      </c>
      <c r="T534" s="125">
        <v>-5.5982000000000003</v>
      </c>
      <c r="U534" s="14">
        <v>0</v>
      </c>
      <c r="V534" s="30">
        <v>0</v>
      </c>
      <c r="W534" s="138">
        <v>222.75200000000001</v>
      </c>
      <c r="X534" s="13">
        <v>0.87634000000000001</v>
      </c>
      <c r="Y534" s="14">
        <v>-2.3099000000000001E-3</v>
      </c>
      <c r="Z534" s="30">
        <v>3.0234000000000001E-6</v>
      </c>
      <c r="AA534" s="77">
        <v>0.1583</v>
      </c>
      <c r="AB534" s="5">
        <v>-6.3272E-5</v>
      </c>
      <c r="AC534" s="15">
        <v>-1.9784999999999999E-7</v>
      </c>
      <c r="AD534" s="146">
        <v>66.918000000000006</v>
      </c>
      <c r="AE534" s="147">
        <v>0.38</v>
      </c>
      <c r="AF534" s="150">
        <v>51.24</v>
      </c>
      <c r="AG534" s="152">
        <v>1.2222</v>
      </c>
    </row>
    <row r="535" spans="1:33" x14ac:dyDescent="0.2">
      <c r="A535" s="27">
        <v>12</v>
      </c>
      <c r="B535" s="69">
        <v>9.7154152549999999</v>
      </c>
      <c r="C535" s="28">
        <f t="shared" si="32"/>
        <v>0.53431936359694443</v>
      </c>
      <c r="D535" s="52">
        <v>170.33799999999999</v>
      </c>
      <c r="E535" s="47">
        <v>655.89</v>
      </c>
      <c r="F535" s="44">
        <v>18.39</v>
      </c>
      <c r="G535" s="11">
        <v>6.8550000000000002E-4</v>
      </c>
      <c r="H535" s="61">
        <f t="shared" si="33"/>
        <v>248.66861313868614</v>
      </c>
      <c r="I535" s="29">
        <f t="shared" si="34"/>
        <v>0.2310102611456557</v>
      </c>
      <c r="J535" s="52">
        <v>0.40300000000000002</v>
      </c>
      <c r="K535" s="75">
        <v>-4.8616000000000001</v>
      </c>
      <c r="L535" s="81">
        <v>1010.6</v>
      </c>
      <c r="M535" s="13">
        <v>7.7999999999999996E-3</v>
      </c>
      <c r="N535" s="12">
        <v>-7.3675000000000002E-6</v>
      </c>
      <c r="O535" s="93">
        <v>0.2485</v>
      </c>
      <c r="P535" s="94">
        <v>0.25440000000000002</v>
      </c>
      <c r="Q535" s="95">
        <v>0.28570000000000001</v>
      </c>
      <c r="R535" s="111">
        <v>24.763000000000002</v>
      </c>
      <c r="S535" s="118">
        <v>-3451.3</v>
      </c>
      <c r="T535" s="125">
        <v>-5.4532999999999996</v>
      </c>
      <c r="U535" s="14">
        <v>0</v>
      </c>
      <c r="V535" s="30">
        <v>0</v>
      </c>
      <c r="W535" s="138">
        <v>209.78399999999999</v>
      </c>
      <c r="X535" s="13">
        <v>0.93728</v>
      </c>
      <c r="Y535" s="14">
        <v>-2.4039E-3</v>
      </c>
      <c r="Z535" s="30">
        <v>3.0168000000000001E-6</v>
      </c>
      <c r="AA535" s="77">
        <v>0.15490000000000001</v>
      </c>
      <c r="AB535" s="5">
        <v>-5.3715999999999999E-5</v>
      </c>
      <c r="AC535" s="15">
        <v>-1.9831999999999999E-7</v>
      </c>
      <c r="AD535" s="146">
        <v>67.137</v>
      </c>
      <c r="AE535" s="147">
        <v>0.38</v>
      </c>
      <c r="AF535" s="150">
        <v>51.039000000000001</v>
      </c>
      <c r="AG535" s="152">
        <v>1.2222</v>
      </c>
    </row>
    <row r="536" spans="1:33" x14ac:dyDescent="0.2">
      <c r="A536" s="27">
        <v>12</v>
      </c>
      <c r="B536" s="69">
        <v>6.7068861899999996</v>
      </c>
      <c r="C536" s="28">
        <f t="shared" si="32"/>
        <v>0.34516257299294573</v>
      </c>
      <c r="D536" s="52">
        <v>170.33799999999999</v>
      </c>
      <c r="E536" s="47">
        <v>646.71</v>
      </c>
      <c r="F536" s="44">
        <v>18.29</v>
      </c>
      <c r="G536" s="11">
        <v>6.8349999999999997E-4</v>
      </c>
      <c r="H536" s="61">
        <f t="shared" si="33"/>
        <v>249.39677891654466</v>
      </c>
      <c r="I536" s="29">
        <f t="shared" si="34"/>
        <v>0.23233509293632476</v>
      </c>
      <c r="J536" s="52">
        <v>0.46200000000000002</v>
      </c>
      <c r="K536" s="75">
        <v>-5.3299000000000003</v>
      </c>
      <c r="L536" s="81">
        <v>1064.0999999999999</v>
      </c>
      <c r="M536" s="13">
        <v>9.1000000000000004E-3</v>
      </c>
      <c r="N536" s="12">
        <v>-8.5742E-6</v>
      </c>
      <c r="O536" s="93">
        <v>0.2492</v>
      </c>
      <c r="P536" s="94">
        <v>0.25729999999999997</v>
      </c>
      <c r="Q536" s="95">
        <v>0.28570000000000001</v>
      </c>
      <c r="R536" s="111">
        <v>25.459</v>
      </c>
      <c r="S536" s="118">
        <v>-3544.9</v>
      </c>
      <c r="T536" s="125">
        <v>-5.6356000000000002</v>
      </c>
      <c r="U536" s="14">
        <v>0</v>
      </c>
      <c r="V536" s="30">
        <v>0</v>
      </c>
      <c r="W536" s="138">
        <v>236.666</v>
      </c>
      <c r="X536" s="13">
        <v>0.80840999999999996</v>
      </c>
      <c r="Y536" s="14">
        <v>-2.1743999999999999E-3</v>
      </c>
      <c r="Z536" s="30">
        <v>2.9569999999999998E-6</v>
      </c>
      <c r="AA536" s="77">
        <v>0.1618</v>
      </c>
      <c r="AB536" s="5">
        <v>-7.1913000000000001E-5</v>
      </c>
      <c r="AC536" s="15">
        <v>-1.9173000000000001E-7</v>
      </c>
      <c r="AD536" s="146">
        <v>67.792000000000002</v>
      </c>
      <c r="AE536" s="147">
        <v>0.38</v>
      </c>
      <c r="AF536" s="150">
        <v>51.72</v>
      </c>
      <c r="AG536" s="152">
        <v>1.2222</v>
      </c>
    </row>
    <row r="537" spans="1:33" x14ac:dyDescent="0.2">
      <c r="A537" s="27">
        <v>12</v>
      </c>
      <c r="B537" s="69">
        <v>8.2701738000000002</v>
      </c>
      <c r="C537" s="28">
        <f t="shared" si="32"/>
        <v>0.44345195651219571</v>
      </c>
      <c r="D537" s="52">
        <v>170.33799999999999</v>
      </c>
      <c r="E537" s="47">
        <v>647.78</v>
      </c>
      <c r="F537" s="44">
        <v>18.34</v>
      </c>
      <c r="G537" s="11">
        <v>6.845E-4</v>
      </c>
      <c r="H537" s="61">
        <f t="shared" si="33"/>
        <v>249.03216374269002</v>
      </c>
      <c r="I537" s="29">
        <f t="shared" si="34"/>
        <v>0.23292595120658319</v>
      </c>
      <c r="J537" s="52">
        <v>0.432</v>
      </c>
      <c r="K537" s="75">
        <v>-5.0488</v>
      </c>
      <c r="L537" s="81">
        <v>1025.7</v>
      </c>
      <c r="M537" s="13">
        <v>8.3999999999999995E-3</v>
      </c>
      <c r="N537" s="12">
        <v>-7.9772000000000005E-6</v>
      </c>
      <c r="O537" s="93">
        <v>0.24890000000000001</v>
      </c>
      <c r="P537" s="94">
        <v>0.25679999999999997</v>
      </c>
      <c r="Q537" s="95">
        <v>0.28570000000000001</v>
      </c>
      <c r="R537" s="111">
        <v>25.219000000000001</v>
      </c>
      <c r="S537" s="118">
        <v>-3488.7</v>
      </c>
      <c r="T537" s="125">
        <v>-5.5827</v>
      </c>
      <c r="U537" s="14">
        <v>0</v>
      </c>
      <c r="V537" s="30">
        <v>0</v>
      </c>
      <c r="W537" s="138">
        <v>222.28</v>
      </c>
      <c r="X537" s="13">
        <v>0.87987000000000004</v>
      </c>
      <c r="Y537" s="14">
        <v>-2.3175000000000001E-3</v>
      </c>
      <c r="Z537" s="30">
        <v>3.0303999999999998E-6</v>
      </c>
      <c r="AA537" s="77">
        <v>0.1583</v>
      </c>
      <c r="AB537" s="5">
        <v>-6.3196999999999998E-5</v>
      </c>
      <c r="AC537" s="15">
        <v>-1.9698999999999999E-7</v>
      </c>
      <c r="AD537" s="146">
        <v>67.075000000000003</v>
      </c>
      <c r="AE537" s="147">
        <v>0.38</v>
      </c>
      <c r="AF537" s="150">
        <v>51.277999999999999</v>
      </c>
      <c r="AG537" s="152">
        <v>1.2222</v>
      </c>
    </row>
    <row r="538" spans="1:33" x14ac:dyDescent="0.2">
      <c r="A538" s="27">
        <v>12</v>
      </c>
      <c r="B538" s="69">
        <v>8.5687125000000002</v>
      </c>
      <c r="C538" s="28">
        <f t="shared" si="32"/>
        <v>0.46222213328065248</v>
      </c>
      <c r="D538" s="52">
        <v>170.33799999999999</v>
      </c>
      <c r="E538" s="47">
        <v>645.03</v>
      </c>
      <c r="F538" s="44">
        <v>18.34</v>
      </c>
      <c r="G538" s="11">
        <v>6.845E-4</v>
      </c>
      <c r="H538" s="61">
        <f t="shared" si="33"/>
        <v>249.03216374269002</v>
      </c>
      <c r="I538" s="29">
        <f t="shared" si="34"/>
        <v>0.23391900015906308</v>
      </c>
      <c r="J538" s="52">
        <v>0.432</v>
      </c>
      <c r="K538" s="75">
        <v>-5.0117000000000003</v>
      </c>
      <c r="L538" s="81">
        <v>1016.3</v>
      </c>
      <c r="M538" s="13">
        <v>8.3000000000000001E-3</v>
      </c>
      <c r="N538" s="12">
        <v>-7.9872000000000004E-6</v>
      </c>
      <c r="O538" s="93">
        <v>0.24890000000000001</v>
      </c>
      <c r="P538" s="94">
        <v>0.25900000000000001</v>
      </c>
      <c r="Q538" s="95">
        <v>0.28570000000000001</v>
      </c>
      <c r="R538" s="111">
        <v>25.308</v>
      </c>
      <c r="S538" s="118">
        <v>-3481.2</v>
      </c>
      <c r="T538" s="125">
        <v>-5.6139000000000001</v>
      </c>
      <c r="U538" s="14">
        <v>0</v>
      </c>
      <c r="V538" s="30">
        <v>0</v>
      </c>
      <c r="W538" s="138">
        <v>222.09800000000001</v>
      </c>
      <c r="X538" s="13">
        <v>0.88122</v>
      </c>
      <c r="Y538" s="14">
        <v>-2.3273E-3</v>
      </c>
      <c r="Z538" s="30">
        <v>3.0481000000000001E-6</v>
      </c>
      <c r="AA538" s="77">
        <v>0.1583</v>
      </c>
      <c r="AB538" s="5">
        <v>-6.3348000000000004E-5</v>
      </c>
      <c r="AC538" s="15">
        <v>-1.9871000000000001E-7</v>
      </c>
      <c r="AD538" s="146">
        <v>66.762</v>
      </c>
      <c r="AE538" s="147">
        <v>0.38</v>
      </c>
      <c r="AF538" s="150">
        <v>51.201999999999998</v>
      </c>
      <c r="AG538" s="152">
        <v>1.2222</v>
      </c>
    </row>
    <row r="539" spans="1:33" x14ac:dyDescent="0.2">
      <c r="A539" s="27">
        <v>12</v>
      </c>
      <c r="B539" s="69">
        <v>8.0811471000000008</v>
      </c>
      <c r="C539" s="28">
        <f t="shared" si="32"/>
        <v>0.4315671838748189</v>
      </c>
      <c r="D539" s="52">
        <v>170.33799999999999</v>
      </c>
      <c r="E539" s="47">
        <v>653.29</v>
      </c>
      <c r="F539" s="44">
        <v>18.34</v>
      </c>
      <c r="G539" s="11">
        <v>6.845E-4</v>
      </c>
      <c r="H539" s="61">
        <f t="shared" si="33"/>
        <v>249.03216374269002</v>
      </c>
      <c r="I539" s="29">
        <f t="shared" si="34"/>
        <v>0.23096139948966071</v>
      </c>
      <c r="J539" s="52">
        <v>0.432</v>
      </c>
      <c r="K539" s="75">
        <v>-5.1163999999999996</v>
      </c>
      <c r="L539" s="81">
        <v>1043.4000000000001</v>
      </c>
      <c r="M539" s="13">
        <v>8.3999999999999995E-3</v>
      </c>
      <c r="N539" s="12">
        <v>-7.9480000000000008E-6</v>
      </c>
      <c r="O539" s="93">
        <v>0.24890000000000001</v>
      </c>
      <c r="P539" s="94">
        <v>0.25480000000000003</v>
      </c>
      <c r="Q539" s="95">
        <v>0.28570000000000001</v>
      </c>
      <c r="R539" s="111">
        <v>25.044</v>
      </c>
      <c r="S539" s="118">
        <v>-3503.6</v>
      </c>
      <c r="T539" s="125">
        <v>-5.5213000000000001</v>
      </c>
      <c r="U539" s="14">
        <v>0</v>
      </c>
      <c r="V539" s="30">
        <v>0</v>
      </c>
      <c r="W539" s="138">
        <v>223.773</v>
      </c>
      <c r="X539" s="13">
        <v>0.86880999999999997</v>
      </c>
      <c r="Y539" s="14">
        <v>-2.2734000000000001E-3</v>
      </c>
      <c r="Z539" s="30">
        <v>2.9643000000000001E-6</v>
      </c>
      <c r="AA539" s="77">
        <v>0.15840000000000001</v>
      </c>
      <c r="AB539" s="5">
        <v>-6.2895E-5</v>
      </c>
      <c r="AC539" s="15">
        <v>-1.9362000000000001E-7</v>
      </c>
      <c r="AD539" s="146">
        <v>67.7</v>
      </c>
      <c r="AE539" s="147">
        <v>0.38</v>
      </c>
      <c r="AF539" s="150">
        <v>51.430999999999997</v>
      </c>
      <c r="AG539" s="152">
        <v>1.2222</v>
      </c>
    </row>
    <row r="540" spans="1:33" x14ac:dyDescent="0.2">
      <c r="A540" s="27">
        <v>12</v>
      </c>
      <c r="B540" s="69">
        <v>10.491249699999999</v>
      </c>
      <c r="C540" s="28">
        <f t="shared" si="32"/>
        <v>0.5830988004863914</v>
      </c>
      <c r="D540" s="52">
        <v>170.33799999999999</v>
      </c>
      <c r="E540" s="47">
        <v>641.61</v>
      </c>
      <c r="F540" s="44">
        <v>18.39</v>
      </c>
      <c r="G540" s="11">
        <v>6.8550000000000002E-4</v>
      </c>
      <c r="H540" s="61">
        <f t="shared" si="33"/>
        <v>248.66861313868614</v>
      </c>
      <c r="I540" s="29">
        <f t="shared" si="34"/>
        <v>0.23615174355578017</v>
      </c>
      <c r="J540" s="52">
        <v>0.40300000000000002</v>
      </c>
      <c r="K540" s="75">
        <v>-4.6567999999999996</v>
      </c>
      <c r="L540" s="81">
        <v>960.98</v>
      </c>
      <c r="M540" s="13">
        <v>7.4999999999999997E-3</v>
      </c>
      <c r="N540" s="12">
        <v>-7.3761000000000004E-6</v>
      </c>
      <c r="O540" s="93">
        <v>0.2485</v>
      </c>
      <c r="P540" s="94">
        <v>0.2636</v>
      </c>
      <c r="Q540" s="95">
        <v>0.28570000000000001</v>
      </c>
      <c r="R540" s="111">
        <v>25.216999999999999</v>
      </c>
      <c r="S540" s="118">
        <v>-3413.7</v>
      </c>
      <c r="T540" s="125">
        <v>-5.6127000000000002</v>
      </c>
      <c r="U540" s="14">
        <v>0</v>
      </c>
      <c r="V540" s="30">
        <v>0</v>
      </c>
      <c r="W540" s="138">
        <v>220.952</v>
      </c>
      <c r="X540" s="13">
        <v>0.85709999999999997</v>
      </c>
      <c r="Y540" s="14">
        <v>-2.2563000000000001E-3</v>
      </c>
      <c r="Z540" s="30">
        <v>2.9699000000000001E-6</v>
      </c>
      <c r="AA540" s="77">
        <v>0.15690000000000001</v>
      </c>
      <c r="AB540" s="5">
        <v>-6.3285000000000001E-5</v>
      </c>
      <c r="AC540" s="15">
        <v>-1.9875E-7</v>
      </c>
      <c r="AD540" s="146">
        <v>65.537000000000006</v>
      </c>
      <c r="AE540" s="147">
        <v>0.38</v>
      </c>
      <c r="AF540" s="150">
        <v>50.646999999999998</v>
      </c>
      <c r="AG540" s="152">
        <v>1.2222</v>
      </c>
    </row>
    <row r="541" spans="1:33" x14ac:dyDescent="0.2">
      <c r="A541" s="27">
        <v>12</v>
      </c>
      <c r="B541" s="69">
        <v>9.7337161875000007</v>
      </c>
      <c r="C541" s="28">
        <f t="shared" si="32"/>
        <v>0.53547000751028828</v>
      </c>
      <c r="D541" s="52">
        <v>170.33799999999999</v>
      </c>
      <c r="E541" s="47">
        <v>631.25</v>
      </c>
      <c r="F541" s="44">
        <v>18.34</v>
      </c>
      <c r="G541" s="11">
        <v>6.845E-4</v>
      </c>
      <c r="H541" s="61">
        <f t="shared" si="33"/>
        <v>249.03216374269002</v>
      </c>
      <c r="I541" s="29">
        <f t="shared" si="34"/>
        <v>0.23902538245164426</v>
      </c>
      <c r="J541" s="52">
        <v>0.432</v>
      </c>
      <c r="K541" s="75">
        <v>-4.7865000000000002</v>
      </c>
      <c r="L541" s="81">
        <v>964.22</v>
      </c>
      <c r="M541" s="13">
        <v>8.0000000000000002E-3</v>
      </c>
      <c r="N541" s="12">
        <v>-7.9783999999999997E-6</v>
      </c>
      <c r="O541" s="93">
        <v>0.24890000000000001</v>
      </c>
      <c r="P541" s="94">
        <v>0.26519999999999999</v>
      </c>
      <c r="Q541" s="95">
        <v>0.28570000000000001</v>
      </c>
      <c r="R541" s="111">
        <v>25.766999999999999</v>
      </c>
      <c r="S541" s="118">
        <v>-3444.4</v>
      </c>
      <c r="T541" s="125">
        <v>-5.7752999999999997</v>
      </c>
      <c r="U541" s="14">
        <v>0</v>
      </c>
      <c r="V541" s="30">
        <v>0</v>
      </c>
      <c r="W541" s="138">
        <v>218.66900000000001</v>
      </c>
      <c r="X541" s="13">
        <v>0.90730999999999995</v>
      </c>
      <c r="Y541" s="14">
        <v>-2.4355000000000002E-3</v>
      </c>
      <c r="Z541" s="30">
        <v>3.2129000000000002E-6</v>
      </c>
      <c r="AA541" s="77">
        <v>0.158</v>
      </c>
      <c r="AB541" s="5">
        <v>-6.4096000000000004E-5</v>
      </c>
      <c r="AC541" s="15">
        <v>-2.0767000000000001E-7</v>
      </c>
      <c r="AD541" s="146">
        <v>65.201999999999998</v>
      </c>
      <c r="AE541" s="147">
        <v>0.38</v>
      </c>
      <c r="AF541" s="150">
        <v>50.816000000000003</v>
      </c>
      <c r="AG541" s="152">
        <v>1.2222</v>
      </c>
    </row>
    <row r="542" spans="1:33" x14ac:dyDescent="0.2">
      <c r="A542" s="27">
        <v>12</v>
      </c>
      <c r="B542" s="69">
        <v>10.4892123</v>
      </c>
      <c r="C542" s="28">
        <f t="shared" si="32"/>
        <v>0.58297070199146239</v>
      </c>
      <c r="D542" s="52">
        <v>170.33799999999999</v>
      </c>
      <c r="E542" s="47">
        <v>651.73</v>
      </c>
      <c r="F542" s="44">
        <v>18.39</v>
      </c>
      <c r="G542" s="11">
        <v>6.8550000000000002E-4</v>
      </c>
      <c r="H542" s="61">
        <f t="shared" si="33"/>
        <v>248.66861313868614</v>
      </c>
      <c r="I542" s="29">
        <f t="shared" si="34"/>
        <v>0.23248480226907481</v>
      </c>
      <c r="J542" s="52">
        <v>0.40300000000000002</v>
      </c>
      <c r="K542" s="75">
        <v>-4.8083</v>
      </c>
      <c r="L542" s="81">
        <v>996.99</v>
      </c>
      <c r="M542" s="13">
        <v>7.7000000000000002E-3</v>
      </c>
      <c r="N542" s="12">
        <v>-7.3791999999999996E-6</v>
      </c>
      <c r="O542" s="93">
        <v>0.2485</v>
      </c>
      <c r="P542" s="94">
        <v>0.25950000000000001</v>
      </c>
      <c r="Q542" s="95">
        <v>0.28570000000000001</v>
      </c>
      <c r="R542" s="111">
        <v>24.891999999999999</v>
      </c>
      <c r="S542" s="118">
        <v>-3440.3</v>
      </c>
      <c r="T542" s="125">
        <v>-5.4988000000000001</v>
      </c>
      <c r="U542" s="14">
        <v>0</v>
      </c>
      <c r="V542" s="30">
        <v>0</v>
      </c>
      <c r="W542" s="138">
        <v>210.40100000000001</v>
      </c>
      <c r="X542" s="13">
        <v>0.93308999999999997</v>
      </c>
      <c r="Y542" s="14">
        <v>-2.4007E-3</v>
      </c>
      <c r="Z542" s="30">
        <v>3.0205000000000001E-6</v>
      </c>
      <c r="AA542" s="77">
        <v>0.15479999999999999</v>
      </c>
      <c r="AB542" s="5">
        <v>-5.3801999999999998E-5</v>
      </c>
      <c r="AC542" s="15">
        <v>-2.0099E-7</v>
      </c>
      <c r="AD542" s="146">
        <v>66.67</v>
      </c>
      <c r="AE542" s="147">
        <v>0.38</v>
      </c>
      <c r="AF542" s="150">
        <v>50.924999999999997</v>
      </c>
      <c r="AG542" s="152">
        <v>1.2222</v>
      </c>
    </row>
    <row r="543" spans="1:33" x14ac:dyDescent="0.2">
      <c r="A543" s="27">
        <v>12</v>
      </c>
      <c r="B543" s="69">
        <v>8.6703686874999999</v>
      </c>
      <c r="C543" s="28">
        <f t="shared" si="32"/>
        <v>0.46861361488415104</v>
      </c>
      <c r="D543" s="52">
        <v>170.33799999999999</v>
      </c>
      <c r="E543" s="47">
        <v>629.32000000000005</v>
      </c>
      <c r="F543" s="44">
        <v>18.29</v>
      </c>
      <c r="G543" s="11">
        <v>6.8349999999999997E-4</v>
      </c>
      <c r="H543" s="61">
        <f t="shared" si="33"/>
        <v>249.39677891654466</v>
      </c>
      <c r="I543" s="29">
        <f t="shared" si="34"/>
        <v>0.23875520872187533</v>
      </c>
      <c r="J543" s="52">
        <v>0.46200000000000002</v>
      </c>
      <c r="K543" s="75">
        <v>-5.0735999999999999</v>
      </c>
      <c r="L543" s="81">
        <v>1001.5</v>
      </c>
      <c r="M543" s="13">
        <v>8.6999999999999994E-3</v>
      </c>
      <c r="N543" s="12">
        <v>-8.6362000000000004E-6</v>
      </c>
      <c r="O543" s="93">
        <v>0.2492</v>
      </c>
      <c r="P543" s="94">
        <v>0.26540000000000002</v>
      </c>
      <c r="Q543" s="95">
        <v>0.28570000000000001</v>
      </c>
      <c r="R543" s="111">
        <v>26.042000000000002</v>
      </c>
      <c r="S543" s="118">
        <v>-3497.2</v>
      </c>
      <c r="T543" s="125">
        <v>-5.8406000000000002</v>
      </c>
      <c r="U543" s="14">
        <v>0</v>
      </c>
      <c r="V543" s="30">
        <v>0</v>
      </c>
      <c r="W543" s="138">
        <v>232.988</v>
      </c>
      <c r="X543" s="13">
        <v>0.83482999999999996</v>
      </c>
      <c r="Y543" s="14">
        <v>-2.2923000000000002E-3</v>
      </c>
      <c r="Z543" s="30">
        <v>3.1480000000000002E-6</v>
      </c>
      <c r="AA543" s="77">
        <v>0.1615</v>
      </c>
      <c r="AB543" s="5">
        <v>-7.3419999999999998E-5</v>
      </c>
      <c r="AC543" s="15">
        <v>-2.0239E-7</v>
      </c>
      <c r="AD543" s="146">
        <v>65.798000000000002</v>
      </c>
      <c r="AE543" s="147">
        <v>0.38</v>
      </c>
      <c r="AF543" s="150">
        <v>51.228999999999999</v>
      </c>
      <c r="AG543" s="152">
        <v>1.2222</v>
      </c>
    </row>
    <row r="544" spans="1:33" x14ac:dyDescent="0.2">
      <c r="A544" s="27">
        <v>12</v>
      </c>
      <c r="B544" s="69">
        <v>8.2672139199999997</v>
      </c>
      <c r="C544" s="28">
        <f t="shared" si="32"/>
        <v>0.44326585845920147</v>
      </c>
      <c r="D544" s="52">
        <v>170.33799999999999</v>
      </c>
      <c r="E544" s="47">
        <v>649.16</v>
      </c>
      <c r="F544" s="44">
        <v>18.34</v>
      </c>
      <c r="G544" s="11">
        <v>6.845E-4</v>
      </c>
      <c r="H544" s="61">
        <f t="shared" si="33"/>
        <v>249.03216374269002</v>
      </c>
      <c r="I544" s="29">
        <f t="shared" si="34"/>
        <v>0.23243079159621735</v>
      </c>
      <c r="J544" s="52">
        <v>0.432</v>
      </c>
      <c r="K544" s="75">
        <v>-5.0664999999999996</v>
      </c>
      <c r="L544" s="81">
        <v>1030.2</v>
      </c>
      <c r="M544" s="13">
        <v>8.3999999999999995E-3</v>
      </c>
      <c r="N544" s="12">
        <v>-7.9710000000000004E-6</v>
      </c>
      <c r="O544" s="93">
        <v>0.24890000000000001</v>
      </c>
      <c r="P544" s="94">
        <v>0.25690000000000002</v>
      </c>
      <c r="Q544" s="95">
        <v>0.28570000000000001</v>
      </c>
      <c r="R544" s="111">
        <v>25.175000000000001</v>
      </c>
      <c r="S544" s="118">
        <v>-3492.4</v>
      </c>
      <c r="T544" s="125">
        <v>-5.5671999999999997</v>
      </c>
      <c r="U544" s="14">
        <v>0</v>
      </c>
      <c r="V544" s="30">
        <v>0</v>
      </c>
      <c r="W544" s="138">
        <v>222.929</v>
      </c>
      <c r="X544" s="13">
        <v>0.87502999999999997</v>
      </c>
      <c r="Y544" s="14">
        <v>-2.3002999999999999E-3</v>
      </c>
      <c r="Z544" s="30">
        <v>3.0060000000000001E-6</v>
      </c>
      <c r="AA544" s="77">
        <v>0.1583</v>
      </c>
      <c r="AB544" s="5">
        <v>-6.3121999999999996E-5</v>
      </c>
      <c r="AC544" s="15">
        <v>-1.9614000000000001E-7</v>
      </c>
      <c r="AD544" s="146">
        <v>67.230999999999995</v>
      </c>
      <c r="AE544" s="147">
        <v>0.38</v>
      </c>
      <c r="AF544" s="150">
        <v>51.317</v>
      </c>
      <c r="AG544" s="152">
        <v>1.2222</v>
      </c>
    </row>
    <row r="545" spans="1:33" x14ac:dyDescent="0.2">
      <c r="A545" s="27">
        <v>12</v>
      </c>
      <c r="B545" s="69">
        <v>9.7145899900000003</v>
      </c>
      <c r="C545" s="28">
        <f t="shared" si="32"/>
        <v>0.53426747628742366</v>
      </c>
      <c r="D545" s="52">
        <v>170.33799999999999</v>
      </c>
      <c r="E545" s="47">
        <v>658.66</v>
      </c>
      <c r="F545" s="44">
        <v>18.39</v>
      </c>
      <c r="G545" s="11">
        <v>6.8550000000000002E-4</v>
      </c>
      <c r="H545" s="61">
        <f t="shared" si="33"/>
        <v>248.66861313868614</v>
      </c>
      <c r="I545" s="29">
        <f t="shared" si="34"/>
        <v>0.23003874560900028</v>
      </c>
      <c r="J545" s="52">
        <v>0.40300000000000002</v>
      </c>
      <c r="K545" s="75">
        <v>-4.8945999999999996</v>
      </c>
      <c r="L545" s="81">
        <v>1019.3</v>
      </c>
      <c r="M545" s="13">
        <v>7.7999999999999996E-3</v>
      </c>
      <c r="N545" s="12">
        <v>-7.3562E-6</v>
      </c>
      <c r="O545" s="93">
        <v>0.2485</v>
      </c>
      <c r="P545" s="94">
        <v>0.25459999999999999</v>
      </c>
      <c r="Q545" s="95">
        <v>0.28570000000000001</v>
      </c>
      <c r="R545" s="111">
        <v>24.677</v>
      </c>
      <c r="S545" s="118">
        <v>-3458.6</v>
      </c>
      <c r="T545" s="125">
        <v>-5.4234</v>
      </c>
      <c r="U545" s="14">
        <v>0</v>
      </c>
      <c r="V545" s="30">
        <v>0</v>
      </c>
      <c r="W545" s="138">
        <v>211.21899999999999</v>
      </c>
      <c r="X545" s="13">
        <v>0.92652000000000001</v>
      </c>
      <c r="Y545" s="14">
        <v>-2.3673000000000001E-3</v>
      </c>
      <c r="Z545" s="30">
        <v>2.9674000000000002E-6</v>
      </c>
      <c r="AA545" s="77">
        <v>0.15490000000000001</v>
      </c>
      <c r="AB545" s="5">
        <v>-5.3656000000000003E-5</v>
      </c>
      <c r="AC545" s="15">
        <v>-1.9656999999999999E-7</v>
      </c>
      <c r="AD545" s="146">
        <v>67.447000000000003</v>
      </c>
      <c r="AE545" s="147">
        <v>0.38</v>
      </c>
      <c r="AF545" s="150">
        <v>51.113999999999997</v>
      </c>
      <c r="AG545" s="152">
        <v>1.2222</v>
      </c>
    </row>
    <row r="546" spans="1:33" x14ac:dyDescent="0.2">
      <c r="A546" s="27">
        <v>12</v>
      </c>
      <c r="B546" s="69">
        <v>9.2545369675</v>
      </c>
      <c r="C546" s="28">
        <f t="shared" si="32"/>
        <v>0.50534232669982304</v>
      </c>
      <c r="D546" s="52">
        <v>170.33799999999999</v>
      </c>
      <c r="E546" s="47">
        <v>646.41</v>
      </c>
      <c r="F546" s="44">
        <v>18.34</v>
      </c>
      <c r="G546" s="11">
        <v>6.845E-4</v>
      </c>
      <c r="H546" s="61">
        <f t="shared" si="33"/>
        <v>249.03216374269002</v>
      </c>
      <c r="I546" s="29">
        <f t="shared" si="34"/>
        <v>0.23341961397967306</v>
      </c>
      <c r="J546" s="52">
        <v>0.432</v>
      </c>
      <c r="K546" s="75">
        <v>-5.0305</v>
      </c>
      <c r="L546" s="81">
        <v>1021.1</v>
      </c>
      <c r="M546" s="13">
        <v>8.3000000000000001E-3</v>
      </c>
      <c r="N546" s="12">
        <v>-7.9826000000000004E-6</v>
      </c>
      <c r="O546" s="93">
        <v>0.24890000000000001</v>
      </c>
      <c r="P546" s="94">
        <v>0.26150000000000001</v>
      </c>
      <c r="Q546" s="95">
        <v>0.28570000000000001</v>
      </c>
      <c r="R546" s="111">
        <v>25.263999999999999</v>
      </c>
      <c r="S546" s="118">
        <v>-3485</v>
      </c>
      <c r="T546" s="125">
        <v>-5.5982000000000003</v>
      </c>
      <c r="U546" s="14">
        <v>0</v>
      </c>
      <c r="V546" s="30">
        <v>0</v>
      </c>
      <c r="W546" s="138">
        <v>223.92</v>
      </c>
      <c r="X546" s="13">
        <v>0.86760999999999999</v>
      </c>
      <c r="Y546" s="14">
        <v>-2.284E-3</v>
      </c>
      <c r="Z546" s="30">
        <v>2.9905999999999998E-6</v>
      </c>
      <c r="AA546" s="77">
        <v>0.1583</v>
      </c>
      <c r="AB546" s="5">
        <v>-6.3272E-5</v>
      </c>
      <c r="AC546" s="15">
        <v>-1.9784999999999999E-7</v>
      </c>
      <c r="AD546" s="146">
        <v>66.918000000000006</v>
      </c>
      <c r="AE546" s="147">
        <v>0.38</v>
      </c>
      <c r="AF546" s="150">
        <v>51.24</v>
      </c>
      <c r="AG546" s="152">
        <v>1.2222</v>
      </c>
    </row>
    <row r="547" spans="1:33" x14ac:dyDescent="0.2">
      <c r="A547" s="27">
        <v>12</v>
      </c>
      <c r="B547" s="69">
        <v>9.2432092087500006</v>
      </c>
      <c r="C547" s="28">
        <f t="shared" si="32"/>
        <v>0.50463011071533626</v>
      </c>
      <c r="D547" s="52">
        <v>170.33799999999999</v>
      </c>
      <c r="E547" s="48">
        <v>643.65</v>
      </c>
      <c r="F547" s="48">
        <v>18.34</v>
      </c>
      <c r="G547" s="11">
        <v>6.845E-4</v>
      </c>
      <c r="H547" s="61">
        <f t="shared" si="33"/>
        <v>249.03216374269002</v>
      </c>
      <c r="I547" s="29">
        <f t="shared" si="34"/>
        <v>0.23442052772873528</v>
      </c>
      <c r="J547" s="55">
        <v>0.432</v>
      </c>
      <c r="K547" s="76">
        <v>-4.9922000000000004</v>
      </c>
      <c r="L547" s="82">
        <v>1011.5</v>
      </c>
      <c r="M547" s="85">
        <v>8.3000000000000001E-3</v>
      </c>
      <c r="N547" s="4">
        <v>-7.9907999999999998E-6</v>
      </c>
      <c r="O547" s="96">
        <v>0.24890000000000001</v>
      </c>
      <c r="P547" s="97">
        <v>0.26129999999999998</v>
      </c>
      <c r="Q547" s="98">
        <v>0.28570000000000001</v>
      </c>
      <c r="R547" s="114">
        <v>25.353000000000002</v>
      </c>
      <c r="S547" s="120">
        <v>-3477.5</v>
      </c>
      <c r="T547" s="127">
        <v>-5.6295999999999999</v>
      </c>
      <c r="U547" s="14">
        <v>0</v>
      </c>
      <c r="V547" s="14">
        <v>0</v>
      </c>
      <c r="W547" s="139">
        <v>222.56299999999999</v>
      </c>
      <c r="X547" s="7">
        <v>0.87773999999999996</v>
      </c>
      <c r="Y547" s="8">
        <v>-2.3199000000000002E-3</v>
      </c>
      <c r="Z547" s="33">
        <v>3.0413E-6</v>
      </c>
      <c r="AA547" s="141">
        <v>0.15820000000000001</v>
      </c>
      <c r="AB547" s="9">
        <v>-6.3423000000000006E-5</v>
      </c>
      <c r="AC547" s="10">
        <v>-1.9957999999999999E-7</v>
      </c>
      <c r="AD547" s="146">
        <v>66.605999999999995</v>
      </c>
      <c r="AE547" s="147">
        <v>0.38</v>
      </c>
      <c r="AF547" s="150">
        <v>51.164000000000001</v>
      </c>
      <c r="AG547" s="152">
        <v>1.2222</v>
      </c>
    </row>
    <row r="548" spans="1:33" x14ac:dyDescent="0.2">
      <c r="A548" s="27">
        <v>12</v>
      </c>
      <c r="B548" s="69">
        <v>9.7346042187500004</v>
      </c>
      <c r="C548" s="28">
        <f t="shared" ref="C548:C611" si="35">(B548-MIN($B$292:$B$645))/(MAX($B$292:$B$645)-MIN($B$292:$B$645))</f>
        <v>0.53552584115443025</v>
      </c>
      <c r="D548" s="52">
        <v>170.33799999999999</v>
      </c>
      <c r="E548" s="47">
        <v>634</v>
      </c>
      <c r="F548" s="44">
        <v>18.34</v>
      </c>
      <c r="G548" s="11">
        <v>6.845E-4</v>
      </c>
      <c r="H548" s="61">
        <f t="shared" si="33"/>
        <v>249.03216374269002</v>
      </c>
      <c r="I548" s="29">
        <f t="shared" si="34"/>
        <v>0.23798860042996917</v>
      </c>
      <c r="J548" s="52">
        <v>0.432</v>
      </c>
      <c r="K548" s="75">
        <v>-4.8373999999999997</v>
      </c>
      <c r="L548" s="81">
        <v>975.44</v>
      </c>
      <c r="M548" s="13">
        <v>8.0999999999999996E-3</v>
      </c>
      <c r="N548" s="12">
        <v>-7.9890999999999995E-6</v>
      </c>
      <c r="O548" s="93">
        <v>0.24890000000000001</v>
      </c>
      <c r="P548" s="94">
        <v>0.26540000000000002</v>
      </c>
      <c r="Q548" s="95">
        <v>0.28570000000000001</v>
      </c>
      <c r="R548" s="111">
        <v>25.672999999999998</v>
      </c>
      <c r="S548" s="118">
        <v>-3451.7</v>
      </c>
      <c r="T548" s="125">
        <v>-5.7423000000000002</v>
      </c>
      <c r="U548" s="14">
        <v>0</v>
      </c>
      <c r="V548" s="30">
        <v>0</v>
      </c>
      <c r="W548" s="138">
        <v>220.07900000000001</v>
      </c>
      <c r="X548" s="13">
        <v>0.89658000000000004</v>
      </c>
      <c r="Y548" s="14">
        <v>-2.3969999999999998E-3</v>
      </c>
      <c r="Z548" s="30">
        <v>3.1582999999999999E-6</v>
      </c>
      <c r="AA548" s="77">
        <v>0.15809999999999999</v>
      </c>
      <c r="AB548" s="5">
        <v>-6.3947000000000003E-5</v>
      </c>
      <c r="AC548" s="15">
        <v>-2.0583000000000001E-7</v>
      </c>
      <c r="AD548" s="146">
        <v>65.513999999999996</v>
      </c>
      <c r="AE548" s="147">
        <v>0.38</v>
      </c>
      <c r="AF548" s="150">
        <v>50.893999999999998</v>
      </c>
      <c r="AG548" s="152">
        <v>1.2222</v>
      </c>
    </row>
    <row r="549" spans="1:33" x14ac:dyDescent="0.2">
      <c r="A549" s="27">
        <v>12</v>
      </c>
      <c r="B549" s="69">
        <v>7.6892299875000001</v>
      </c>
      <c r="C549" s="28">
        <f t="shared" si="35"/>
        <v>0.40692597829507943</v>
      </c>
      <c r="D549" s="52">
        <v>170.33799999999999</v>
      </c>
      <c r="E549" s="47">
        <v>639.86</v>
      </c>
      <c r="F549" s="44">
        <v>18.29</v>
      </c>
      <c r="G549" s="11">
        <v>6.8349999999999997E-4</v>
      </c>
      <c r="H549" s="61">
        <f t="shared" si="33"/>
        <v>249.39677891654466</v>
      </c>
      <c r="I549" s="29">
        <f t="shared" si="34"/>
        <v>0.23482234856507767</v>
      </c>
      <c r="J549" s="52">
        <v>0.46200000000000002</v>
      </c>
      <c r="K549" s="75">
        <v>-5.2416999999999998</v>
      </c>
      <c r="L549" s="81">
        <v>1041.2</v>
      </c>
      <c r="M549" s="13">
        <v>8.9999999999999993E-3</v>
      </c>
      <c r="N549" s="12">
        <v>-8.6170999999999992E-6</v>
      </c>
      <c r="O549" s="93">
        <v>0.2492</v>
      </c>
      <c r="P549" s="94">
        <v>0.2616</v>
      </c>
      <c r="Q549" s="95">
        <v>0.28570000000000001</v>
      </c>
      <c r="R549" s="111">
        <v>25.684000000000001</v>
      </c>
      <c r="S549" s="118">
        <v>-3526</v>
      </c>
      <c r="T549" s="125">
        <v>-5.7145000000000001</v>
      </c>
      <c r="U549" s="14">
        <v>0</v>
      </c>
      <c r="V549" s="30">
        <v>0</v>
      </c>
      <c r="W549" s="138">
        <v>235.74</v>
      </c>
      <c r="X549" s="13">
        <v>0.81471000000000005</v>
      </c>
      <c r="Y549" s="14">
        <v>-2.2076999999999999E-3</v>
      </c>
      <c r="Z549" s="30">
        <v>3.0143999999999999E-6</v>
      </c>
      <c r="AA549" s="77">
        <v>0.16159999999999999</v>
      </c>
      <c r="AB549" s="5">
        <v>-7.2502000000000005E-5</v>
      </c>
      <c r="AC549" s="15">
        <v>-1.9581999999999999E-7</v>
      </c>
      <c r="AD549" s="146">
        <v>67.007000000000005</v>
      </c>
      <c r="AE549" s="147">
        <v>0.38</v>
      </c>
      <c r="AF549" s="150">
        <v>51.527999999999999</v>
      </c>
      <c r="AG549" s="152">
        <v>1.2222</v>
      </c>
    </row>
    <row r="550" spans="1:33" x14ac:dyDescent="0.2">
      <c r="A550" s="27">
        <v>12</v>
      </c>
      <c r="B550" s="69">
        <v>8.7525257399999994</v>
      </c>
      <c r="C550" s="28">
        <f t="shared" si="35"/>
        <v>0.47377911737411427</v>
      </c>
      <c r="D550" s="52">
        <v>170.33799999999999</v>
      </c>
      <c r="E550" s="47">
        <v>642.27</v>
      </c>
      <c r="F550" s="44">
        <v>18.34</v>
      </c>
      <c r="G550" s="11">
        <v>6.845E-4</v>
      </c>
      <c r="H550" s="61">
        <f t="shared" si="33"/>
        <v>249.03216374269002</v>
      </c>
      <c r="I550" s="29">
        <f t="shared" si="34"/>
        <v>0.23492421049184994</v>
      </c>
      <c r="J550" s="52">
        <v>0.432</v>
      </c>
      <c r="K550" s="75">
        <v>-4.9721000000000002</v>
      </c>
      <c r="L550" s="81">
        <v>1006.7</v>
      </c>
      <c r="M550" s="13">
        <v>8.3000000000000001E-3</v>
      </c>
      <c r="N550" s="12">
        <v>-7.9935999999999992E-6</v>
      </c>
      <c r="O550" s="93">
        <v>0.24890000000000001</v>
      </c>
      <c r="P550" s="94">
        <v>0.26129999999999998</v>
      </c>
      <c r="Q550" s="95">
        <v>0.28570000000000001</v>
      </c>
      <c r="R550" s="111">
        <v>25.398</v>
      </c>
      <c r="S550" s="118">
        <v>-3473.8</v>
      </c>
      <c r="T550" s="125">
        <v>-5.6455000000000002</v>
      </c>
      <c r="U550" s="14">
        <v>0</v>
      </c>
      <c r="V550" s="30">
        <v>0</v>
      </c>
      <c r="W550" s="138">
        <v>221.92599999999999</v>
      </c>
      <c r="X550" s="13">
        <v>0.88251999999999997</v>
      </c>
      <c r="Y550" s="14">
        <v>-2.3370000000000001E-3</v>
      </c>
      <c r="Z550" s="30">
        <v>3.0657000000000001E-6</v>
      </c>
      <c r="AA550" s="77">
        <v>0.15820000000000001</v>
      </c>
      <c r="AB550" s="5">
        <v>-6.3497999999999994E-5</v>
      </c>
      <c r="AC550" s="15">
        <v>-2.0045E-7</v>
      </c>
      <c r="AD550" s="146">
        <v>66.45</v>
      </c>
      <c r="AE550" s="147">
        <v>0.38</v>
      </c>
      <c r="AF550" s="150">
        <v>51.125</v>
      </c>
      <c r="AG550" s="152">
        <v>1.2222</v>
      </c>
    </row>
    <row r="551" spans="1:33" x14ac:dyDescent="0.2">
      <c r="A551" s="27">
        <v>12</v>
      </c>
      <c r="B551" s="69">
        <v>11.580954074999999</v>
      </c>
      <c r="C551" s="28">
        <f t="shared" si="35"/>
        <v>0.65161234242956556</v>
      </c>
      <c r="D551" s="52">
        <v>170.33799999999999</v>
      </c>
      <c r="E551" s="47">
        <v>635.1</v>
      </c>
      <c r="F551" s="44">
        <v>18.39</v>
      </c>
      <c r="G551" s="11">
        <v>6.8550000000000002E-4</v>
      </c>
      <c r="H551" s="61">
        <f t="shared" si="33"/>
        <v>248.66861313868614</v>
      </c>
      <c r="I551" s="29">
        <f t="shared" si="34"/>
        <v>0.23857238258986635</v>
      </c>
      <c r="J551" s="52">
        <v>0.40300000000000002</v>
      </c>
      <c r="K551" s="75">
        <v>-4.5401999999999996</v>
      </c>
      <c r="L551" s="81">
        <v>935.2</v>
      </c>
      <c r="M551" s="13">
        <v>7.3000000000000001E-3</v>
      </c>
      <c r="N551" s="12">
        <v>-7.3452000000000004E-6</v>
      </c>
      <c r="O551" s="93">
        <v>0.2485</v>
      </c>
      <c r="P551" s="94">
        <v>0.2671</v>
      </c>
      <c r="Q551" s="95">
        <v>0.28570000000000001</v>
      </c>
      <c r="R551" s="111">
        <v>25.431999999999999</v>
      </c>
      <c r="S551" s="118">
        <v>-3396.7</v>
      </c>
      <c r="T551" s="125">
        <v>-5.6886000000000001</v>
      </c>
      <c r="U551" s="14">
        <v>0</v>
      </c>
      <c r="V551" s="30">
        <v>0</v>
      </c>
      <c r="W551" s="138">
        <v>205.898</v>
      </c>
      <c r="X551" s="13">
        <v>0.96843999999999997</v>
      </c>
      <c r="Y551" s="14">
        <v>-2.5400000000000002E-3</v>
      </c>
      <c r="Z551" s="30">
        <v>3.2221E-6</v>
      </c>
      <c r="AA551" s="77">
        <v>0.15440000000000001</v>
      </c>
      <c r="AB551" s="5">
        <v>-5.4106E-5</v>
      </c>
      <c r="AC551" s="15">
        <v>-2.1226E-7</v>
      </c>
      <c r="AD551" s="146">
        <v>64.808999999999997</v>
      </c>
      <c r="AE551" s="147">
        <v>0.38</v>
      </c>
      <c r="AF551" s="150">
        <v>50.466000000000001</v>
      </c>
      <c r="AG551" s="152">
        <v>1.2222</v>
      </c>
    </row>
    <row r="552" spans="1:33" x14ac:dyDescent="0.2">
      <c r="A552" s="27">
        <v>12</v>
      </c>
      <c r="B552" s="69">
        <v>10.813694287500001</v>
      </c>
      <c r="C552" s="28">
        <f t="shared" si="35"/>
        <v>0.6033720243779912</v>
      </c>
      <c r="D552" s="52">
        <v>170.33799999999999</v>
      </c>
      <c r="E552" s="47">
        <v>631.25</v>
      </c>
      <c r="F552" s="44">
        <v>18.34</v>
      </c>
      <c r="G552" s="11">
        <v>6.845E-4</v>
      </c>
      <c r="H552" s="61">
        <f t="shared" si="33"/>
        <v>249.03216374269002</v>
      </c>
      <c r="I552" s="29">
        <f t="shared" si="34"/>
        <v>0.23902538245164426</v>
      </c>
      <c r="J552" s="52">
        <v>0.432</v>
      </c>
      <c r="K552" s="75">
        <v>-4.7865000000000002</v>
      </c>
      <c r="L552" s="81">
        <v>964.22</v>
      </c>
      <c r="M552" s="13">
        <v>8.0000000000000002E-3</v>
      </c>
      <c r="N552" s="12">
        <v>-7.9783999999999997E-6</v>
      </c>
      <c r="O552" s="93">
        <v>0.24890000000000001</v>
      </c>
      <c r="P552" s="94">
        <v>0.27010000000000001</v>
      </c>
      <c r="Q552" s="95">
        <v>0.28570000000000001</v>
      </c>
      <c r="R552" s="111">
        <v>25.766999999999999</v>
      </c>
      <c r="S552" s="118">
        <v>-3444.4</v>
      </c>
      <c r="T552" s="125">
        <v>-5.7752999999999997</v>
      </c>
      <c r="U552" s="14">
        <v>0</v>
      </c>
      <c r="V552" s="30">
        <v>0</v>
      </c>
      <c r="W552" s="138">
        <v>220.99600000000001</v>
      </c>
      <c r="X552" s="13">
        <v>0.88978999999999997</v>
      </c>
      <c r="Y552" s="14">
        <v>-2.3828E-3</v>
      </c>
      <c r="Z552" s="30">
        <v>3.1456999999999998E-6</v>
      </c>
      <c r="AA552" s="77">
        <v>0.158</v>
      </c>
      <c r="AB552" s="5">
        <v>-6.4096000000000004E-5</v>
      </c>
      <c r="AC552" s="15">
        <v>-2.0767000000000001E-7</v>
      </c>
      <c r="AD552" s="146">
        <v>65.201999999999998</v>
      </c>
      <c r="AE552" s="147">
        <v>0.38</v>
      </c>
      <c r="AF552" s="150">
        <v>50.816000000000003</v>
      </c>
      <c r="AG552" s="152">
        <v>1.2222</v>
      </c>
    </row>
    <row r="553" spans="1:33" x14ac:dyDescent="0.2">
      <c r="A553" s="27">
        <v>12</v>
      </c>
      <c r="B553" s="69">
        <v>9.8394172750000006</v>
      </c>
      <c r="C553" s="28">
        <f t="shared" si="35"/>
        <v>0.54211580618561284</v>
      </c>
      <c r="D553" s="52">
        <v>170.33799999999999</v>
      </c>
      <c r="E553" s="47">
        <v>638.14</v>
      </c>
      <c r="F553" s="44">
        <v>18.34</v>
      </c>
      <c r="G553" s="11">
        <v>6.845E-4</v>
      </c>
      <c r="H553" s="61">
        <f t="shared" si="33"/>
        <v>249.03216374269002</v>
      </c>
      <c r="I553" s="29">
        <f t="shared" si="34"/>
        <v>0.23644462449086476</v>
      </c>
      <c r="J553" s="52">
        <v>0.432</v>
      </c>
      <c r="K553" s="75">
        <v>-4.9080000000000004</v>
      </c>
      <c r="L553" s="81">
        <v>991.48</v>
      </c>
      <c r="M553" s="13">
        <v>8.2000000000000007E-3</v>
      </c>
      <c r="N553" s="12">
        <v>-7.9961999999999998E-6</v>
      </c>
      <c r="O553" s="93">
        <v>0.24890000000000001</v>
      </c>
      <c r="P553" s="94">
        <v>0.26569999999999999</v>
      </c>
      <c r="Q553" s="95">
        <v>0.28570000000000001</v>
      </c>
      <c r="R553" s="111">
        <v>25.535</v>
      </c>
      <c r="S553" s="118">
        <v>-3462.8</v>
      </c>
      <c r="T553" s="125">
        <v>-5.6935000000000002</v>
      </c>
      <c r="U553" s="14">
        <v>0</v>
      </c>
      <c r="V553" s="30">
        <v>0</v>
      </c>
      <c r="W553" s="138">
        <v>222.15199999999999</v>
      </c>
      <c r="X553" s="13">
        <v>0.88088999999999995</v>
      </c>
      <c r="Y553" s="14">
        <v>-2.3410000000000002E-3</v>
      </c>
      <c r="Z553" s="30">
        <v>3.0788999999999999E-6</v>
      </c>
      <c r="AA553" s="77">
        <v>0.15809999999999999</v>
      </c>
      <c r="AB553" s="5">
        <v>-6.3723E-5</v>
      </c>
      <c r="AC553" s="15">
        <v>-2.0311E-7</v>
      </c>
      <c r="AD553" s="146">
        <v>65.981999999999999</v>
      </c>
      <c r="AE553" s="147">
        <v>0.38</v>
      </c>
      <c r="AF553" s="150">
        <v>51.01</v>
      </c>
      <c r="AG553" s="152">
        <v>1.2222</v>
      </c>
    </row>
    <row r="554" spans="1:33" x14ac:dyDescent="0.2">
      <c r="A554" s="27">
        <v>12</v>
      </c>
      <c r="B554" s="69">
        <v>10.818020947500001</v>
      </c>
      <c r="C554" s="28">
        <f t="shared" si="35"/>
        <v>0.60364405669077681</v>
      </c>
      <c r="D554" s="52">
        <v>170.33799999999999</v>
      </c>
      <c r="E554" s="47">
        <v>630.97</v>
      </c>
      <c r="F554" s="44">
        <v>18.34</v>
      </c>
      <c r="G554" s="11">
        <v>6.845E-4</v>
      </c>
      <c r="H554" s="61">
        <f t="shared" si="33"/>
        <v>249.03216374269002</v>
      </c>
      <c r="I554" s="29">
        <f t="shared" si="34"/>
        <v>0.23913145264053828</v>
      </c>
      <c r="J554" s="52">
        <v>0.432</v>
      </c>
      <c r="K554" s="75">
        <v>-4.7812000000000001</v>
      </c>
      <c r="L554" s="81">
        <v>963.07</v>
      </c>
      <c r="M554" s="13">
        <v>8.0000000000000002E-3</v>
      </c>
      <c r="N554" s="12">
        <v>-7.9771000000000002E-6</v>
      </c>
      <c r="O554" s="93">
        <v>0.24890000000000001</v>
      </c>
      <c r="P554" s="94">
        <v>0.27010000000000001</v>
      </c>
      <c r="Q554" s="95">
        <v>0.28570000000000001</v>
      </c>
      <c r="R554" s="111">
        <v>25.777000000000001</v>
      </c>
      <c r="S554" s="118">
        <v>-3443.7</v>
      </c>
      <c r="T554" s="125">
        <v>-5.7786</v>
      </c>
      <c r="U554" s="14">
        <v>0</v>
      </c>
      <c r="V554" s="30">
        <v>0</v>
      </c>
      <c r="W554" s="138">
        <v>220.86799999999999</v>
      </c>
      <c r="X554" s="13">
        <v>0.89076</v>
      </c>
      <c r="Y554" s="14">
        <v>-2.3863999999999999E-3</v>
      </c>
      <c r="Z554" s="30">
        <v>3.1508E-6</v>
      </c>
      <c r="AA554" s="77">
        <v>0.158</v>
      </c>
      <c r="AB554" s="5">
        <v>-6.4110999999999997E-5</v>
      </c>
      <c r="AC554" s="15">
        <v>-2.0786000000000001E-7</v>
      </c>
      <c r="AD554" s="146">
        <v>65.17</v>
      </c>
      <c r="AE554" s="147">
        <v>0.38</v>
      </c>
      <c r="AF554" s="150">
        <v>50.808999999999997</v>
      </c>
      <c r="AG554" s="152">
        <v>1.2222</v>
      </c>
    </row>
    <row r="555" spans="1:33" x14ac:dyDescent="0.2">
      <c r="A555" s="27">
        <v>12</v>
      </c>
      <c r="B555" s="69">
        <v>11.57281599375</v>
      </c>
      <c r="C555" s="28">
        <f t="shared" si="35"/>
        <v>0.65110067267412497</v>
      </c>
      <c r="D555" s="52">
        <v>170.33799999999999</v>
      </c>
      <c r="E555" s="47">
        <v>633.71</v>
      </c>
      <c r="F555" s="44">
        <v>18.39</v>
      </c>
      <c r="G555" s="11">
        <v>6.8550000000000002E-4</v>
      </c>
      <c r="H555" s="61">
        <f t="shared" si="33"/>
        <v>248.66861313868614</v>
      </c>
      <c r="I555" s="29">
        <f t="shared" si="34"/>
        <v>0.23909567496618978</v>
      </c>
      <c r="J555" s="52">
        <v>0.40300000000000002</v>
      </c>
      <c r="K555" s="75">
        <v>-4.5132000000000003</v>
      </c>
      <c r="L555" s="81">
        <v>929.42</v>
      </c>
      <c r="M555" s="13">
        <v>7.3000000000000001E-3</v>
      </c>
      <c r="N555" s="12">
        <v>-7.3351999999999997E-6</v>
      </c>
      <c r="O555" s="93">
        <v>0.2485</v>
      </c>
      <c r="P555" s="94">
        <v>0.26719999999999999</v>
      </c>
      <c r="Q555" s="95">
        <v>0.28570000000000001</v>
      </c>
      <c r="R555" s="111">
        <v>25.478999999999999</v>
      </c>
      <c r="S555" s="118">
        <v>-3393.1</v>
      </c>
      <c r="T555" s="125">
        <v>-5.7050000000000001</v>
      </c>
      <c r="U555" s="14">
        <v>0</v>
      </c>
      <c r="V555" s="30">
        <v>0</v>
      </c>
      <c r="W555" s="138">
        <v>205.245</v>
      </c>
      <c r="X555" s="13">
        <v>0.97352000000000005</v>
      </c>
      <c r="Y555" s="14">
        <v>-2.5579999999999999E-3</v>
      </c>
      <c r="Z555" s="30">
        <v>3.2469000000000002E-6</v>
      </c>
      <c r="AA555" s="77">
        <v>0.15440000000000001</v>
      </c>
      <c r="AB555" s="5">
        <v>-5.4128000000000001E-5</v>
      </c>
      <c r="AC555" s="15">
        <v>-2.1324E-7</v>
      </c>
      <c r="AD555" s="146">
        <v>64.653999999999996</v>
      </c>
      <c r="AE555" s="147">
        <v>0.38</v>
      </c>
      <c r="AF555" s="150">
        <v>50.427999999999997</v>
      </c>
      <c r="AG555" s="152">
        <v>1.2222</v>
      </c>
    </row>
    <row r="556" spans="1:33" x14ac:dyDescent="0.2">
      <c r="A556" s="27">
        <v>12</v>
      </c>
      <c r="B556" s="69">
        <v>3.8138202250000002</v>
      </c>
      <c r="C556" s="28">
        <f t="shared" si="35"/>
        <v>0.16326535308190582</v>
      </c>
      <c r="D556" s="52">
        <v>170.33799999999999</v>
      </c>
      <c r="E556" s="47">
        <v>656.25</v>
      </c>
      <c r="F556" s="45" t="str" cm="1">
        <f t="array" ref="F556">LEFT(INDEX($F$292:$F$645, MATCH(MIN(IF(ABS($B$292:$B$645-B556)&lt;&gt;0, ABS($B$292:$B$645-B556))), IF(ABS($B$292:$B$645-B556)&lt;&gt;0, ABS($B$292:$B$645-B556)), 0)),5)</f>
        <v>18.05</v>
      </c>
      <c r="G556" s="36" t="str" cm="1">
        <f t="array" ref="G556">LEFT(INDEX($G$292:$G$645, MATCH(MIN(IF(ABS($B$292:$B$645-B556)&lt;&gt;0, ABS($B$292:$B$645-B556))), IF(ABS($B$292:$B$645-B556)&lt;&gt;0, ABS($B$292:$B$645-B556)), 0)),8)</f>
        <v>0.000695</v>
      </c>
      <c r="H556" s="46">
        <f t="shared" ref="H556:H619" si="36">1/LEFT(G556,8)*D556/1000</f>
        <v>245.09064748201439</v>
      </c>
      <c r="I556" s="54">
        <f t="shared" ref="I556:I619" si="37">LEFT(F556,5)*100000/(H556*8.314/(D556/1000)*E556)</f>
        <v>0.22992313596114414</v>
      </c>
      <c r="J556" s="53" t="str" cm="1">
        <f t="array" ref="J556">LEFT(INDEX($J$292:$J$645, MATCH(MIN(IF(ABS($B$292:$B$645-B556)&lt;&gt;0, ABS($B$292:$B$645-B556))), IF(ABS($B$292:$B$645-B556)&lt;&gt;0, ABS($B$292:$B$645-B556)), 0)),5)</f>
        <v>0.519</v>
      </c>
      <c r="K556" s="75">
        <v>-5.3578999999999999</v>
      </c>
      <c r="L556" s="81">
        <v>1083.4000000000001</v>
      </c>
      <c r="M556" s="13">
        <v>8.9999999999999993E-3</v>
      </c>
      <c r="N556" s="12">
        <v>-8.3571E-6</v>
      </c>
      <c r="O556" s="93">
        <v>0.2467</v>
      </c>
      <c r="P556" s="94">
        <v>0.24690000000000001</v>
      </c>
      <c r="Q556" s="95">
        <v>0.28570000000000001</v>
      </c>
      <c r="R556" s="111">
        <v>25.132000000000001</v>
      </c>
      <c r="S556" s="118">
        <v>-3567.5</v>
      </c>
      <c r="T556" s="125">
        <v>-5.5236999999999998</v>
      </c>
      <c r="U556" s="14">
        <v>0</v>
      </c>
      <c r="V556" s="30">
        <v>0</v>
      </c>
      <c r="W556" s="138">
        <v>214.536</v>
      </c>
      <c r="X556" s="13">
        <v>0.96999000000000002</v>
      </c>
      <c r="Y556" s="14">
        <v>-2.5330999999999999E-3</v>
      </c>
      <c r="Z556" s="30">
        <v>3.2063999999999999E-6</v>
      </c>
      <c r="AA556" s="77">
        <v>0.1583</v>
      </c>
      <c r="AB556" s="5">
        <v>-5.7611000000000001E-5</v>
      </c>
      <c r="AC556" s="15">
        <v>-1.9896E-7</v>
      </c>
      <c r="AD556" s="146">
        <v>68.900000000000006</v>
      </c>
      <c r="AE556" s="147">
        <v>0.38</v>
      </c>
      <c r="AF556" s="150">
        <v>51.881999999999998</v>
      </c>
      <c r="AG556" s="152">
        <v>1.2222</v>
      </c>
    </row>
    <row r="557" spans="1:33" x14ac:dyDescent="0.2">
      <c r="A557" s="27">
        <v>12</v>
      </c>
      <c r="B557" s="69">
        <v>10.719421240000001</v>
      </c>
      <c r="C557" s="28">
        <f t="shared" si="35"/>
        <v>0.59744474672160652</v>
      </c>
      <c r="D557" s="52">
        <v>170.33799999999999</v>
      </c>
      <c r="E557" s="59">
        <v>668.43</v>
      </c>
      <c r="F557" s="45" t="str" cm="1">
        <f t="array" ref="F557">LEFT(INDEX($F$292:$F$645, MATCH(MIN(IF(ABS($B$292:$B$645-B557)&lt;&gt;0, ABS($B$292:$B$645-B557))), IF(ABS($B$292:$B$645-B557)&lt;&gt;0, ABS($B$292:$B$645-B557)), 0)),5)</f>
        <v>18.52</v>
      </c>
      <c r="G557" s="36" t="str" cm="1">
        <f t="array" ref="G557">LEFT(INDEX($G$292:$G$645, MATCH(MIN(IF(ABS($B$292:$B$645-B557)&lt;&gt;0, ABS($B$292:$B$645-B557))), IF(ABS($B$292:$B$645-B557)&lt;&gt;0, ABS($B$292:$B$645-B557)), 0)),8)</f>
        <v>0.000679</v>
      </c>
      <c r="H557" s="46">
        <f t="shared" si="36"/>
        <v>250.86597938144328</v>
      </c>
      <c r="I557" s="54">
        <f t="shared" si="37"/>
        <v>0.22627928777169568</v>
      </c>
      <c r="J557" s="53" t="str" cm="1">
        <f t="array" ref="J557">LEFT(INDEX($J$292:$J$645, MATCH(MIN(IF(ABS($B$292:$B$645-B557)&lt;&gt;0, ABS($B$292:$B$645-B557))), IF(ABS($B$292:$B$645-B557)&lt;&gt;0, ABS($B$292:$B$645-B557)), 0)),5)</f>
        <v>0.375</v>
      </c>
      <c r="K557" s="76">
        <v>-4.7939999999999996</v>
      </c>
      <c r="L557" s="82">
        <v>1017.3</v>
      </c>
      <c r="M557" s="85">
        <v>7.4000000000000003E-3</v>
      </c>
      <c r="N557" s="4">
        <v>-6.8874000000000003E-6</v>
      </c>
      <c r="O557" s="96">
        <v>0.25069999999999998</v>
      </c>
      <c r="P557" s="97">
        <v>0.24909999999999999</v>
      </c>
      <c r="Q557" s="98">
        <v>0.28570000000000001</v>
      </c>
      <c r="R557" s="113" t="str" cm="1">
        <f t="array" ref="R557">LEFT(INDEX($R$292:$R$645, MATCH(MIN(IF(ABS($B$292:$B$645-B557)&lt;&gt;0, ABS($B$292:$B$645-B557))), IF(ABS($B$292:$B$645-B557)&lt;&gt;0, ABS($B$292:$B$645-B557)), 0)),7)</f>
        <v>24.128</v>
      </c>
      <c r="S557" s="119" cm="1">
        <f t="array" ref="S557">INDEX($S$292:$S$645, MATCH(MIN(IF(ABS($B$292:$B$645-B557)&lt;&gt;0, ABS($B$292:$B$645-B557))), IF(ABS($B$292:$B$645-B557)&lt;&gt;0, ABS($B$292:$B$645-B557)), 0))</f>
        <v>-3436</v>
      </c>
      <c r="T557" s="126" cm="1">
        <f t="array" ref="T557">INDEX($T$292:$T$645, MATCH(MIN(IF(ABS($B$292:$B$645-B557)&lt;&gt;0, ABS($B$292:$B$645-B557))), IF(ABS($B$292:$B$645-B557)&lt;&gt;0, ABS($B$292:$B$645-B557)), 0))</f>
        <v>-5.2591000000000001</v>
      </c>
      <c r="U557" s="37" cm="1">
        <f t="array" ref="U557">INDEX($U$292:$U$645, MATCH(MIN(IF(ABS($B$292:$B$645-B557)&lt;&gt;0, ABS($B$292:$B$645-B557))), IF(ABS($B$292:$B$645-B557)&lt;&gt;0, ABS($B$292:$B$645-B557)), 0))</f>
        <v>0</v>
      </c>
      <c r="V557" s="133" cm="1">
        <f t="array" ref="V557">INDEX($V$292:$V$645, MATCH(MIN(IF(ABS($B$292:$B$645-B557)&lt;&gt;0, ABS($B$292:$B$645-B557))), IF(ABS($B$292:$B$645-B557)&lt;&gt;0, ABS($B$292:$B$645-B557)), 0))</f>
        <v>0</v>
      </c>
      <c r="W557" s="139">
        <v>219.11799999999999</v>
      </c>
      <c r="X557" s="7">
        <v>0.83603000000000005</v>
      </c>
      <c r="Y557" s="8">
        <v>-2.1153999999999999E-3</v>
      </c>
      <c r="Z557" s="33">
        <v>2.7107999999999999E-6</v>
      </c>
      <c r="AA557" s="141">
        <v>0.15529999999999999</v>
      </c>
      <c r="AB557" s="9">
        <v>-5.8498000000000001E-5</v>
      </c>
      <c r="AC557" s="10">
        <v>-1.8369E-7</v>
      </c>
      <c r="AD557" s="146">
        <v>67.650999999999996</v>
      </c>
      <c r="AE557" s="147">
        <v>0.38</v>
      </c>
      <c r="AF557" s="150">
        <v>51.024999999999999</v>
      </c>
      <c r="AG557" s="152">
        <v>1.2222</v>
      </c>
    </row>
    <row r="558" spans="1:33" x14ac:dyDescent="0.2">
      <c r="A558" s="27">
        <v>12</v>
      </c>
      <c r="B558" s="69">
        <v>7.1783741924999998</v>
      </c>
      <c r="C558" s="28">
        <f t="shared" si="35"/>
        <v>0.37480667994166489</v>
      </c>
      <c r="D558" s="52">
        <v>170.33799999999999</v>
      </c>
      <c r="E558" s="59">
        <v>654.66999999999996</v>
      </c>
      <c r="F558" s="45" t="str" cm="1">
        <f t="array" ref="F558">LEFT(INDEX($F$292:$F$645, MATCH(MIN(IF(ABS($B$292:$B$645-B558)&lt;&gt;0, ABS($B$292:$B$645-B558))), IF(ABS($B$292:$B$645-B558)&lt;&gt;0, ABS($B$292:$B$645-B558)), 0)),5)</f>
        <v>18.34</v>
      </c>
      <c r="G558" s="36" t="str" cm="1">
        <f t="array" ref="G558">LEFT(INDEX($G$292:$G$645, MATCH(MIN(IF(ABS($B$292:$B$645-B558)&lt;&gt;0, ABS($B$292:$B$645-B558))), IF(ABS($B$292:$B$645-B558)&lt;&gt;0, ABS($B$292:$B$645-B558)), 0)),8)</f>
        <v>0.000684</v>
      </c>
      <c r="H558" s="46">
        <f t="shared" si="36"/>
        <v>249.03216374269002</v>
      </c>
      <c r="I558" s="54">
        <f t="shared" si="37"/>
        <v>0.230474548509326</v>
      </c>
      <c r="J558" s="53" t="str" cm="1">
        <f t="array" ref="J558">LEFT(INDEX($J$292:$J$645, MATCH(MIN(IF(ABS($B$292:$B$645-B558)&lt;&gt;0, ABS($B$292:$B$645-B558))), IF(ABS($B$292:$B$645-B558)&lt;&gt;0, ABS($B$292:$B$645-B558)), 0)),5)</f>
        <v>0.432</v>
      </c>
      <c r="K558" s="76">
        <v>-5.1319999999999997</v>
      </c>
      <c r="L558" s="82">
        <v>1047.7</v>
      </c>
      <c r="M558" s="85">
        <v>8.5000000000000006E-3</v>
      </c>
      <c r="N558" s="4">
        <v>-7.9388999999999995E-6</v>
      </c>
      <c r="O558" s="96">
        <v>0.24890000000000001</v>
      </c>
      <c r="P558" s="97">
        <v>0.25230000000000002</v>
      </c>
      <c r="Q558" s="98">
        <v>0.28570000000000001</v>
      </c>
      <c r="R558" s="113" t="str" cm="1">
        <f t="array" ref="R558">LEFT(INDEX($R$292:$R$645, MATCH(MIN(IF(ABS($B$292:$B$645-B558)&lt;&gt;0, ABS($B$292:$B$645-B558))), IF(ABS($B$292:$B$645-B558)&lt;&gt;0, ABS($B$292:$B$645-B558)), 0)),7)</f>
        <v>25.088</v>
      </c>
      <c r="S558" s="119" cm="1">
        <f t="array" ref="S558">INDEX($S$292:$S$645, MATCH(MIN(IF(ABS($B$292:$B$645-B558)&lt;&gt;0, ABS($B$292:$B$645-B558))), IF(ABS($B$292:$B$645-B558)&lt;&gt;0, ABS($B$292:$B$645-B558)), 0))</f>
        <v>-3499.8</v>
      </c>
      <c r="T558" s="126" cm="1">
        <f t="array" ref="T558">INDEX($T$292:$T$645, MATCH(MIN(IF(ABS($B$292:$B$645-B558)&lt;&gt;0, ABS($B$292:$B$645-B558))), IF(ABS($B$292:$B$645-B558)&lt;&gt;0, ABS($B$292:$B$645-B558)), 0))</f>
        <v>-5.5365000000000002</v>
      </c>
      <c r="U558" s="37" cm="1">
        <f t="array" ref="U558">INDEX($U$292:$U$645, MATCH(MIN(IF(ABS($B$292:$B$645-B558)&lt;&gt;0, ABS($B$292:$B$645-B558))), IF(ABS($B$292:$B$645-B558)&lt;&gt;0, ABS($B$292:$B$645-B558)), 0))</f>
        <v>0</v>
      </c>
      <c r="V558" s="133" cm="1">
        <f t="array" ref="V558">INDEX($V$292:$V$645, MATCH(MIN(IF(ABS($B$292:$B$645-B558)&lt;&gt;0, ABS($B$292:$B$645-B558))), IF(ABS($B$292:$B$645-B558)&lt;&gt;0, ABS($B$292:$B$645-B558)), 0))</f>
        <v>0</v>
      </c>
      <c r="W558" s="139">
        <v>223.179</v>
      </c>
      <c r="X558" s="7">
        <v>0.87326999999999999</v>
      </c>
      <c r="Y558" s="8">
        <v>-2.2837999999999999E-3</v>
      </c>
      <c r="Z558" s="33">
        <v>2.9747000000000001E-6</v>
      </c>
      <c r="AA558" s="141">
        <v>0.15840000000000001</v>
      </c>
      <c r="AB558" s="9">
        <v>-6.2819999999999998E-5</v>
      </c>
      <c r="AC558" s="10">
        <v>-1.9278999999999999E-7</v>
      </c>
      <c r="AD558" s="146">
        <v>67.855999999999995</v>
      </c>
      <c r="AE558" s="147">
        <v>0.38</v>
      </c>
      <c r="AF558" s="150">
        <v>51.469000000000001</v>
      </c>
      <c r="AG558" s="152">
        <v>1.2222</v>
      </c>
    </row>
    <row r="559" spans="1:33" x14ac:dyDescent="0.2">
      <c r="A559" s="27">
        <v>12</v>
      </c>
      <c r="B559" s="69">
        <v>8.9793622912500002</v>
      </c>
      <c r="C559" s="28">
        <f t="shared" si="35"/>
        <v>0.48804112817710099</v>
      </c>
      <c r="D559" s="52">
        <v>170.33799999999999</v>
      </c>
      <c r="E559" s="59">
        <v>638.14</v>
      </c>
      <c r="F559" s="45" t="str" cm="1">
        <f t="array" aca="1" ref="F559" ca="1">LEFT(INDEX($F$292:$F$645, MATCH(MIN(IF(ABS($B$292:$B$645-B559)&lt;&gt;0, ABS($B$292:$B$645-B559))), IF(ABS($B$292:$B$645-B559)&lt;&gt;0, ABS($B$292:$B$645-B559)), 0)),5)</f>
        <v>18.05</v>
      </c>
      <c r="G559" s="36" t="str" cm="1">
        <f t="array" aca="1" ref="G559" ca="1">LEFT(INDEX($G$292:$G$645, MATCH(MIN(IF(ABS($B$292:$B$645-B559)&lt;&gt;0, ABS($B$292:$B$645-B559))), IF(ABS($B$292:$B$645-B559)&lt;&gt;0, ABS($B$292:$B$645-B559)), 0)),8)</f>
        <v>0.000695</v>
      </c>
      <c r="H559" s="46">
        <f t="shared" ca="1" si="36"/>
        <v>245.09064748201439</v>
      </c>
      <c r="I559" s="54">
        <f t="shared" ca="1" si="37"/>
        <v>0.23644820568292357</v>
      </c>
      <c r="J559" s="53" t="str" cm="1">
        <f t="array" aca="1" ref="J559" ca="1">LEFT(INDEX($J$292:$J$645, MATCH(MIN(IF(ABS($B$292:$B$645-B559)&lt;&gt;0, ABS($B$292:$B$645-B559))), IF(ABS($B$292:$B$645-B559)&lt;&gt;0, ABS($B$292:$B$645-B559)), 0)),5)</f>
        <v>0.519</v>
      </c>
      <c r="K559" s="76">
        <v>-4.9080000000000004</v>
      </c>
      <c r="L559" s="82">
        <v>991.48</v>
      </c>
      <c r="M559" s="85">
        <v>8.2000000000000007E-3</v>
      </c>
      <c r="N559" s="4">
        <v>-7.9961999999999998E-6</v>
      </c>
      <c r="O559" s="96">
        <v>0.24890000000000001</v>
      </c>
      <c r="P559" s="97">
        <v>0.26069999999999999</v>
      </c>
      <c r="Q559" s="98">
        <v>0.28570000000000001</v>
      </c>
      <c r="R559" s="113" t="str" cm="1">
        <f t="array" ref="R559">LEFT(INDEX($R$292:$R$645, MATCH(MIN(IF(ABS($B$292:$B$645-B559)&lt;&gt;0, ABS($B$292:$B$645-B559))), IF(ABS($B$292:$B$645-B559)&lt;&gt;0, ABS($B$292:$B$645-B559)), 0)),7)</f>
        <v>25.443</v>
      </c>
      <c r="S559" s="119" cm="1">
        <f t="array" ref="S559">INDEX($S$292:$S$645, MATCH(MIN(IF(ABS($B$292:$B$645-B559)&lt;&gt;0, ABS($B$292:$B$645-B559))), IF(ABS($B$292:$B$645-B559)&lt;&gt;0, ABS($B$292:$B$645-B559)), 0))</f>
        <v>-3470.1</v>
      </c>
      <c r="T559" s="126" cm="1">
        <f t="array" ref="T559">INDEX($T$292:$T$645, MATCH(MIN(IF(ABS($B$292:$B$645-B559)&lt;&gt;0, ABS($B$292:$B$645-B559))), IF(ABS($B$292:$B$645-B559)&lt;&gt;0, ABS($B$292:$B$645-B559)), 0))</f>
        <v>-5.6614000000000004</v>
      </c>
      <c r="U559" s="37" cm="1">
        <f t="array" ref="U559">INDEX($U$292:$U$645, MATCH(MIN(IF(ABS($B$292:$B$645-B559)&lt;&gt;0, ABS($B$292:$B$645-B559))), IF(ABS($B$292:$B$645-B559)&lt;&gt;0, ABS($B$292:$B$645-B559)), 0))</f>
        <v>0</v>
      </c>
      <c r="V559" s="133" cm="1">
        <f t="array" ref="V559">INDEX($V$292:$V$645, MATCH(MIN(IF(ABS($B$292:$B$645-B559)&lt;&gt;0, ABS($B$292:$B$645-B559))), IF(ABS($B$292:$B$645-B559)&lt;&gt;0, ABS($B$292:$B$645-B559)), 0))</f>
        <v>0</v>
      </c>
      <c r="W559" s="139">
        <v>219.74600000000001</v>
      </c>
      <c r="X559" s="7">
        <v>0.89895000000000003</v>
      </c>
      <c r="Y559" s="8">
        <v>-2.395E-3</v>
      </c>
      <c r="Z559" s="33">
        <v>3.1474999999999999E-6</v>
      </c>
      <c r="AA559" s="141">
        <v>0.15809999999999999</v>
      </c>
      <c r="AB559" s="9">
        <v>-6.3723E-5</v>
      </c>
      <c r="AC559" s="10">
        <v>-2.0311E-7</v>
      </c>
      <c r="AD559" s="146">
        <v>65.981999999999999</v>
      </c>
      <c r="AE559" s="147">
        <v>0.38</v>
      </c>
      <c r="AF559" s="150">
        <v>51.01</v>
      </c>
      <c r="AG559" s="152">
        <v>1.2222</v>
      </c>
    </row>
    <row r="560" spans="1:33" x14ac:dyDescent="0.2">
      <c r="A560" s="27">
        <v>12</v>
      </c>
      <c r="B560" s="69">
        <v>9.6534326499999992</v>
      </c>
      <c r="C560" s="28">
        <f t="shared" si="35"/>
        <v>0.53042229948961273</v>
      </c>
      <c r="D560" s="52">
        <v>170.33799999999999</v>
      </c>
      <c r="E560" s="59">
        <v>638.14</v>
      </c>
      <c r="F560" s="45" t="str" cm="1">
        <f t="array" ref="F560">LEFT(INDEX($F$292:$F$645, MATCH(MIN(IF(ABS($B$292:$B$645-B560)&lt;&gt;0, ABS($B$292:$B$645-B560))), IF(ABS($B$292:$B$645-B560)&lt;&gt;0, ABS($B$292:$B$645-B560)), 0)),5)</f>
        <v>18.34</v>
      </c>
      <c r="G560" s="36" t="str" cm="1">
        <f t="array" ref="G560">LEFT(INDEX($G$292:$G$645, MATCH(MIN(IF(ABS($B$292:$B$645-B560)&lt;&gt;0, ABS($B$292:$B$645-B560))), IF(ABS($B$292:$B$645-B560)&lt;&gt;0, ABS($B$292:$B$645-B560)), 0)),8)</f>
        <v>0.000684</v>
      </c>
      <c r="H560" s="46">
        <f t="shared" si="36"/>
        <v>249.03216374269002</v>
      </c>
      <c r="I560" s="54">
        <f t="shared" si="37"/>
        <v>0.23644462449086476</v>
      </c>
      <c r="J560" s="53" t="str" cm="1">
        <f t="array" ref="J560">LEFT(INDEX($J$292:$J$645, MATCH(MIN(IF(ABS($B$292:$B$645-B560)&lt;&gt;0, ABS($B$292:$B$645-B560))), IF(ABS($B$292:$B$645-B560)&lt;&gt;0, ABS($B$292:$B$645-B560)), 0)),5)</f>
        <v>0.432</v>
      </c>
      <c r="K560" s="76">
        <v>-4.9080000000000004</v>
      </c>
      <c r="L560" s="82">
        <v>991.48</v>
      </c>
      <c r="M560" s="85">
        <v>8.2000000000000007E-3</v>
      </c>
      <c r="N560" s="4">
        <v>-7.9961999999999998E-6</v>
      </c>
      <c r="O560" s="96">
        <v>0.24890000000000001</v>
      </c>
      <c r="P560" s="97">
        <v>0.26319999999999999</v>
      </c>
      <c r="Q560" s="98">
        <v>0.28570000000000001</v>
      </c>
      <c r="R560" s="113" t="str" cm="1">
        <f t="array" aca="1" ref="R560" ca="1">LEFT(INDEX($R$292:$R$645, MATCH(MIN(IF(ABS($B$292:$B$645-B560)&lt;&gt;0, ABS($B$292:$B$645-B560))), IF(ABS($B$292:$B$645-B560)&lt;&gt;0, ABS($B$292:$B$645-B560)), 0)),7)</f>
        <v>25.134</v>
      </c>
      <c r="S560" s="119" cm="1">
        <f t="array" aca="1" ref="S560" ca="1">INDEX($S$292:$S$645, MATCH(MIN(IF(ABS($B$292:$B$645-B560)&lt;&gt;0, ABS($B$292:$B$645-B560))), IF(ABS($B$292:$B$645-B560)&lt;&gt;0, ABS($B$292:$B$645-B560)), 0))</f>
        <v>-3425.9</v>
      </c>
      <c r="T560" s="126" cm="1">
        <f t="array" aca="1" ref="T560" ca="1">INDEX($T$292:$T$645, MATCH(MIN(IF(ABS($B$292:$B$645-B560)&lt;&gt;0, ABS($B$292:$B$645-B560))), IF(ABS($B$292:$B$645-B560)&lt;&gt;0, ABS($B$292:$B$645-B560)), 0))</f>
        <v>-5.5811999999999999</v>
      </c>
      <c r="U560" s="37" cm="1">
        <f t="array" aca="1" ref="U560" ca="1">INDEX($U$292:$U$645, MATCH(MIN(IF(ABS($B$292:$B$645-B560)&lt;&gt;0, ABS($B$292:$B$645-B560))), IF(ABS($B$292:$B$645-B560)&lt;&gt;0, ABS($B$292:$B$645-B560)), 0))</f>
        <v>0</v>
      </c>
      <c r="V560" s="133" cm="1">
        <f t="array" aca="1" ref="V560" ca="1">INDEX($V$292:$V$645, MATCH(MIN(IF(ABS($B$292:$B$645-B560)&lt;&gt;0, ABS($B$292:$B$645-B560))), IF(ABS($B$292:$B$645-B560)&lt;&gt;0, ABS($B$292:$B$645-B560)), 0))</f>
        <v>0</v>
      </c>
      <c r="W560" s="139">
        <v>220.93700000000001</v>
      </c>
      <c r="X560" s="7">
        <v>0.89000999999999997</v>
      </c>
      <c r="Y560" s="8">
        <v>-2.3682999999999998E-3</v>
      </c>
      <c r="Z560" s="33">
        <v>3.1134999999999999E-6</v>
      </c>
      <c r="AA560" s="141">
        <v>0.15809999999999999</v>
      </c>
      <c r="AB560" s="9">
        <v>-6.3723E-5</v>
      </c>
      <c r="AC560" s="10">
        <v>-2.0311E-7</v>
      </c>
      <c r="AD560" s="146">
        <v>65.981999999999999</v>
      </c>
      <c r="AE560" s="147">
        <v>0.38</v>
      </c>
      <c r="AF560" s="150">
        <v>51.01</v>
      </c>
      <c r="AG560" s="152">
        <v>1.2222</v>
      </c>
    </row>
    <row r="561" spans="1:33" x14ac:dyDescent="0.2">
      <c r="A561" s="27">
        <v>12</v>
      </c>
      <c r="B561" s="69">
        <v>8.8444185599999994</v>
      </c>
      <c r="C561" s="28">
        <f t="shared" si="35"/>
        <v>0.47955674176636887</v>
      </c>
      <c r="D561" s="52">
        <v>170.33799999999999</v>
      </c>
      <c r="E561" s="59">
        <v>646.41</v>
      </c>
      <c r="F561" s="45" t="str" cm="1">
        <f t="array" ref="F561">LEFT(INDEX($F$292:$F$645, MATCH(MIN(IF(ABS($B$292:$B$645-B561)&lt;&gt;0, ABS($B$292:$B$645-B561))), IF(ABS($B$292:$B$645-B561)&lt;&gt;0, ABS($B$292:$B$645-B561)), 0)),5)</f>
        <v>18.34</v>
      </c>
      <c r="G561" s="36" t="str" cm="1">
        <f t="array" ref="G561">LEFT(INDEX($G$292:$G$645, MATCH(MIN(IF(ABS($B$292:$B$645-B561)&lt;&gt;0, ABS($B$292:$B$645-B561))), IF(ABS($B$292:$B$645-B561)&lt;&gt;0, ABS($B$292:$B$645-B561)), 0)),8)</f>
        <v>0.000684</v>
      </c>
      <c r="H561" s="46">
        <f t="shared" si="36"/>
        <v>249.03216374269002</v>
      </c>
      <c r="I561" s="54">
        <f t="shared" si="37"/>
        <v>0.23341961397967306</v>
      </c>
      <c r="J561" s="53" t="str" cm="1">
        <f t="array" ref="J561">LEFT(INDEX($J$292:$J$645, MATCH(MIN(IF(ABS($B$292:$B$645-B561)&lt;&gt;0, ABS($B$292:$B$645-B561))), IF(ABS($B$292:$B$645-B561)&lt;&gt;0, ABS($B$292:$B$645-B561)), 0)),5)</f>
        <v>0.432</v>
      </c>
      <c r="K561" s="76">
        <v>-5.0305</v>
      </c>
      <c r="L561" s="82">
        <v>1021.1</v>
      </c>
      <c r="M561" s="85">
        <v>8.3000000000000001E-3</v>
      </c>
      <c r="N561" s="4">
        <v>-7.9826000000000004E-6</v>
      </c>
      <c r="O561" s="96">
        <v>0.24890000000000001</v>
      </c>
      <c r="P561" s="97">
        <v>0.25900000000000001</v>
      </c>
      <c r="Q561" s="98">
        <v>0.28570000000000001</v>
      </c>
      <c r="R561" s="113" t="str" cm="1">
        <f t="array" ref="R561">LEFT(INDEX($R$292:$R$645, MATCH(MIN(IF(ABS($B$292:$B$645-B561)&lt;&gt;0, ABS($B$292:$B$645-B561))), IF(ABS($B$292:$B$645-B561)&lt;&gt;0, ABS($B$292:$B$645-B561)), 0)),7)</f>
        <v>25.443</v>
      </c>
      <c r="S561" s="119" cm="1">
        <f t="array" ref="S561">INDEX($S$292:$S$645, MATCH(MIN(IF(ABS($B$292:$B$645-B561)&lt;&gt;0, ABS($B$292:$B$645-B561))), IF(ABS($B$292:$B$645-B561)&lt;&gt;0, ABS($B$292:$B$645-B561)), 0))</f>
        <v>-3470.1</v>
      </c>
      <c r="T561" s="126" cm="1">
        <f t="array" ref="T561">INDEX($T$292:$T$645, MATCH(MIN(IF(ABS($B$292:$B$645-B561)&lt;&gt;0, ABS($B$292:$B$645-B561))), IF(ABS($B$292:$B$645-B561)&lt;&gt;0, ABS($B$292:$B$645-B561)), 0))</f>
        <v>-5.6614000000000004</v>
      </c>
      <c r="U561" s="37" cm="1">
        <f t="array" ref="U561">INDEX($U$292:$U$645, MATCH(MIN(IF(ABS($B$292:$B$645-B561)&lt;&gt;0, ABS($B$292:$B$645-B561))), IF(ABS($B$292:$B$645-B561)&lt;&gt;0, ABS($B$292:$B$645-B561)), 0))</f>
        <v>0</v>
      </c>
      <c r="V561" s="133" cm="1">
        <f t="array" ref="V561">INDEX($V$292:$V$645, MATCH(MIN(IF(ABS($B$292:$B$645-B561)&lt;&gt;0, ABS($B$292:$B$645-B561))), IF(ABS($B$292:$B$645-B561)&lt;&gt;0, ABS($B$292:$B$645-B561)), 0))</f>
        <v>0</v>
      </c>
      <c r="W561" s="139">
        <v>222.71299999999999</v>
      </c>
      <c r="X561" s="7">
        <v>0.87661999999999995</v>
      </c>
      <c r="Y561" s="8">
        <v>-2.3108E-3</v>
      </c>
      <c r="Z561" s="33">
        <v>3.0245E-6</v>
      </c>
      <c r="AA561" s="141">
        <v>0.1583</v>
      </c>
      <c r="AB561" s="9">
        <v>-6.3272E-5</v>
      </c>
      <c r="AC561" s="10">
        <v>-1.9784999999999999E-7</v>
      </c>
      <c r="AD561" s="146">
        <v>66.918000000000006</v>
      </c>
      <c r="AE561" s="147">
        <v>0.38</v>
      </c>
      <c r="AF561" s="150">
        <v>51.24</v>
      </c>
      <c r="AG561" s="152">
        <v>1.2222</v>
      </c>
    </row>
    <row r="562" spans="1:33" x14ac:dyDescent="0.2">
      <c r="A562" s="27">
        <v>12</v>
      </c>
      <c r="B562" s="69">
        <v>8.2605589950000002</v>
      </c>
      <c r="C562" s="28">
        <f t="shared" si="35"/>
        <v>0.44284743994719344</v>
      </c>
      <c r="D562" s="52">
        <v>170.33799999999999</v>
      </c>
      <c r="E562" s="59">
        <v>643.65</v>
      </c>
      <c r="F562" s="45" t="str" cm="1">
        <f t="array" ref="F562">LEFT(INDEX($F$292:$F$645, MATCH(MIN(IF(ABS($B$292:$B$645-B562)&lt;&gt;0, ABS($B$292:$B$645-B562))), IF(ABS($B$292:$B$645-B562)&lt;&gt;0, ABS($B$292:$B$645-B562)), 0)),5)</f>
        <v>18.34</v>
      </c>
      <c r="G562" s="36" t="str" cm="1">
        <f t="array" ref="G562">LEFT(INDEX($G$292:$G$645, MATCH(MIN(IF(ABS($B$292:$B$645-B562)&lt;&gt;0, ABS($B$292:$B$645-B562))), IF(ABS($B$292:$B$645-B562)&lt;&gt;0, ABS($B$292:$B$645-B562)), 0)),8)</f>
        <v>0.000684</v>
      </c>
      <c r="H562" s="46">
        <f t="shared" si="36"/>
        <v>249.03216374269002</v>
      </c>
      <c r="I562" s="54">
        <f t="shared" si="37"/>
        <v>0.23442052772873528</v>
      </c>
      <c r="J562" s="53" t="str" cm="1">
        <f t="array" ref="J562">LEFT(INDEX($J$292:$J$645, MATCH(MIN(IF(ABS($B$292:$B$645-B562)&lt;&gt;0, ABS($B$292:$B$645-B562))), IF(ABS($B$292:$B$645-B562)&lt;&gt;0, ABS($B$292:$B$645-B562)), 0)),5)</f>
        <v>0.432</v>
      </c>
      <c r="K562" s="76">
        <v>-4.9922000000000004</v>
      </c>
      <c r="L562" s="82">
        <v>1011.5</v>
      </c>
      <c r="M562" s="85">
        <v>8.3000000000000001E-3</v>
      </c>
      <c r="N562" s="4">
        <v>-7.9907999999999998E-6</v>
      </c>
      <c r="O562" s="96">
        <v>0.24890000000000001</v>
      </c>
      <c r="P562" s="97">
        <v>0.25900000000000001</v>
      </c>
      <c r="Q562" s="98">
        <v>0.28570000000000001</v>
      </c>
      <c r="R562" s="113" t="str" cm="1">
        <f t="array" ref="R562">LEFT(INDEX($R$292:$R$645, MATCH(MIN(IF(ABS($B$292:$B$645-B562)&lt;&gt;0, ABS($B$292:$B$645-B562))), IF(ABS($B$292:$B$645-B562)&lt;&gt;0, ABS($B$292:$B$645-B562)), 0)),7)</f>
        <v>25.353</v>
      </c>
      <c r="S562" s="119" cm="1">
        <f t="array" ref="S562">INDEX($S$292:$S$645, MATCH(MIN(IF(ABS($B$292:$B$645-B562)&lt;&gt;0, ABS($B$292:$B$645-B562))), IF(ABS($B$292:$B$645-B562)&lt;&gt;0, ABS($B$292:$B$645-B562)), 0))</f>
        <v>-3477.5</v>
      </c>
      <c r="T562" s="126" cm="1">
        <f t="array" ref="T562">INDEX($T$292:$T$645, MATCH(MIN(IF(ABS($B$292:$B$645-B562)&lt;&gt;0, ABS($B$292:$B$645-B562))), IF(ABS($B$292:$B$645-B562)&lt;&gt;0, ABS($B$292:$B$645-B562)), 0))</f>
        <v>-5.6295999999999999</v>
      </c>
      <c r="U562" s="37" cm="1">
        <f t="array" ref="U562">INDEX($U$292:$U$645, MATCH(MIN(IF(ABS($B$292:$B$645-B562)&lt;&gt;0, ABS($B$292:$B$645-B562))), IF(ABS($B$292:$B$645-B562)&lt;&gt;0, ABS($B$292:$B$645-B562)), 0))</f>
        <v>0</v>
      </c>
      <c r="V562" s="133" cm="1">
        <f t="array" ref="V562">INDEX($V$292:$V$645, MATCH(MIN(IF(ABS($B$292:$B$645-B562)&lt;&gt;0, ABS($B$292:$B$645-B562))), IF(ABS($B$292:$B$645-B562)&lt;&gt;0, ABS($B$292:$B$645-B562)), 0))</f>
        <v>0</v>
      </c>
      <c r="W562" s="139">
        <v>221.47900000000001</v>
      </c>
      <c r="X562" s="7">
        <v>0.88585999999999998</v>
      </c>
      <c r="Y562" s="8">
        <v>-2.3440000000000002E-3</v>
      </c>
      <c r="Z562" s="33">
        <v>3.0719000000000002E-6</v>
      </c>
      <c r="AA562" s="141">
        <v>0.15820000000000001</v>
      </c>
      <c r="AB562" s="9">
        <v>-6.3423000000000006E-5</v>
      </c>
      <c r="AC562" s="10">
        <v>-1.9957999999999999E-7</v>
      </c>
      <c r="AD562" s="146">
        <v>66.605999999999995</v>
      </c>
      <c r="AE562" s="147">
        <v>0.38</v>
      </c>
      <c r="AF562" s="150">
        <v>51.164000000000001</v>
      </c>
      <c r="AG562" s="152">
        <v>1.2222</v>
      </c>
    </row>
    <row r="563" spans="1:33" x14ac:dyDescent="0.2">
      <c r="A563" s="27">
        <v>12</v>
      </c>
      <c r="B563" s="69">
        <v>8.7516663749999992</v>
      </c>
      <c r="C563" s="28">
        <f t="shared" si="35"/>
        <v>0.47372508607780783</v>
      </c>
      <c r="D563" s="52">
        <v>170.33799999999999</v>
      </c>
      <c r="E563" s="47">
        <v>638.14</v>
      </c>
      <c r="F563" s="45" t="str" cm="1">
        <f t="array" ref="F563">LEFT(INDEX($F$292:$F$645, MATCH(MIN(IF(ABS($B$292:$B$645-B563)&lt;&gt;0, ABS($B$292:$B$645-B563))), IF(ABS($B$292:$B$645-B563)&lt;&gt;0, ABS($B$292:$B$645-B563)), 0)),5)</f>
        <v>18.34</v>
      </c>
      <c r="G563" s="36" t="str" cm="1">
        <f t="array" ref="G563">LEFT(INDEX($G$292:$G$645, MATCH(MIN(IF(ABS($B$292:$B$645-B563)&lt;&gt;0, ABS($B$292:$B$645-B563))), IF(ABS($B$292:$B$645-B563)&lt;&gt;0, ABS($B$292:$B$645-B563)), 0)),8)</f>
        <v>0.000684</v>
      </c>
      <c r="H563" s="46">
        <f t="shared" si="36"/>
        <v>249.03216374269002</v>
      </c>
      <c r="I563" s="54">
        <f t="shared" si="37"/>
        <v>0.23644462449086476</v>
      </c>
      <c r="J563" s="53" t="str" cm="1">
        <f t="array" ref="J563">LEFT(INDEX($J$292:$J$645, MATCH(MIN(IF(ABS($B$292:$B$645-B563)&lt;&gt;0, ABS($B$292:$B$645-B563))), IF(ABS($B$292:$B$645-B563)&lt;&gt;0, ABS($B$292:$B$645-B563)), 0)),5)</f>
        <v>0.432</v>
      </c>
      <c r="K563" s="75">
        <v>-4.9080000000000004</v>
      </c>
      <c r="L563" s="81">
        <v>991.48</v>
      </c>
      <c r="M563" s="13">
        <v>8.2000000000000007E-3</v>
      </c>
      <c r="N563" s="12">
        <v>-7.9961999999999998E-6</v>
      </c>
      <c r="O563" s="93">
        <v>0.24890000000000001</v>
      </c>
      <c r="P563" s="94">
        <v>0.2611</v>
      </c>
      <c r="Q563" s="95">
        <v>0.28570000000000001</v>
      </c>
      <c r="R563" s="111">
        <v>25.535</v>
      </c>
      <c r="S563" s="118">
        <v>-3462.8</v>
      </c>
      <c r="T563" s="125">
        <v>-5.6935000000000002</v>
      </c>
      <c r="U563" s="14">
        <v>0</v>
      </c>
      <c r="V563" s="30">
        <v>0</v>
      </c>
      <c r="W563" s="138">
        <v>219.94399999999999</v>
      </c>
      <c r="X563" s="13">
        <v>0.89746000000000004</v>
      </c>
      <c r="Y563" s="14">
        <v>-2.3906000000000001E-3</v>
      </c>
      <c r="Z563" s="30">
        <v>3.1418000000000001E-6</v>
      </c>
      <c r="AA563" s="77">
        <v>0.15809999999999999</v>
      </c>
      <c r="AB563" s="5">
        <v>-6.3723E-5</v>
      </c>
      <c r="AC563" s="15">
        <v>-2.0311E-7</v>
      </c>
      <c r="AD563" s="146">
        <v>65.981999999999999</v>
      </c>
      <c r="AE563" s="147">
        <v>0.38</v>
      </c>
      <c r="AF563" s="150">
        <v>51.01</v>
      </c>
      <c r="AG563" s="152">
        <v>1.2222</v>
      </c>
    </row>
    <row r="564" spans="1:33" x14ac:dyDescent="0.2">
      <c r="A564" s="27">
        <v>12</v>
      </c>
      <c r="B564" s="69">
        <v>8.6740251624999996</v>
      </c>
      <c r="C564" s="28">
        <f t="shared" si="35"/>
        <v>0.46884351031177718</v>
      </c>
      <c r="D564" s="52">
        <v>170.33799999999999</v>
      </c>
      <c r="E564" s="47">
        <v>640.89</v>
      </c>
      <c r="F564" s="45" t="str" cm="1">
        <f t="array" ref="F564">LEFT(INDEX($F$292:$F$645, MATCH(MIN(IF(ABS($B$292:$B$645-B564)&lt;&gt;0, ABS($B$292:$B$645-B564))), IF(ABS($B$292:$B$645-B564)&lt;&gt;0, ABS($B$292:$B$645-B564)), 0)),5)</f>
        <v>18.34</v>
      </c>
      <c r="G564" s="36" t="str" cm="1">
        <f t="array" ref="G564">LEFT(INDEX($G$292:$G$645, MATCH(MIN(IF(ABS($B$292:$B$645-B564)&lt;&gt;0, ABS($B$292:$B$645-B564))), IF(ABS($B$292:$B$645-B564)&lt;&gt;0, ABS($B$292:$B$645-B564)), 0)),8)</f>
        <v>0.000684</v>
      </c>
      <c r="H564" s="46">
        <f t="shared" si="36"/>
        <v>249.03216374269002</v>
      </c>
      <c r="I564" s="54">
        <f t="shared" si="37"/>
        <v>0.2354300623704543</v>
      </c>
      <c r="J564" s="53" t="str" cm="1">
        <f t="array" ref="J564">LEFT(INDEX($J$292:$J$645, MATCH(MIN(IF(ABS($B$292:$B$645-B564)&lt;&gt;0, ABS($B$292:$B$645-B564))), IF(ABS($B$292:$B$645-B564)&lt;&gt;0, ABS($B$292:$B$645-B564)), 0)),5)</f>
        <v>0.432</v>
      </c>
      <c r="K564" s="75">
        <v>-4.9513999999999996</v>
      </c>
      <c r="L564" s="81">
        <v>1001.7</v>
      </c>
      <c r="M564" s="13">
        <v>8.2000000000000007E-3</v>
      </c>
      <c r="N564" s="12">
        <v>-7.9954999999999999E-6</v>
      </c>
      <c r="O564" s="93">
        <v>0.24890000000000001</v>
      </c>
      <c r="P564" s="94">
        <v>0.25869999999999999</v>
      </c>
      <c r="Q564" s="95">
        <v>0.28570000000000001</v>
      </c>
      <c r="R564" s="111">
        <v>25.443000000000001</v>
      </c>
      <c r="S564" s="118">
        <v>-3470.1</v>
      </c>
      <c r="T564" s="125">
        <v>-5.6614000000000004</v>
      </c>
      <c r="U564" s="14">
        <v>0</v>
      </c>
      <c r="V564" s="30">
        <v>0</v>
      </c>
      <c r="W564" s="138">
        <v>220.03200000000001</v>
      </c>
      <c r="X564" s="13">
        <v>0.89675000000000005</v>
      </c>
      <c r="Y564" s="14">
        <v>-2.3823999999999998E-3</v>
      </c>
      <c r="Z564" s="30">
        <v>3.1259999999999998E-6</v>
      </c>
      <c r="AA564" s="77">
        <v>0.15820000000000001</v>
      </c>
      <c r="AB564" s="5">
        <v>-6.3572999999999996E-5</v>
      </c>
      <c r="AC564" s="15">
        <v>-2.0132999999999999E-7</v>
      </c>
      <c r="AD564" s="146">
        <v>66.293999999999997</v>
      </c>
      <c r="AE564" s="147">
        <v>0.38</v>
      </c>
      <c r="AF564" s="150">
        <v>51.087000000000003</v>
      </c>
      <c r="AG564" s="152">
        <v>1.2222</v>
      </c>
    </row>
    <row r="565" spans="1:33" x14ac:dyDescent="0.2">
      <c r="A565" s="27">
        <v>12</v>
      </c>
      <c r="B565" s="69">
        <v>9.7128603249999994</v>
      </c>
      <c r="C565" s="28">
        <f t="shared" si="35"/>
        <v>0.53415872617294868</v>
      </c>
      <c r="D565" s="52">
        <v>170.33799999999999</v>
      </c>
      <c r="E565" s="47">
        <v>655.89</v>
      </c>
      <c r="F565" s="45" t="str" cm="1">
        <f t="array" ref="F565">LEFT(INDEX($F$292:$F$645, MATCH(MIN(IF(ABS($B$292:$B$645-B565)&lt;&gt;0, ABS($B$292:$B$645-B565))), IF(ABS($B$292:$B$645-B565)&lt;&gt;0, ABS($B$292:$B$645-B565)), 0)),5)</f>
        <v>18.39</v>
      </c>
      <c r="G565" s="36" t="str" cm="1">
        <f t="array" ref="G565">LEFT(INDEX($G$292:$G$645, MATCH(MIN(IF(ABS($B$292:$B$645-B565)&lt;&gt;0, ABS($B$292:$B$645-B565))), IF(ABS($B$292:$B$645-B565)&lt;&gt;0, ABS($B$292:$B$645-B565)), 0)),8)</f>
        <v>0.000685</v>
      </c>
      <c r="H565" s="46">
        <f t="shared" si="36"/>
        <v>248.66861313868614</v>
      </c>
      <c r="I565" s="54">
        <f t="shared" si="37"/>
        <v>0.2310102611456557</v>
      </c>
      <c r="J565" s="53" t="str" cm="1">
        <f t="array" ref="J565">LEFT(INDEX($J$292:$J$645, MATCH(MIN(IF(ABS($B$292:$B$645-B565)&lt;&gt;0, ABS($B$292:$B$645-B565))), IF(ABS($B$292:$B$645-B565)&lt;&gt;0, ABS($B$292:$B$645-B565)), 0)),5)</f>
        <v>0.403</v>
      </c>
      <c r="K565" s="75">
        <v>-4.8616000000000001</v>
      </c>
      <c r="L565" s="81">
        <v>1010.6</v>
      </c>
      <c r="M565" s="13">
        <v>7.7999999999999996E-3</v>
      </c>
      <c r="N565" s="12">
        <v>-7.3675000000000002E-6</v>
      </c>
      <c r="O565" s="93">
        <v>0.2485</v>
      </c>
      <c r="P565" s="94">
        <v>0.25430000000000003</v>
      </c>
      <c r="Q565" s="95">
        <v>0.28570000000000001</v>
      </c>
      <c r="R565" s="111">
        <v>24.763000000000002</v>
      </c>
      <c r="S565" s="118">
        <v>-3451.3</v>
      </c>
      <c r="T565" s="125">
        <v>-5.4532999999999996</v>
      </c>
      <c r="U565" s="14">
        <v>0</v>
      </c>
      <c r="V565" s="30">
        <v>0</v>
      </c>
      <c r="W565" s="138">
        <v>209.703</v>
      </c>
      <c r="X565" s="13">
        <v>0.93788000000000005</v>
      </c>
      <c r="Y565" s="14">
        <v>-2.4055999999999999E-3</v>
      </c>
      <c r="Z565" s="30">
        <v>3.0189E-6</v>
      </c>
      <c r="AA565" s="77">
        <v>0.15490000000000001</v>
      </c>
      <c r="AB565" s="5">
        <v>-5.3715999999999999E-5</v>
      </c>
      <c r="AC565" s="15">
        <v>-1.9831999999999999E-7</v>
      </c>
      <c r="AD565" s="146">
        <v>67.137</v>
      </c>
      <c r="AE565" s="147">
        <v>0.38</v>
      </c>
      <c r="AF565" s="150">
        <v>51.039000000000001</v>
      </c>
      <c r="AG565" s="152">
        <v>1.2222</v>
      </c>
    </row>
    <row r="566" spans="1:33" x14ac:dyDescent="0.2">
      <c r="A566" s="27">
        <v>12</v>
      </c>
      <c r="B566" s="69">
        <v>6.707030305</v>
      </c>
      <c r="C566" s="28">
        <f t="shared" si="35"/>
        <v>0.34517163400923939</v>
      </c>
      <c r="D566" s="52">
        <v>170.33799999999999</v>
      </c>
      <c r="E566" s="47">
        <v>642.6</v>
      </c>
      <c r="F566" s="45" t="str" cm="1">
        <f t="array" ref="F566">LEFT(INDEX($F$292:$F$645, MATCH(MIN(IF(ABS($B$292:$B$645-B566)&lt;&gt;0, ABS($B$292:$B$645-B566))), IF(ABS($B$292:$B$645-B566)&lt;&gt;0, ABS($B$292:$B$645-B566)), 0)),5)</f>
        <v>18.29</v>
      </c>
      <c r="G566" s="36" t="str" cm="1">
        <f t="array" ref="G566">LEFT(INDEX($G$292:$G$645, MATCH(MIN(IF(ABS($B$292:$B$645-B566)&lt;&gt;0, ABS($B$292:$B$645-B566))), IF(ABS($B$292:$B$645-B566)&lt;&gt;0, ABS($B$292:$B$645-B566)), 0)),8)</f>
        <v>0.000683</v>
      </c>
      <c r="H566" s="46">
        <f t="shared" si="36"/>
        <v>249.39677891654466</v>
      </c>
      <c r="I566" s="54">
        <f t="shared" si="37"/>
        <v>0.23382108302653376</v>
      </c>
      <c r="J566" s="53" t="str" cm="1">
        <f t="array" ref="J566">LEFT(INDEX($J$292:$J$645, MATCH(MIN(IF(ABS($B$292:$B$645-B566)&lt;&gt;0, ABS($B$292:$B$645-B566))), IF(ABS($B$292:$B$645-B566)&lt;&gt;0, ABS($B$292:$B$645-B566)), 0)),5)</f>
        <v>0.462</v>
      </c>
      <c r="K566" s="75">
        <v>-5.2788000000000004</v>
      </c>
      <c r="L566" s="81">
        <v>1050.5999999999999</v>
      </c>
      <c r="M566" s="13">
        <v>8.9999999999999993E-3</v>
      </c>
      <c r="N566" s="12">
        <v>-8.6023999999999992E-6</v>
      </c>
      <c r="O566" s="93">
        <v>0.2492</v>
      </c>
      <c r="P566" s="94">
        <v>0.25700000000000001</v>
      </c>
      <c r="Q566" s="95">
        <v>0.28570000000000001</v>
      </c>
      <c r="R566" s="111">
        <v>25.593</v>
      </c>
      <c r="S566" s="118">
        <v>-3533.6</v>
      </c>
      <c r="T566" s="125">
        <v>-5.6826999999999996</v>
      </c>
      <c r="U566" s="14">
        <v>0</v>
      </c>
      <c r="V566" s="30">
        <v>0</v>
      </c>
      <c r="W566" s="138">
        <v>234.845</v>
      </c>
      <c r="X566" s="13">
        <v>0.82179000000000002</v>
      </c>
      <c r="Y566" s="14">
        <v>-2.2238000000000002E-3</v>
      </c>
      <c r="Z566" s="30">
        <v>3.0301E-6</v>
      </c>
      <c r="AA566" s="77">
        <v>0.16170000000000001</v>
      </c>
      <c r="AB566" s="5">
        <v>-7.2266000000000002E-5</v>
      </c>
      <c r="AC566" s="15">
        <v>-1.9417E-7</v>
      </c>
      <c r="AD566" s="146">
        <v>67.320999999999998</v>
      </c>
      <c r="AE566" s="147">
        <v>0.38</v>
      </c>
      <c r="AF566" s="150">
        <v>51.604999999999997</v>
      </c>
      <c r="AG566" s="152">
        <v>1.2222</v>
      </c>
    </row>
    <row r="567" spans="1:33" x14ac:dyDescent="0.2">
      <c r="A567" s="27">
        <v>12</v>
      </c>
      <c r="B567" s="69">
        <v>7.6750670999999997</v>
      </c>
      <c r="C567" s="28">
        <f t="shared" si="35"/>
        <v>0.406035507806909</v>
      </c>
      <c r="D567" s="52">
        <v>170.33799999999999</v>
      </c>
      <c r="E567" s="47">
        <v>656.05</v>
      </c>
      <c r="F567" s="45" t="str" cm="1">
        <f t="array" ref="F567">LEFT(INDEX($F$292:$F$645, MATCH(MIN(IF(ABS($B$292:$B$645-B567)&lt;&gt;0, ABS($B$292:$B$645-B567))), IF(ABS($B$292:$B$645-B567)&lt;&gt;0, ABS($B$292:$B$645-B567)), 0)),5)</f>
        <v>18.29</v>
      </c>
      <c r="G567" s="36" t="str" cm="1">
        <f t="array" ref="G567">LEFT(INDEX($G$292:$G$645, MATCH(MIN(IF(ABS($B$292:$B$645-B567)&lt;&gt;0, ABS($B$292:$B$645-B567))), IF(ABS($B$292:$B$645-B567)&lt;&gt;0, ABS($B$292:$B$645-B567)), 0)),8)</f>
        <v>0.000683</v>
      </c>
      <c r="H567" s="46">
        <f t="shared" si="36"/>
        <v>249.39677891654466</v>
      </c>
      <c r="I567" s="54">
        <f t="shared" si="37"/>
        <v>0.22902740332726257</v>
      </c>
      <c r="J567" s="53" t="str" cm="1">
        <f t="array" ref="J567">LEFT(INDEX($J$292:$J$645, MATCH(MIN(IF(ABS($B$292:$B$645-B567)&lt;&gt;0, ABS($B$292:$B$645-B567))), IF(ABS($B$292:$B$645-B567)&lt;&gt;0, ABS($B$292:$B$645-B567)), 0)),5)</f>
        <v>0.462</v>
      </c>
      <c r="K567" s="75">
        <v>-5.1471</v>
      </c>
      <c r="L567" s="81">
        <v>1051.9000000000001</v>
      </c>
      <c r="M567" s="13">
        <v>8.5000000000000006E-3</v>
      </c>
      <c r="N567" s="12">
        <v>-7.9292000000000002E-6</v>
      </c>
      <c r="O567" s="93">
        <v>0.24890000000000001</v>
      </c>
      <c r="P567" s="94">
        <v>0.2525</v>
      </c>
      <c r="Q567" s="95">
        <v>0.28570000000000001</v>
      </c>
      <c r="R567" s="111">
        <v>24.957999999999998</v>
      </c>
      <c r="S567" s="118">
        <v>-3511.1</v>
      </c>
      <c r="T567" s="125">
        <v>-5.4911000000000003</v>
      </c>
      <c r="U567" s="14">
        <v>0</v>
      </c>
      <c r="V567" s="30">
        <v>0</v>
      </c>
      <c r="W567" s="138">
        <v>223.87100000000001</v>
      </c>
      <c r="X567" s="13">
        <v>0.86814999999999998</v>
      </c>
      <c r="Y567" s="14">
        <v>-2.2658999999999999E-3</v>
      </c>
      <c r="Z567" s="30">
        <v>2.9496999999999999E-6</v>
      </c>
      <c r="AA567" s="77">
        <v>0.1585</v>
      </c>
      <c r="AB567" s="5">
        <v>-6.2743999999999994E-5</v>
      </c>
      <c r="AC567" s="15">
        <v>-1.9196999999999999E-7</v>
      </c>
      <c r="AD567" s="146">
        <v>68.013000000000005</v>
      </c>
      <c r="AE567" s="147">
        <v>0.38</v>
      </c>
      <c r="AF567" s="150">
        <v>51.506</v>
      </c>
      <c r="AG567" s="152">
        <v>1.2222</v>
      </c>
    </row>
    <row r="568" spans="1:33" x14ac:dyDescent="0.2">
      <c r="A568" s="27">
        <v>12</v>
      </c>
      <c r="B568" s="69">
        <v>8.6277628125000003</v>
      </c>
      <c r="C568" s="28">
        <f t="shared" si="35"/>
        <v>0.46593483385802359</v>
      </c>
      <c r="D568" s="52">
        <v>170.33799999999999</v>
      </c>
      <c r="E568" s="47">
        <v>662.82</v>
      </c>
      <c r="F568" s="45" t="str" cm="1">
        <f t="array" aca="1" ref="F568" ca="1">LEFT(INDEX($F$292:$F$645, MATCH(MIN(IF(ABS($B$292:$B$645-B568)&lt;&gt;0, ABS($B$292:$B$645-B568))), IF(ABS($B$292:$B$645-B568)&lt;&gt;0, ABS($B$292:$B$645-B568)), 0)),5)</f>
        <v>18.39</v>
      </c>
      <c r="G568" s="36" t="str" cm="1">
        <f t="array" aca="1" ref="G568" ca="1">LEFT(INDEX($G$292:$G$645, MATCH(MIN(IF(ABS($B$292:$B$645-B568)&lt;&gt;0, ABS($B$292:$B$645-B568))), IF(ABS($B$292:$B$645-B568)&lt;&gt;0, ABS($B$292:$B$645-B568)), 0)),8)</f>
        <v>0.000685</v>
      </c>
      <c r="H568" s="46">
        <f t="shared" ca="1" si="36"/>
        <v>248.66861313868614</v>
      </c>
      <c r="I568" s="54">
        <f t="shared" ca="1" si="37"/>
        <v>0.22859497327000408</v>
      </c>
      <c r="J568" s="53" t="str" cm="1">
        <f t="array" aca="1" ref="J568" ca="1">LEFT(INDEX($J$292:$J$645, MATCH(MIN(IF(ABS($B$292:$B$645-B568)&lt;&gt;0, ABS($B$292:$B$645-B568))), IF(ABS($B$292:$B$645-B568)&lt;&gt;0, ABS($B$292:$B$645-B568)), 0)),5)</f>
        <v>0.403</v>
      </c>
      <c r="K568" s="75">
        <v>-4.9405000000000001</v>
      </c>
      <c r="L568" s="81">
        <v>1031.8</v>
      </c>
      <c r="M568" s="13">
        <v>7.9000000000000008E-3</v>
      </c>
      <c r="N568" s="12">
        <v>-7.3343999999999996E-6</v>
      </c>
      <c r="O568" s="93">
        <v>0.2485</v>
      </c>
      <c r="P568" s="94">
        <v>0.24990000000000001</v>
      </c>
      <c r="Q568" s="95">
        <v>0.28570000000000001</v>
      </c>
      <c r="R568" s="111">
        <v>24.550999999999998</v>
      </c>
      <c r="S568" s="118">
        <v>-3469.7</v>
      </c>
      <c r="T568" s="125">
        <v>-5.3791000000000002</v>
      </c>
      <c r="U568" s="14">
        <v>0</v>
      </c>
      <c r="V568" s="30">
        <v>0</v>
      </c>
      <c r="W568" s="138">
        <v>210.73599999999999</v>
      </c>
      <c r="X568" s="13">
        <v>0.92979999999999996</v>
      </c>
      <c r="Y568" s="14">
        <v>-2.3681000000000002E-3</v>
      </c>
      <c r="Z568" s="30">
        <v>2.9608999999999999E-6</v>
      </c>
      <c r="AA568" s="77">
        <v>0.155</v>
      </c>
      <c r="AB568" s="5">
        <v>-5.3563000000000002E-5</v>
      </c>
      <c r="AC568" s="15">
        <v>-1.9399000000000001E-7</v>
      </c>
      <c r="AD568" s="146">
        <v>67.914000000000001</v>
      </c>
      <c r="AE568" s="147">
        <v>0.38</v>
      </c>
      <c r="AF568" s="150">
        <v>51.226999999999997</v>
      </c>
      <c r="AG568" s="152">
        <v>1.2222</v>
      </c>
    </row>
    <row r="569" spans="1:33" x14ac:dyDescent="0.2">
      <c r="A569" s="27">
        <v>12</v>
      </c>
      <c r="B569" s="69">
        <v>8.1679386100000002</v>
      </c>
      <c r="C569" s="28">
        <f t="shared" si="35"/>
        <v>0.43702407098761625</v>
      </c>
      <c r="D569" s="52">
        <v>170.33799999999999</v>
      </c>
      <c r="E569" s="47">
        <v>648.47</v>
      </c>
      <c r="F569" s="45" t="str" cm="1">
        <f t="array" aca="1" ref="F569" ca="1">LEFT(INDEX($F$292:$F$645, MATCH(MIN(IF(ABS($B$292:$B$645-B569)&lt;&gt;0, ABS($B$292:$B$645-B569))), IF(ABS($B$292:$B$645-B569)&lt;&gt;0, ABS($B$292:$B$645-B569)), 0)),5)</f>
        <v>18.05</v>
      </c>
      <c r="G569" s="36" t="str" cm="1">
        <f t="array" aca="1" ref="G569" ca="1">LEFT(INDEX($G$292:$G$645, MATCH(MIN(IF(ABS($B$292:$B$645-B569)&lt;&gt;0, ABS($B$292:$B$645-B569))), IF(ABS($B$292:$B$645-B569)&lt;&gt;0, ABS($B$292:$B$645-B569)), 0)),8)</f>
        <v>0.000695</v>
      </c>
      <c r="H569" s="46">
        <f t="shared" ca="1" si="36"/>
        <v>245.09064748201439</v>
      </c>
      <c r="I569" s="54">
        <f t="shared" ca="1" si="37"/>
        <v>0.23268163211019913</v>
      </c>
      <c r="J569" s="53" t="str" cm="1">
        <f t="array" aca="1" ref="J569" ca="1">LEFT(INDEX($J$292:$J$645, MATCH(MIN(IF(ABS($B$292:$B$645-B569)&lt;&gt;0, ABS($B$292:$B$645-B569))), IF(ABS($B$292:$B$645-B569)&lt;&gt;0, ABS($B$292:$B$645-B569)), 0)),5)</f>
        <v>0.519</v>
      </c>
      <c r="K569" s="75">
        <v>-5.0576999999999996</v>
      </c>
      <c r="L569" s="81">
        <v>1028</v>
      </c>
      <c r="M569" s="13">
        <v>8.3999999999999995E-3</v>
      </c>
      <c r="N569" s="12">
        <v>-7.9742000000000007E-6</v>
      </c>
      <c r="O569" s="93">
        <v>0.24890000000000001</v>
      </c>
      <c r="P569" s="94">
        <v>0.25669999999999998</v>
      </c>
      <c r="Q569" s="95">
        <v>0.28570000000000001</v>
      </c>
      <c r="R569" s="111">
        <v>25.196999999999999</v>
      </c>
      <c r="S569" s="118">
        <v>-3490.5</v>
      </c>
      <c r="T569" s="125">
        <v>-5.5749000000000004</v>
      </c>
      <c r="U569" s="14">
        <v>0</v>
      </c>
      <c r="V569" s="30">
        <v>0</v>
      </c>
      <c r="W569" s="138">
        <v>222.55799999999999</v>
      </c>
      <c r="X569" s="13">
        <v>0.87780000000000002</v>
      </c>
      <c r="Y569" s="14">
        <v>-2.3099000000000001E-3</v>
      </c>
      <c r="Z569" s="30">
        <v>3.0195000000000001E-6</v>
      </c>
      <c r="AA569" s="77">
        <v>0.1583</v>
      </c>
      <c r="AB569" s="5">
        <v>-6.3158999999999996E-5</v>
      </c>
      <c r="AC569" s="15">
        <v>-1.9656000000000001E-7</v>
      </c>
      <c r="AD569" s="146">
        <v>67.153000000000006</v>
      </c>
      <c r="AE569" s="147">
        <v>0.38</v>
      </c>
      <c r="AF569" s="150">
        <v>51.296999999999997</v>
      </c>
      <c r="AG569" s="152">
        <v>1.2222</v>
      </c>
    </row>
    <row r="570" spans="1:33" x14ac:dyDescent="0.2">
      <c r="A570" s="27">
        <v>12</v>
      </c>
      <c r="B570" s="69">
        <v>7.6879526399999998</v>
      </c>
      <c r="C570" s="28">
        <f t="shared" si="35"/>
        <v>0.40684566697071933</v>
      </c>
      <c r="D570" s="52">
        <v>170.33799999999999</v>
      </c>
      <c r="E570" s="47">
        <v>635.76</v>
      </c>
      <c r="F570" s="45" t="str" cm="1">
        <f t="array" aca="1" ref="F570" ca="1">LEFT(INDEX($F$292:$F$645, MATCH(MIN(IF(ABS($B$292:$B$645-B570)&lt;&gt;0, ABS($B$292:$B$645-B570))), IF(ABS($B$292:$B$645-B570)&lt;&gt;0, ABS($B$292:$B$645-B570)), 0)),5)</f>
        <v>18.29</v>
      </c>
      <c r="G570" s="36" t="str" cm="1">
        <f t="array" aca="1" ref="G570" ca="1">LEFT(INDEX($G$292:$G$645, MATCH(MIN(IF(ABS($B$292:$B$645-B570)&lt;&gt;0, ABS($B$292:$B$645-B570))), IF(ABS($B$292:$B$645-B570)&lt;&gt;0, ABS($B$292:$B$645-B570)), 0)),8)</f>
        <v>0.000683</v>
      </c>
      <c r="H570" s="46">
        <f t="shared" ca="1" si="36"/>
        <v>249.39677891654466</v>
      </c>
      <c r="I570" s="54">
        <f t="shared" ca="1" si="37"/>
        <v>0.23633671189261765</v>
      </c>
      <c r="J570" s="53" t="str" cm="1">
        <f t="array" aca="1" ref="J570" ca="1">LEFT(INDEX($J$292:$J$645, MATCH(MIN(IF(ABS($B$292:$B$645-B570)&lt;&gt;0, ABS($B$292:$B$645-B570))), IF(ABS($B$292:$B$645-B570)&lt;&gt;0, ABS($B$292:$B$645-B570)), 0)),5)</f>
        <v>0.462</v>
      </c>
      <c r="K570" s="75">
        <v>-5.1813000000000002</v>
      </c>
      <c r="L570" s="81">
        <v>1026.4000000000001</v>
      </c>
      <c r="M570" s="13">
        <v>8.8999999999999999E-3</v>
      </c>
      <c r="N570" s="12">
        <v>-8.6320999999999999E-6</v>
      </c>
      <c r="O570" s="93">
        <v>0.2492</v>
      </c>
      <c r="P570" s="94">
        <v>0.26119999999999999</v>
      </c>
      <c r="Q570" s="95">
        <v>0.28570000000000001</v>
      </c>
      <c r="R570" s="111">
        <v>25.821000000000002</v>
      </c>
      <c r="S570" s="118">
        <v>-3514.8</v>
      </c>
      <c r="T570" s="125">
        <v>-5.7629999999999999</v>
      </c>
      <c r="U570" s="14">
        <v>0</v>
      </c>
      <c r="V570" s="30">
        <v>0</v>
      </c>
      <c r="W570" s="138">
        <v>233.88399999999999</v>
      </c>
      <c r="X570" s="13">
        <v>0.82847000000000004</v>
      </c>
      <c r="Y570" s="14">
        <v>-2.2587000000000002E-3</v>
      </c>
      <c r="Z570" s="30">
        <v>3.0900999999999999E-6</v>
      </c>
      <c r="AA570" s="77">
        <v>0.16159999999999999</v>
      </c>
      <c r="AB570" s="5">
        <v>-7.2857999999999999E-5</v>
      </c>
      <c r="AC570" s="15">
        <v>-1.9833999999999999E-7</v>
      </c>
      <c r="AD570" s="146">
        <v>66.534999999999997</v>
      </c>
      <c r="AE570" s="147">
        <v>0.38</v>
      </c>
      <c r="AF570" s="150">
        <v>51.411999999999999</v>
      </c>
      <c r="AG570" s="152">
        <v>1.2222</v>
      </c>
    </row>
    <row r="571" spans="1:33" x14ac:dyDescent="0.2">
      <c r="A571" s="27">
        <v>12</v>
      </c>
      <c r="B571" s="69">
        <v>10.94016605</v>
      </c>
      <c r="C571" s="28">
        <f t="shared" si="35"/>
        <v>0.61132374835328573</v>
      </c>
      <c r="D571" s="52">
        <v>170.33799999999999</v>
      </c>
      <c r="E571" s="47">
        <v>647.63</v>
      </c>
      <c r="F571" s="45" t="str" cm="1">
        <f t="array" aca="1" ref="F571" ca="1">LEFT(INDEX($F$292:$F$645, MATCH(MIN(IF(ABS($B$292:$B$645-B571)&lt;&gt;0, ABS($B$292:$B$645-B571))), IF(ABS($B$292:$B$645-B571)&lt;&gt;0, ABS($B$292:$B$645-B571)), 0)),5)</f>
        <v>18.47</v>
      </c>
      <c r="G571" s="36" t="str" cm="1">
        <f t="array" aca="1" ref="G571" ca="1">LEFT(INDEX($G$292:$G$645, MATCH(MIN(IF(ABS($B$292:$B$645-B571)&lt;&gt;0, ABS($B$292:$B$645-B571))), IF(ABS($B$292:$B$645-B571)&lt;&gt;0, ABS($B$292:$B$645-B571)), 0)),8)</f>
        <v>0.000678</v>
      </c>
      <c r="H571" s="46">
        <f t="shared" ca="1" si="36"/>
        <v>251.23598820058999</v>
      </c>
      <c r="I571" s="54">
        <f t="shared" ca="1" si="37"/>
        <v>0.23257316918428184</v>
      </c>
      <c r="J571" s="53" t="str" cm="1">
        <f t="array" aca="1" ref="J571" ca="1">LEFT(INDEX($J$292:$J$645, MATCH(MIN(IF(ABS($B$292:$B$645-B571)&lt;&gt;0, ABS($B$292:$B$645-B571))), IF(ABS($B$292:$B$645-B571)&lt;&gt;0, ABS($B$292:$B$645-B571)), 0)),5)</f>
        <v>0.404</v>
      </c>
      <c r="K571" s="75">
        <v>-4.8281999999999998</v>
      </c>
      <c r="L571" s="81">
        <v>993.04</v>
      </c>
      <c r="M571" s="13">
        <v>7.7999999999999996E-3</v>
      </c>
      <c r="N571" s="12">
        <v>-7.5217000000000003E-6</v>
      </c>
      <c r="O571" s="93">
        <v>0.25109999999999999</v>
      </c>
      <c r="P571" s="94">
        <v>0.25790000000000002</v>
      </c>
      <c r="Q571" s="95">
        <v>0.28570000000000001</v>
      </c>
      <c r="R571" s="111">
        <v>25.045000000000002</v>
      </c>
      <c r="S571" s="118">
        <v>-3433.2</v>
      </c>
      <c r="T571" s="125">
        <v>-5.5499000000000001</v>
      </c>
      <c r="U571" s="14">
        <v>0</v>
      </c>
      <c r="V571" s="30">
        <v>0</v>
      </c>
      <c r="W571" s="138">
        <v>228.36600000000001</v>
      </c>
      <c r="X571" s="13">
        <v>0.80206</v>
      </c>
      <c r="Y571" s="14">
        <v>-2.1148E-3</v>
      </c>
      <c r="Z571" s="30">
        <v>2.8445999999999998E-6</v>
      </c>
      <c r="AA571" s="77">
        <v>0.1583</v>
      </c>
      <c r="AB571" s="5">
        <v>-6.8073999999999999E-5</v>
      </c>
      <c r="AC571" s="15">
        <v>-1.9007000000000001E-7</v>
      </c>
      <c r="AD571" s="146">
        <v>66.198999999999998</v>
      </c>
      <c r="AE571" s="147">
        <v>0.38</v>
      </c>
      <c r="AF571" s="150">
        <v>50.914999999999999</v>
      </c>
      <c r="AG571" s="152">
        <v>1.2222</v>
      </c>
    </row>
    <row r="572" spans="1:33" x14ac:dyDescent="0.2">
      <c r="A572" s="27">
        <v>12</v>
      </c>
      <c r="B572" s="69">
        <v>9.77571002</v>
      </c>
      <c r="C572" s="28">
        <f t="shared" si="35"/>
        <v>0.53811030727447284</v>
      </c>
      <c r="D572" s="52">
        <v>170.33799999999999</v>
      </c>
      <c r="E572" s="59">
        <v>661.49</v>
      </c>
      <c r="F572" s="45" t="str" cm="1">
        <f t="array" ref="F572">LEFT(INDEX($F$292:$F$645, MATCH(MIN(IF(ABS($B$292:$B$645-B572)&lt;&gt;0, ABS($B$292:$B$645-B572))), IF(ABS($B$292:$B$645-B572)&lt;&gt;0, ABS($B$292:$B$645-B572)), 0)),5)</f>
        <v>18.34</v>
      </c>
      <c r="G572" s="36" t="str" cm="1">
        <f t="array" ref="G572">LEFT(INDEX($G$292:$G$645, MATCH(MIN(IF(ABS($B$292:$B$645-B572)&lt;&gt;0, ABS($B$292:$B$645-B572))), IF(ABS($B$292:$B$645-B572)&lt;&gt;0, ABS($B$292:$B$645-B572)), 0)),8)</f>
        <v>0.000684</v>
      </c>
      <c r="H572" s="46">
        <f t="shared" si="36"/>
        <v>249.03216374269002</v>
      </c>
      <c r="I572" s="54">
        <f t="shared" si="37"/>
        <v>0.22809834263949638</v>
      </c>
      <c r="J572" s="53" t="str" cm="1">
        <f t="array" ref="J572">LEFT(INDEX($J$292:$J$645, MATCH(MIN(IF(ABS($B$292:$B$645-B572)&lt;&gt;0, ABS($B$292:$B$645-B572))), IF(ABS($B$292:$B$645-B572)&lt;&gt;0, ABS($B$292:$B$645-B572)), 0)),5)</f>
        <v>0.432</v>
      </c>
      <c r="K572" s="76">
        <v>-4.9960000000000004</v>
      </c>
      <c r="L572" s="82">
        <v>1037</v>
      </c>
      <c r="M572" s="85">
        <v>8.0000000000000002E-3</v>
      </c>
      <c r="N572" s="4">
        <v>-7.4637000000000002E-6</v>
      </c>
      <c r="O572" s="96">
        <v>0.25109999999999999</v>
      </c>
      <c r="P572" s="97">
        <v>0.25130000000000002</v>
      </c>
      <c r="Q572" s="98">
        <v>0.28570000000000001</v>
      </c>
      <c r="R572" s="114">
        <v>24.614000000000001</v>
      </c>
      <c r="S572" s="120">
        <v>-3469.9</v>
      </c>
      <c r="T572" s="127">
        <v>-5.3985000000000003</v>
      </c>
      <c r="U572" s="14">
        <v>0</v>
      </c>
      <c r="V572" s="14">
        <v>0</v>
      </c>
      <c r="W572" s="139">
        <v>230.96700000000001</v>
      </c>
      <c r="X572" s="7">
        <v>0.78332999999999997</v>
      </c>
      <c r="Y572" s="8">
        <v>-2.0328E-3</v>
      </c>
      <c r="Z572" s="33">
        <v>2.7138000000000002E-6</v>
      </c>
      <c r="AA572" s="141">
        <v>0.1585</v>
      </c>
      <c r="AB572" s="9">
        <v>-6.7090999999999999E-5</v>
      </c>
      <c r="AC572" s="10">
        <v>-1.8215E-7</v>
      </c>
      <c r="AD572" s="146">
        <v>67.753</v>
      </c>
      <c r="AE572" s="147">
        <v>0.38</v>
      </c>
      <c r="AF572" s="150">
        <v>51.292999999999999</v>
      </c>
      <c r="AG572" s="152">
        <v>1.2222</v>
      </c>
    </row>
    <row r="573" spans="1:33" x14ac:dyDescent="0.2">
      <c r="A573" s="27">
        <v>12</v>
      </c>
      <c r="B573" s="69">
        <v>11.938188762499999</v>
      </c>
      <c r="C573" s="28">
        <f t="shared" si="35"/>
        <v>0.67407294211797919</v>
      </c>
      <c r="D573" s="52">
        <v>170.33799999999999</v>
      </c>
      <c r="E573" s="59">
        <v>628.22</v>
      </c>
      <c r="F573" s="45" t="str" cm="1">
        <f t="array" ref="F573">LEFT(INDEX($F$292:$F$645, MATCH(MIN(IF(ABS($B$292:$B$645-B573)&lt;&gt;0, ABS($B$292:$B$645-B573))), IF(ABS($B$292:$B$645-B573)&lt;&gt;0, ABS($B$292:$B$645-B573)), 0)),5)</f>
        <v>18.47</v>
      </c>
      <c r="G573" s="36" t="str" cm="1">
        <f t="array" ref="G573">LEFT(INDEX($G$292:$G$645, MATCH(MIN(IF(ABS($B$292:$B$645-B573)&lt;&gt;0, ABS($B$292:$B$645-B573))), IF(ABS($B$292:$B$645-B573)&lt;&gt;0, ABS($B$292:$B$645-B573)), 0)),8)</f>
        <v>0.000678</v>
      </c>
      <c r="H573" s="46">
        <f t="shared" si="36"/>
        <v>251.23598820058999</v>
      </c>
      <c r="I573" s="54">
        <f t="shared" si="37"/>
        <v>0.2397589404329955</v>
      </c>
      <c r="J573" s="53" t="str" cm="1">
        <f t="array" ref="J573">LEFT(INDEX($J$292:$J$645, MATCH(MIN(IF(ABS($B$292:$B$645-B573)&lt;&gt;0, ABS($B$292:$B$645-B573))), IF(ABS($B$292:$B$645-B573)&lt;&gt;0, ABS($B$292:$B$645-B573)), 0)),5)</f>
        <v>0.404</v>
      </c>
      <c r="K573" s="76">
        <v>-4.4885000000000002</v>
      </c>
      <c r="L573" s="82">
        <v>917.17</v>
      </c>
      <c r="M573" s="85">
        <v>7.3000000000000001E-3</v>
      </c>
      <c r="N573" s="4">
        <v>-7.4480999999999999E-6</v>
      </c>
      <c r="O573" s="96">
        <v>0.25109999999999999</v>
      </c>
      <c r="P573" s="97">
        <v>0.26329999999999998</v>
      </c>
      <c r="Q573" s="98">
        <v>0.28570000000000001</v>
      </c>
      <c r="R573" s="114">
        <v>25.69</v>
      </c>
      <c r="S573" s="120">
        <v>-3382.6</v>
      </c>
      <c r="T573" s="127">
        <v>-5.7766000000000002</v>
      </c>
      <c r="U573" s="14">
        <v>0</v>
      </c>
      <c r="V573" s="14">
        <v>0</v>
      </c>
      <c r="W573" s="139">
        <v>222.60599999999999</v>
      </c>
      <c r="X573" s="7">
        <v>0.84535000000000005</v>
      </c>
      <c r="Y573" s="8">
        <v>-2.2861000000000001E-3</v>
      </c>
      <c r="Z573" s="33">
        <v>3.1051000000000001E-6</v>
      </c>
      <c r="AA573" s="141">
        <v>0.158</v>
      </c>
      <c r="AB573" s="9">
        <v>-6.9468999999999995E-5</v>
      </c>
      <c r="AC573" s="10">
        <v>-2.0207999999999999E-7</v>
      </c>
      <c r="AD573" s="146">
        <v>64.028999999999996</v>
      </c>
      <c r="AE573" s="147">
        <v>0.38</v>
      </c>
      <c r="AF573" s="150">
        <v>50.375</v>
      </c>
      <c r="AG573" s="152">
        <v>1.2222</v>
      </c>
    </row>
    <row r="574" spans="1:33" x14ac:dyDescent="0.2">
      <c r="A574" s="27">
        <v>12</v>
      </c>
      <c r="B574" s="69">
        <v>10.943955967500001</v>
      </c>
      <c r="C574" s="28">
        <f t="shared" si="35"/>
        <v>0.61156203377964047</v>
      </c>
      <c r="D574" s="52">
        <v>170.33799999999999</v>
      </c>
      <c r="E574" s="59">
        <v>640.70000000000005</v>
      </c>
      <c r="F574" s="45" t="str" cm="1">
        <f t="array" aca="1" ref="F574" ca="1">LEFT(INDEX($F$292:$F$645, MATCH(MIN(IF(ABS($B$292:$B$645-B574)&lt;&gt;0, ABS($B$292:$B$645-B574))), IF(ABS($B$292:$B$645-B574)&lt;&gt;0, ABS($B$292:$B$645-B574)), 0)),5)</f>
        <v>18.47</v>
      </c>
      <c r="G574" s="36" t="str" cm="1">
        <f t="array" aca="1" ref="G574" ca="1">LEFT(INDEX($G$292:$G$645, MATCH(MIN(IF(ABS($B$292:$B$645-B574)&lt;&gt;0, ABS($B$292:$B$645-B574))), IF(ABS($B$292:$B$645-B574)&lt;&gt;0, ABS($B$292:$B$645-B574)), 0)),8)</f>
        <v>0.000678</v>
      </c>
      <c r="H574" s="46">
        <f t="shared" ca="1" si="36"/>
        <v>251.23598820058999</v>
      </c>
      <c r="I574" s="54">
        <f t="shared" ca="1" si="37"/>
        <v>0.2350887491163047</v>
      </c>
      <c r="J574" s="53" t="str" cm="1">
        <f t="array" aca="1" ref="J574" ca="1">LEFT(INDEX($J$292:$J$645, MATCH(MIN(IF(ABS($B$292:$B$645-B574)&lt;&gt;0, ABS($B$292:$B$645-B574))), IF(ABS($B$292:$B$645-B574)&lt;&gt;0, ABS($B$292:$B$645-B574)), 0)),5)</f>
        <v>0.404</v>
      </c>
      <c r="K574" s="76">
        <v>-4.7232000000000003</v>
      </c>
      <c r="L574" s="82">
        <v>968.15</v>
      </c>
      <c r="M574" s="85">
        <v>7.7000000000000002E-3</v>
      </c>
      <c r="N574" s="4">
        <v>-7.5205000000000002E-6</v>
      </c>
      <c r="O574" s="96">
        <v>0.25109999999999999</v>
      </c>
      <c r="P574" s="97">
        <v>0.25979999999999998</v>
      </c>
      <c r="Q574" s="98">
        <v>0.28570000000000001</v>
      </c>
      <c r="R574" s="114">
        <v>25.27</v>
      </c>
      <c r="S574" s="120">
        <v>-3415</v>
      </c>
      <c r="T574" s="127">
        <v>-5.6288</v>
      </c>
      <c r="U574" s="14">
        <v>0</v>
      </c>
      <c r="V574" s="14">
        <v>0</v>
      </c>
      <c r="W574" s="139">
        <v>226.33699999999999</v>
      </c>
      <c r="X574" s="7">
        <v>0.81711</v>
      </c>
      <c r="Y574" s="8">
        <v>-2.1740000000000002E-3</v>
      </c>
      <c r="Z574" s="33">
        <v>2.9343E-6</v>
      </c>
      <c r="AA574" s="141">
        <v>0.15820000000000001</v>
      </c>
      <c r="AB574" s="9">
        <v>-6.8570000000000002E-5</v>
      </c>
      <c r="AC574" s="10">
        <v>-1.9423000000000001E-7</v>
      </c>
      <c r="AD574" s="146">
        <v>65.423000000000002</v>
      </c>
      <c r="AE574" s="147">
        <v>0.38</v>
      </c>
      <c r="AF574" s="150">
        <v>50.722999999999999</v>
      </c>
      <c r="AG574" s="152">
        <v>1.2222</v>
      </c>
    </row>
    <row r="575" spans="1:33" x14ac:dyDescent="0.2">
      <c r="A575" s="27">
        <v>12</v>
      </c>
      <c r="B575" s="69">
        <v>11.809579375</v>
      </c>
      <c r="C575" s="28">
        <f t="shared" si="35"/>
        <v>0.66598681814993776</v>
      </c>
      <c r="D575" s="52">
        <v>170.33799999999999</v>
      </c>
      <c r="E575" s="59">
        <v>661.46</v>
      </c>
      <c r="F575" s="45" t="str" cm="1">
        <f t="array" ref="F575">LEFT(INDEX($F$292:$F$645, MATCH(MIN(IF(ABS($B$292:$B$645-B575)&lt;&gt;0, ABS($B$292:$B$645-B575))), IF(ABS($B$292:$B$645-B575)&lt;&gt;0, ABS($B$292:$B$645-B575)), 0)),5)</f>
        <v>18.52</v>
      </c>
      <c r="G575" s="36" t="str" cm="1">
        <f t="array" ref="G575">LEFT(INDEX($G$292:$G$645, MATCH(MIN(IF(ABS($B$292:$B$645-B575)&lt;&gt;0, ABS($B$292:$B$645-B575))), IF(ABS($B$292:$B$645-B575)&lt;&gt;0, ABS($B$292:$B$645-B575)), 0)),8)</f>
        <v>0.000679</v>
      </c>
      <c r="H575" s="46">
        <f t="shared" si="36"/>
        <v>250.86597938144328</v>
      </c>
      <c r="I575" s="54">
        <f t="shared" si="37"/>
        <v>0.22866365966987348</v>
      </c>
      <c r="J575" s="53" t="str" cm="1">
        <f t="array" ref="J575">LEFT(INDEX($J$292:$J$645, MATCH(MIN(IF(ABS($B$292:$B$645-B575)&lt;&gt;0, ABS($B$292:$B$645-B575))), IF(ABS($B$292:$B$645-B575)&lt;&gt;0, ABS($B$292:$B$645-B575)), 0)),5)</f>
        <v>0.375</v>
      </c>
      <c r="K575" s="76">
        <v>-4.7178000000000004</v>
      </c>
      <c r="L575" s="82">
        <v>996.61</v>
      </c>
      <c r="M575" s="85">
        <v>7.3000000000000001E-3</v>
      </c>
      <c r="N575" s="4">
        <v>-6.9164999999999998E-6</v>
      </c>
      <c r="O575" s="96">
        <v>0.25069999999999998</v>
      </c>
      <c r="P575" s="97">
        <v>0.25340000000000001</v>
      </c>
      <c r="Q575" s="98">
        <v>0.28570000000000001</v>
      </c>
      <c r="R575" s="114">
        <v>24.417999999999999</v>
      </c>
      <c r="S575" s="120">
        <v>-3410.5</v>
      </c>
      <c r="T575" s="127">
        <v>-5.3604000000000003</v>
      </c>
      <c r="U575" s="14">
        <v>0</v>
      </c>
      <c r="V575" s="14">
        <v>0</v>
      </c>
      <c r="W575" s="139">
        <v>218.209</v>
      </c>
      <c r="X575" s="7">
        <v>0.84291000000000005</v>
      </c>
      <c r="Y575" s="8">
        <v>-2.1483000000000001E-3</v>
      </c>
      <c r="Z575" s="33">
        <v>2.7630999999999999E-6</v>
      </c>
      <c r="AA575" s="141">
        <v>0.15509999999999999</v>
      </c>
      <c r="AB575" s="9">
        <v>-5.8785E-5</v>
      </c>
      <c r="AC575" s="10">
        <v>-1.8771999999999999E-7</v>
      </c>
      <c r="AD575" s="146">
        <v>66.878</v>
      </c>
      <c r="AE575" s="147">
        <v>0.38</v>
      </c>
      <c r="AF575" s="150">
        <v>50.838000000000001</v>
      </c>
      <c r="AG575" s="152">
        <v>1.2222</v>
      </c>
    </row>
    <row r="576" spans="1:33" x14ac:dyDescent="0.2">
      <c r="A576" s="27">
        <v>12</v>
      </c>
      <c r="B576" s="69">
        <v>10.544713818749999</v>
      </c>
      <c r="C576" s="28">
        <f t="shared" si="35"/>
        <v>0.5864602774396549</v>
      </c>
      <c r="D576" s="52">
        <v>170.33799999999999</v>
      </c>
      <c r="E576" s="47">
        <v>644.85</v>
      </c>
      <c r="F576" s="45" t="str" cm="1">
        <f t="array" ref="F576">LEFT(INDEX($F$292:$F$645, MATCH(MIN(IF(ABS($B$292:$B$645-B576)&lt;&gt;0, ABS($B$292:$B$645-B576))), IF(ABS($B$292:$B$645-B576)&lt;&gt;0, ABS($B$292:$B$645-B576)), 0)),5)</f>
        <v>18.47</v>
      </c>
      <c r="G576" s="36" t="str" cm="1">
        <f t="array" ref="G576">LEFT(INDEX($G$292:$G$645, MATCH(MIN(IF(ABS($B$292:$B$645-B576)&lt;&gt;0, ABS($B$292:$B$645-B576))), IF(ABS($B$292:$B$645-B576)&lt;&gt;0, ABS($B$292:$B$645-B576)), 0)),8)</f>
        <v>0.000678</v>
      </c>
      <c r="H576" s="46">
        <f t="shared" si="36"/>
        <v>251.23598820058999</v>
      </c>
      <c r="I576" s="54">
        <f t="shared" si="37"/>
        <v>0.23357581074484984</v>
      </c>
      <c r="J576" s="53" t="str" cm="1">
        <f t="array" ref="J576">LEFT(INDEX($J$292:$J$645, MATCH(MIN(IF(ABS($B$292:$B$645-B576)&lt;&gt;0, ABS($B$292:$B$645-B576))), IF(ABS($B$292:$B$645-B576)&lt;&gt;0, ABS($B$292:$B$645-B576)), 0)),5)</f>
        <v>0.404</v>
      </c>
      <c r="K576" s="75">
        <v>-4.7881</v>
      </c>
      <c r="L576" s="81">
        <v>983.35</v>
      </c>
      <c r="M576" s="13">
        <v>7.7999999999999996E-3</v>
      </c>
      <c r="N576" s="12">
        <v>-7.5240000000000003E-6</v>
      </c>
      <c r="O576" s="93">
        <v>0.25109999999999999</v>
      </c>
      <c r="P576" s="94">
        <v>0.25750000000000001</v>
      </c>
      <c r="Q576" s="95">
        <v>0.28570000000000001</v>
      </c>
      <c r="R576" s="111">
        <v>25.134</v>
      </c>
      <c r="S576" s="118">
        <v>-3425.9</v>
      </c>
      <c r="T576" s="125">
        <v>-5.5811999999999999</v>
      </c>
      <c r="U576" s="14">
        <v>0</v>
      </c>
      <c r="V576" s="30">
        <v>0</v>
      </c>
      <c r="W576" s="138">
        <v>228.36600000000001</v>
      </c>
      <c r="X576" s="13">
        <v>0.80206</v>
      </c>
      <c r="Y576" s="14">
        <v>-2.1148E-3</v>
      </c>
      <c r="Z576" s="30">
        <v>2.8445999999999998E-6</v>
      </c>
      <c r="AA576" s="77">
        <v>0.1583</v>
      </c>
      <c r="AB576" s="5">
        <v>-6.8272E-5</v>
      </c>
      <c r="AC576" s="15">
        <v>-1.9170999999999999E-7</v>
      </c>
      <c r="AD576" s="146">
        <v>65.888999999999996</v>
      </c>
      <c r="AE576" s="147">
        <v>0.38</v>
      </c>
      <c r="AF576" s="150">
        <v>50.838000000000001</v>
      </c>
      <c r="AG576" s="152">
        <v>1.2222</v>
      </c>
    </row>
    <row r="577" spans="1:33" x14ac:dyDescent="0.2">
      <c r="A577" s="27">
        <v>12</v>
      </c>
      <c r="B577" s="69">
        <v>7.8599404374999997</v>
      </c>
      <c r="C577" s="28">
        <f t="shared" si="35"/>
        <v>0.41765914395408044</v>
      </c>
      <c r="D577" s="52">
        <v>170.33799999999999</v>
      </c>
      <c r="E577" s="47">
        <v>649.16</v>
      </c>
      <c r="F577" s="45" t="str" cm="1">
        <f t="array" aca="1" ref="F577" ca="1">LEFT(INDEX($F$292:$F$645, MATCH(MIN(IF(ABS($B$292:$B$645-B577)&lt;&gt;0, ABS($B$292:$B$645-B577))), IF(ABS($B$292:$B$645-B577)&lt;&gt;0, ABS($B$292:$B$645-B577)), 0)),5)</f>
        <v>18.34</v>
      </c>
      <c r="G577" s="36" t="str" cm="1">
        <f t="array" aca="1" ref="G577" ca="1">LEFT(INDEX($G$292:$G$645, MATCH(MIN(IF(ABS($B$292:$B$645-B577)&lt;&gt;0, ABS($B$292:$B$645-B577))), IF(ABS($B$292:$B$645-B577)&lt;&gt;0, ABS($B$292:$B$645-B577)), 0)),8)</f>
        <v>0.000695</v>
      </c>
      <c r="H577" s="46">
        <f t="shared" ca="1" si="36"/>
        <v>245.09064748201439</v>
      </c>
      <c r="I577" s="54">
        <f t="shared" ca="1" si="37"/>
        <v>0.23616871368329101</v>
      </c>
      <c r="J577" s="53" t="str" cm="1">
        <f t="array" aca="1" ref="J577" ca="1">LEFT(INDEX($J$292:$J$645, MATCH(MIN(IF(ABS($B$292:$B$645-B577)&lt;&gt;0, ABS($B$292:$B$645-B577))), IF(ABS($B$292:$B$645-B577)&lt;&gt;0, ABS($B$292:$B$645-B577)), 0)),5)</f>
        <v>0.519</v>
      </c>
      <c r="K577" s="75">
        <v>-5.0664999999999996</v>
      </c>
      <c r="L577" s="81">
        <v>1030.2</v>
      </c>
      <c r="M577" s="13">
        <v>8.3999999999999995E-3</v>
      </c>
      <c r="N577" s="12">
        <v>-7.9710000000000004E-6</v>
      </c>
      <c r="O577" s="93">
        <v>0.24890000000000001</v>
      </c>
      <c r="P577" s="94">
        <v>0.25459999999999999</v>
      </c>
      <c r="Q577" s="95">
        <v>0.28570000000000001</v>
      </c>
      <c r="R577" s="111">
        <v>25.175000000000001</v>
      </c>
      <c r="S577" s="118">
        <v>-3492.4</v>
      </c>
      <c r="T577" s="125">
        <v>-5.5671999999999997</v>
      </c>
      <c r="U577" s="14">
        <v>0</v>
      </c>
      <c r="V577" s="30">
        <v>0</v>
      </c>
      <c r="W577" s="138">
        <v>221.857</v>
      </c>
      <c r="X577" s="13">
        <v>0.88305</v>
      </c>
      <c r="Y577" s="14">
        <v>-2.3241E-3</v>
      </c>
      <c r="Z577" s="30">
        <v>3.0359999999999998E-6</v>
      </c>
      <c r="AA577" s="77">
        <v>0.1583</v>
      </c>
      <c r="AB577" s="5">
        <v>-6.3121999999999996E-5</v>
      </c>
      <c r="AC577" s="15">
        <v>-1.9614000000000001E-7</v>
      </c>
      <c r="AD577" s="146">
        <v>67.230999999999995</v>
      </c>
      <c r="AE577" s="147">
        <v>0.38</v>
      </c>
      <c r="AF577" s="150">
        <v>51.317</v>
      </c>
      <c r="AG577" s="152">
        <v>1.2222</v>
      </c>
    </row>
    <row r="578" spans="1:33" x14ac:dyDescent="0.2">
      <c r="A578" s="27">
        <v>12</v>
      </c>
      <c r="B578" s="69">
        <v>7.6882474125</v>
      </c>
      <c r="C578" s="28">
        <f t="shared" si="35"/>
        <v>0.40686420035326398</v>
      </c>
      <c r="D578" s="52">
        <v>170.33799999999999</v>
      </c>
      <c r="E578" s="47">
        <v>634.39</v>
      </c>
      <c r="F578" s="45" t="str" cm="1">
        <f t="array" aca="1" ref="F578" ca="1">LEFT(INDEX($F$292:$F$645, MATCH(MIN(IF(ABS($B$292:$B$645-B578)&lt;&gt;0, ABS($B$292:$B$645-B578))), IF(ABS($B$292:$B$645-B578)&lt;&gt;0, ABS($B$292:$B$645-B578)), 0)),5)</f>
        <v>18.29</v>
      </c>
      <c r="G578" s="36" t="str" cm="1">
        <f t="array" aca="1" ref="G578" ca="1">LEFT(INDEX($G$292:$G$645, MATCH(MIN(IF(ABS($B$292:$B$645-B578)&lt;&gt;0, ABS($B$292:$B$645-B578))), IF(ABS($B$292:$B$645-B578)&lt;&gt;0, ABS($B$292:$B$645-B578)), 0)),8)</f>
        <v>0.000683</v>
      </c>
      <c r="H578" s="46">
        <f t="shared" ca="1" si="36"/>
        <v>249.39677891654466</v>
      </c>
      <c r="I578" s="54">
        <f t="shared" ca="1" si="37"/>
        <v>0.23684709398453727</v>
      </c>
      <c r="J578" s="53" t="str" cm="1">
        <f t="array" aca="1" ref="J578" ca="1">LEFT(INDEX($J$292:$J$645, MATCH(MIN(IF(ABS($B$292:$B$645-B578)&lt;&gt;0, ABS($B$292:$B$645-B578))), IF(ABS($B$292:$B$645-B578)&lt;&gt;0, ABS($B$292:$B$645-B578)), 0)),5)</f>
        <v>0.462</v>
      </c>
      <c r="K578" s="75">
        <v>-5.1597999999999997</v>
      </c>
      <c r="L578" s="81">
        <v>1021.3</v>
      </c>
      <c r="M578" s="13">
        <v>8.8999999999999999E-3</v>
      </c>
      <c r="N578" s="12">
        <v>-8.6349999999999995E-6</v>
      </c>
      <c r="O578" s="93">
        <v>0.2492</v>
      </c>
      <c r="P578" s="94">
        <v>0.2611</v>
      </c>
      <c r="Q578" s="95">
        <v>0.28570000000000001</v>
      </c>
      <c r="R578" s="111">
        <v>25.867999999999999</v>
      </c>
      <c r="S578" s="118">
        <v>-3511</v>
      </c>
      <c r="T578" s="125">
        <v>-5.7793000000000001</v>
      </c>
      <c r="U578" s="14">
        <v>0</v>
      </c>
      <c r="V578" s="30">
        <v>0</v>
      </c>
      <c r="W578" s="138">
        <v>233.226</v>
      </c>
      <c r="X578" s="13">
        <v>0.83337000000000006</v>
      </c>
      <c r="Y578" s="14">
        <v>-2.2769000000000001E-3</v>
      </c>
      <c r="Z578" s="30">
        <v>3.1169000000000002E-6</v>
      </c>
      <c r="AA578" s="77">
        <v>0.16159999999999999</v>
      </c>
      <c r="AB578" s="5">
        <v>-7.2977000000000003E-5</v>
      </c>
      <c r="AC578" s="15">
        <v>-1.9919E-7</v>
      </c>
      <c r="AD578" s="146">
        <v>66.378</v>
      </c>
      <c r="AE578" s="147">
        <v>0.38</v>
      </c>
      <c r="AF578" s="150">
        <v>51.372999999999998</v>
      </c>
      <c r="AG578" s="152">
        <v>1.2222</v>
      </c>
    </row>
    <row r="579" spans="1:33" x14ac:dyDescent="0.2">
      <c r="A579" s="27">
        <v>12</v>
      </c>
      <c r="B579" s="69">
        <v>6.7060487650000002</v>
      </c>
      <c r="C579" s="28">
        <f t="shared" si="35"/>
        <v>0.34510992114150962</v>
      </c>
      <c r="D579" s="52">
        <v>170.33799999999999</v>
      </c>
      <c r="E579" s="47">
        <v>642.6</v>
      </c>
      <c r="F579" s="45" t="str" cm="1">
        <f t="array" ref="F579">LEFT(INDEX($F$292:$F$645, MATCH(MIN(IF(ABS($B$292:$B$645-B579)&lt;&gt;0, ABS($B$292:$B$645-B579))), IF(ABS($B$292:$B$645-B579)&lt;&gt;0, ABS($B$292:$B$645-B579)), 0)),5)</f>
        <v>18.29</v>
      </c>
      <c r="G579" s="36" t="str" cm="1">
        <f t="array" ref="G579">LEFT(INDEX($G$292:$G$645, MATCH(MIN(IF(ABS($B$292:$B$645-B579)&lt;&gt;0, ABS($B$292:$B$645-B579))), IF(ABS($B$292:$B$645-B579)&lt;&gt;0, ABS($B$292:$B$645-B579)), 0)),8)</f>
        <v>0.000683</v>
      </c>
      <c r="H579" s="46">
        <f t="shared" si="36"/>
        <v>249.39677891654466</v>
      </c>
      <c r="I579" s="54">
        <f t="shared" si="37"/>
        <v>0.23382108302653376</v>
      </c>
      <c r="J579" s="53" t="str" cm="1">
        <f t="array" ref="J579">LEFT(INDEX($J$292:$J$645, MATCH(MIN(IF(ABS($B$292:$B$645-B579)&lt;&gt;0, ABS($B$292:$B$645-B579))), IF(ABS($B$292:$B$645-B579)&lt;&gt;0, ABS($B$292:$B$645-B579)), 0)),5)</f>
        <v>0.462</v>
      </c>
      <c r="K579" s="75">
        <v>-5.2788000000000004</v>
      </c>
      <c r="L579" s="81">
        <v>1050.5999999999999</v>
      </c>
      <c r="M579" s="13">
        <v>8.9999999999999993E-3</v>
      </c>
      <c r="N579" s="12">
        <v>-8.6023999999999992E-6</v>
      </c>
      <c r="O579" s="93">
        <v>0.2492</v>
      </c>
      <c r="P579" s="94">
        <v>0.25700000000000001</v>
      </c>
      <c r="Q579" s="95">
        <v>0.28570000000000001</v>
      </c>
      <c r="R579" s="111">
        <v>25.593</v>
      </c>
      <c r="S579" s="118">
        <v>-3533.6</v>
      </c>
      <c r="T579" s="125">
        <v>-5.6826999999999996</v>
      </c>
      <c r="U579" s="14">
        <v>0</v>
      </c>
      <c r="V579" s="30">
        <v>0</v>
      </c>
      <c r="W579" s="138">
        <v>234.845</v>
      </c>
      <c r="X579" s="13">
        <v>0.82179000000000002</v>
      </c>
      <c r="Y579" s="14">
        <v>-2.2238000000000002E-3</v>
      </c>
      <c r="Z579" s="30">
        <v>3.0301E-6</v>
      </c>
      <c r="AA579" s="77">
        <v>0.16170000000000001</v>
      </c>
      <c r="AB579" s="5">
        <v>-7.2266000000000002E-5</v>
      </c>
      <c r="AC579" s="15">
        <v>-1.9417E-7</v>
      </c>
      <c r="AD579" s="146">
        <v>67.320999999999998</v>
      </c>
      <c r="AE579" s="147">
        <v>0.38</v>
      </c>
      <c r="AF579" s="150">
        <v>51.604999999999997</v>
      </c>
      <c r="AG579" s="152">
        <v>1.2222</v>
      </c>
    </row>
    <row r="580" spans="1:33" x14ac:dyDescent="0.2">
      <c r="A580" s="27">
        <v>12</v>
      </c>
      <c r="B580" s="69">
        <v>8.6699972037500004</v>
      </c>
      <c r="C580" s="28">
        <f t="shared" si="35"/>
        <v>0.46859025839584956</v>
      </c>
      <c r="D580" s="52">
        <v>170.33799999999999</v>
      </c>
      <c r="E580" s="47">
        <v>642.27</v>
      </c>
      <c r="F580" s="45" t="str" cm="1">
        <f t="array" ref="F580">LEFT(INDEX($F$292:$F$645, MATCH(MIN(IF(ABS($B$292:$B$645-B580)&lt;&gt;0, ABS($B$292:$B$645-B580))), IF(ABS($B$292:$B$645-B580)&lt;&gt;0, ABS($B$292:$B$645-B580)), 0)),5)</f>
        <v>18.29</v>
      </c>
      <c r="G580" s="36" t="str" cm="1">
        <f t="array" ref="G580">LEFT(INDEX($G$292:$G$645, MATCH(MIN(IF(ABS($B$292:$B$645-B580)&lt;&gt;0, ABS($B$292:$B$645-B580))), IF(ABS($B$292:$B$645-B580)&lt;&gt;0, ABS($B$292:$B$645-B580)), 0)),8)</f>
        <v>0.000683</v>
      </c>
      <c r="H580" s="46">
        <f t="shared" si="36"/>
        <v>249.39677891654466</v>
      </c>
      <c r="I580" s="54">
        <f t="shared" si="37"/>
        <v>0.23394122090841951</v>
      </c>
      <c r="J580" s="53" t="str" cm="1">
        <f t="array" ref="J580">LEFT(INDEX($J$292:$J$645, MATCH(MIN(IF(ABS($B$292:$B$645-B580)&lt;&gt;0, ABS($B$292:$B$645-B580))), IF(ABS($B$292:$B$645-B580)&lt;&gt;0, ABS($B$292:$B$645-B580)), 0)),5)</f>
        <v>0.462</v>
      </c>
      <c r="K580" s="75">
        <v>-4.9721000000000002</v>
      </c>
      <c r="L580" s="81">
        <v>1006.7</v>
      </c>
      <c r="M580" s="13">
        <v>8.3000000000000001E-3</v>
      </c>
      <c r="N580" s="12">
        <v>-7.9935999999999992E-6</v>
      </c>
      <c r="O580" s="93">
        <v>0.24890000000000001</v>
      </c>
      <c r="P580" s="94">
        <v>0.25879999999999997</v>
      </c>
      <c r="Q580" s="95">
        <v>0.28570000000000001</v>
      </c>
      <c r="R580" s="111">
        <v>25.398</v>
      </c>
      <c r="S580" s="118">
        <v>-3473.8</v>
      </c>
      <c r="T580" s="125">
        <v>-5.6455000000000002</v>
      </c>
      <c r="U580" s="14">
        <v>0</v>
      </c>
      <c r="V580" s="30">
        <v>0</v>
      </c>
      <c r="W580" s="138">
        <v>220.75800000000001</v>
      </c>
      <c r="X580" s="13">
        <v>0.89127999999999996</v>
      </c>
      <c r="Y580" s="14">
        <v>-2.3630999999999999E-3</v>
      </c>
      <c r="Z580" s="30">
        <v>3.0987999999999999E-6</v>
      </c>
      <c r="AA580" s="77">
        <v>0.15820000000000001</v>
      </c>
      <c r="AB580" s="5">
        <v>-6.3497999999999994E-5</v>
      </c>
      <c r="AC580" s="15">
        <v>-2.0045E-7</v>
      </c>
      <c r="AD580" s="146">
        <v>66.45</v>
      </c>
      <c r="AE580" s="147">
        <v>0.38</v>
      </c>
      <c r="AF580" s="150">
        <v>51.125</v>
      </c>
      <c r="AG580" s="152">
        <v>1.2222</v>
      </c>
    </row>
    <row r="581" spans="1:33" x14ac:dyDescent="0.2">
      <c r="A581" s="27">
        <v>12</v>
      </c>
      <c r="B581" s="69">
        <v>8.0844605999999999</v>
      </c>
      <c r="C581" s="28">
        <f t="shared" si="35"/>
        <v>0.43177551525940078</v>
      </c>
      <c r="D581" s="52">
        <v>170.33799999999999</v>
      </c>
      <c r="E581" s="47">
        <v>650.54</v>
      </c>
      <c r="F581" s="45" t="str" cm="1">
        <f t="array" ref="F581">LEFT(INDEX($F$292:$F$645, MATCH(MIN(IF(ABS($B$292:$B$645-B581)&lt;&gt;0, ABS($B$292:$B$645-B581))), IF(ABS($B$292:$B$645-B581)&lt;&gt;0, ABS($B$292:$B$645-B581)), 0)),5)</f>
        <v>18.34</v>
      </c>
      <c r="G581" s="36" t="str" cm="1">
        <f t="array" ref="G581">LEFT(INDEX($G$292:$G$645, MATCH(MIN(IF(ABS($B$292:$B$645-B581)&lt;&gt;0, ABS($B$292:$B$645-B581))), IF(ABS($B$292:$B$645-B581)&lt;&gt;0, ABS($B$292:$B$645-B581)), 0)),8)</f>
        <v>0.000684</v>
      </c>
      <c r="H581" s="46">
        <f t="shared" si="36"/>
        <v>249.03216374269002</v>
      </c>
      <c r="I581" s="54">
        <f t="shared" si="37"/>
        <v>0.2319377327644733</v>
      </c>
      <c r="J581" s="53" t="str" cm="1">
        <f t="array" ref="J581">LEFT(INDEX($J$292:$J$645, MATCH(MIN(IF(ABS($B$292:$B$645-B581)&lt;&gt;0, ABS($B$292:$B$645-B581))), IF(ABS($B$292:$B$645-B581)&lt;&gt;0, ABS($B$292:$B$645-B581)), 0)),5)</f>
        <v>0.432</v>
      </c>
      <c r="K581" s="75">
        <v>-5.0837000000000003</v>
      </c>
      <c r="L581" s="81">
        <v>1034.7</v>
      </c>
      <c r="M581" s="13">
        <v>8.3999999999999995E-3</v>
      </c>
      <c r="N581" s="12">
        <v>-7.9640000000000003E-6</v>
      </c>
      <c r="O581" s="93">
        <v>0.24890000000000001</v>
      </c>
      <c r="P581" s="94">
        <v>0.25440000000000002</v>
      </c>
      <c r="Q581" s="95">
        <v>0.28570000000000001</v>
      </c>
      <c r="R581" s="111">
        <v>25.131</v>
      </c>
      <c r="S581" s="118">
        <v>-3496.1</v>
      </c>
      <c r="T581" s="125">
        <v>-5.5518000000000001</v>
      </c>
      <c r="U581" s="14">
        <v>0</v>
      </c>
      <c r="V581" s="30">
        <v>0</v>
      </c>
      <c r="W581" s="138">
        <v>222.376</v>
      </c>
      <c r="X581" s="13">
        <v>0.87917999999999996</v>
      </c>
      <c r="Y581" s="14">
        <v>-2.3097E-3</v>
      </c>
      <c r="Z581" s="30">
        <v>3.0153000000000002E-6</v>
      </c>
      <c r="AA581" s="77">
        <v>0.15840000000000001</v>
      </c>
      <c r="AB581" s="5">
        <v>-6.3046000000000006E-5</v>
      </c>
      <c r="AC581" s="15">
        <v>-1.9529E-7</v>
      </c>
      <c r="AD581" s="146">
        <v>67.387</v>
      </c>
      <c r="AE581" s="147">
        <v>0.38</v>
      </c>
      <c r="AF581" s="150">
        <v>51.354999999999997</v>
      </c>
      <c r="AG581" s="152">
        <v>1.2222</v>
      </c>
    </row>
    <row r="582" spans="1:33" x14ac:dyDescent="0.2">
      <c r="A582" s="27">
        <v>12</v>
      </c>
      <c r="B582" s="69">
        <v>8.56402632</v>
      </c>
      <c r="C582" s="28">
        <f t="shared" si="35"/>
        <v>0.46192749668255378</v>
      </c>
      <c r="D582" s="52">
        <v>170.33799999999999</v>
      </c>
      <c r="E582" s="47">
        <v>640.89</v>
      </c>
      <c r="F582" s="45" t="str" cm="1">
        <f t="array" ref="F582">LEFT(INDEX($F$292:$F$645, MATCH(MIN(IF(ABS($B$292:$B$645-B582)&lt;&gt;0, ABS($B$292:$B$645-B582))), IF(ABS($B$292:$B$645-B582)&lt;&gt;0, ABS($B$292:$B$645-B582)), 0)),5)</f>
        <v>18.34</v>
      </c>
      <c r="G582" s="36" t="str" cm="1">
        <f t="array" ref="G582">LEFT(INDEX($G$292:$G$645, MATCH(MIN(IF(ABS($B$292:$B$645-B582)&lt;&gt;0, ABS($B$292:$B$645-B582))), IF(ABS($B$292:$B$645-B582)&lt;&gt;0, ABS($B$292:$B$645-B582)), 0)),8)</f>
        <v>0.000684</v>
      </c>
      <c r="H582" s="46">
        <f t="shared" si="36"/>
        <v>249.03216374269002</v>
      </c>
      <c r="I582" s="54">
        <f t="shared" si="37"/>
        <v>0.2354300623704543</v>
      </c>
      <c r="J582" s="53" t="str" cm="1">
        <f t="array" ref="J582">LEFT(INDEX($J$292:$J$645, MATCH(MIN(IF(ABS($B$292:$B$645-B582)&lt;&gt;0, ABS($B$292:$B$645-B582))), IF(ABS($B$292:$B$645-B582)&lt;&gt;0, ABS($B$292:$B$645-B582)), 0)),5)</f>
        <v>0.432</v>
      </c>
      <c r="K582" s="75">
        <v>-4.9513999999999996</v>
      </c>
      <c r="L582" s="81">
        <v>1001.7</v>
      </c>
      <c r="M582" s="13">
        <v>8.2000000000000007E-3</v>
      </c>
      <c r="N582" s="12">
        <v>-7.9954999999999999E-6</v>
      </c>
      <c r="O582" s="93">
        <v>0.24890000000000001</v>
      </c>
      <c r="P582" s="94">
        <v>0.25869999999999999</v>
      </c>
      <c r="Q582" s="95">
        <v>0.28570000000000001</v>
      </c>
      <c r="R582" s="111">
        <v>25.443000000000001</v>
      </c>
      <c r="S582" s="118">
        <v>-3470.1</v>
      </c>
      <c r="T582" s="125">
        <v>-5.6614000000000004</v>
      </c>
      <c r="U582" s="14">
        <v>0</v>
      </c>
      <c r="V582" s="30">
        <v>0</v>
      </c>
      <c r="W582" s="138">
        <v>220.03200000000001</v>
      </c>
      <c r="X582" s="13">
        <v>0.89675000000000005</v>
      </c>
      <c r="Y582" s="14">
        <v>-2.3823999999999998E-3</v>
      </c>
      <c r="Z582" s="30">
        <v>3.1259999999999998E-6</v>
      </c>
      <c r="AA582" s="77">
        <v>0.15820000000000001</v>
      </c>
      <c r="AB582" s="5">
        <v>-6.3572999999999996E-5</v>
      </c>
      <c r="AC582" s="15">
        <v>-2.0132999999999999E-7</v>
      </c>
      <c r="AD582" s="146">
        <v>66.293999999999997</v>
      </c>
      <c r="AE582" s="147">
        <v>0.38</v>
      </c>
      <c r="AF582" s="150">
        <v>51.087000000000003</v>
      </c>
      <c r="AG582" s="152">
        <v>1.2222</v>
      </c>
    </row>
    <row r="583" spans="1:33" x14ac:dyDescent="0.2">
      <c r="A583" s="27">
        <v>12</v>
      </c>
      <c r="B583" s="69">
        <v>8.1619978700000004</v>
      </c>
      <c r="C583" s="28">
        <f t="shared" si="35"/>
        <v>0.43665055579532985</v>
      </c>
      <c r="D583" s="52">
        <v>170.33799999999999</v>
      </c>
      <c r="E583" s="59">
        <v>645.03</v>
      </c>
      <c r="F583" s="45" t="str" cm="1">
        <f t="array" aca="1" ref="F583" ca="1">LEFT(INDEX($F$292:$F$645, MATCH(MIN(IF(ABS($B$292:$B$645-B583)&lt;&gt;0, ABS($B$292:$B$645-B583))), IF(ABS($B$292:$B$645-B583)&lt;&gt;0, ABS($B$292:$B$645-B583)), 0)),5)</f>
        <v>18.05</v>
      </c>
      <c r="G583" s="36" t="str" cm="1">
        <f t="array" aca="1" ref="G583" ca="1">LEFT(INDEX($G$292:$G$645, MATCH(MIN(IF(ABS($B$292:$B$645-B583)&lt;&gt;0, ABS($B$292:$B$645-B583))), IF(ABS($B$292:$B$645-B583)&lt;&gt;0, ABS($B$292:$B$645-B583)), 0)),8)</f>
        <v>0.000695</v>
      </c>
      <c r="H583" s="46">
        <f t="shared" ca="1" si="36"/>
        <v>245.09064748201439</v>
      </c>
      <c r="I583" s="54">
        <f t="shared" ca="1" si="37"/>
        <v>0.23392254309799676</v>
      </c>
      <c r="J583" s="53" t="str" cm="1">
        <f t="array" aca="1" ref="J583" ca="1">LEFT(INDEX($J$292:$J$645, MATCH(MIN(IF(ABS($B$292:$B$645-B583)&lt;&gt;0, ABS($B$292:$B$645-B583))), IF(ABS($B$292:$B$645-B583)&lt;&gt;0, ABS($B$292:$B$645-B583)), 0)),5)</f>
        <v>0.519</v>
      </c>
      <c r="K583" s="76">
        <v>-5.0117000000000003</v>
      </c>
      <c r="L583" s="82">
        <v>1016.3</v>
      </c>
      <c r="M583" s="85">
        <v>8.3000000000000001E-3</v>
      </c>
      <c r="N583" s="4">
        <v>-7.9872000000000004E-6</v>
      </c>
      <c r="O583" s="96">
        <v>0.24890000000000001</v>
      </c>
      <c r="P583" s="97">
        <v>0.25640000000000002</v>
      </c>
      <c r="Q583" s="98">
        <v>0.28570000000000001</v>
      </c>
      <c r="R583" s="114">
        <v>25.308</v>
      </c>
      <c r="S583" s="120">
        <v>-3481.2</v>
      </c>
      <c r="T583" s="127">
        <v>-5.6139000000000001</v>
      </c>
      <c r="U583" s="14">
        <v>0</v>
      </c>
      <c r="V583" s="14">
        <v>0</v>
      </c>
      <c r="W583" s="139">
        <v>220.852</v>
      </c>
      <c r="X583" s="7">
        <v>0.89054999999999995</v>
      </c>
      <c r="Y583" s="8">
        <v>-2.3551000000000002E-3</v>
      </c>
      <c r="Z583" s="33">
        <v>3.0832E-6</v>
      </c>
      <c r="AA583" s="141">
        <v>0.1583</v>
      </c>
      <c r="AB583" s="9">
        <v>-6.3348000000000004E-5</v>
      </c>
      <c r="AC583" s="10">
        <v>-1.9871000000000001E-7</v>
      </c>
      <c r="AD583" s="146">
        <v>66.762</v>
      </c>
      <c r="AE583" s="147">
        <v>0.38</v>
      </c>
      <c r="AF583" s="150">
        <v>51.201999999999998</v>
      </c>
      <c r="AG583" s="152">
        <v>1.2222</v>
      </c>
    </row>
    <row r="584" spans="1:33" x14ac:dyDescent="0.2">
      <c r="A584" s="27">
        <v>12</v>
      </c>
      <c r="B584" s="69">
        <v>6.9971880562499997</v>
      </c>
      <c r="C584" s="28">
        <f t="shared" si="35"/>
        <v>0.36341487108939147</v>
      </c>
      <c r="D584" s="52">
        <v>170.33799999999999</v>
      </c>
      <c r="E584" s="59">
        <v>658.81</v>
      </c>
      <c r="F584" s="45" t="str" cm="1">
        <f t="array" ref="F584">LEFT(INDEX($F$292:$F$645, MATCH(MIN(IF(ABS($B$292:$B$645-B584)&lt;&gt;0, ABS($B$292:$B$645-B584))), IF(ABS($B$292:$B$645-B584)&lt;&gt;0, ABS($B$292:$B$645-B584)), 0)),5)</f>
        <v>18.34</v>
      </c>
      <c r="G584" s="36" t="str" cm="1">
        <f t="array" ref="G584">LEFT(INDEX($G$292:$G$645, MATCH(MIN(IF(ABS($B$292:$B$645-B584)&lt;&gt;0, ABS($B$292:$B$645-B584))), IF(ABS($B$292:$B$645-B584)&lt;&gt;0, ABS($B$292:$B$645-B584)), 0)),8)</f>
        <v>0.000684</v>
      </c>
      <c r="H584" s="46">
        <f t="shared" si="36"/>
        <v>249.03216374269002</v>
      </c>
      <c r="I584" s="54">
        <f t="shared" si="37"/>
        <v>0.22902623316677109</v>
      </c>
      <c r="J584" s="53" t="str" cm="1">
        <f t="array" ref="J584">LEFT(INDEX($J$292:$J$645, MATCH(MIN(IF(ABS($B$292:$B$645-B584)&lt;&gt;0, ABS($B$292:$B$645-B584))), IF(ABS($B$292:$B$645-B584)&lt;&gt;0, ABS($B$292:$B$645-B584)), 0)),5)</f>
        <v>0.432</v>
      </c>
      <c r="K584" s="76">
        <v>-5.1759000000000004</v>
      </c>
      <c r="L584" s="82">
        <v>1060.0999999999999</v>
      </c>
      <c r="M584" s="85">
        <v>8.5000000000000006E-3</v>
      </c>
      <c r="N584" s="4">
        <v>-7.9078999999999993E-6</v>
      </c>
      <c r="O584" s="96">
        <v>0.24890000000000001</v>
      </c>
      <c r="P584" s="97">
        <v>0.2505</v>
      </c>
      <c r="Q584" s="98">
        <v>0.28570000000000001</v>
      </c>
      <c r="R584" s="114">
        <v>24.873000000000001</v>
      </c>
      <c r="S584" s="120">
        <v>-3518.6</v>
      </c>
      <c r="T584" s="127">
        <v>-5.4611999999999998</v>
      </c>
      <c r="U584" s="14">
        <v>0</v>
      </c>
      <c r="V584" s="14">
        <v>0</v>
      </c>
      <c r="W584" s="139">
        <v>224.15899999999999</v>
      </c>
      <c r="X584" s="7">
        <v>0.86611000000000005</v>
      </c>
      <c r="Y584" s="8">
        <v>-2.2544000000000002E-3</v>
      </c>
      <c r="Z584" s="33">
        <v>2.9301000000000001E-6</v>
      </c>
      <c r="AA584" s="141">
        <v>0.1585</v>
      </c>
      <c r="AB584" s="9">
        <v>-6.2593000000000002E-5</v>
      </c>
      <c r="AC584" s="10">
        <v>-1.9034E-7</v>
      </c>
      <c r="AD584" s="146">
        <v>68.325999999999993</v>
      </c>
      <c r="AE584" s="147">
        <v>0.38</v>
      </c>
      <c r="AF584" s="150">
        <v>51.582000000000001</v>
      </c>
      <c r="AG584" s="152">
        <v>1.2222</v>
      </c>
    </row>
    <row r="585" spans="1:33" x14ac:dyDescent="0.2">
      <c r="A585" s="27">
        <v>12</v>
      </c>
      <c r="B585" s="69">
        <v>9.1615908037500002</v>
      </c>
      <c r="C585" s="28">
        <f t="shared" si="35"/>
        <v>0.49949847488584576</v>
      </c>
      <c r="D585" s="52">
        <v>170.33799999999999</v>
      </c>
      <c r="E585" s="47">
        <v>632.63</v>
      </c>
      <c r="F585" s="45" t="str" cm="1">
        <f t="array" aca="1" ref="F585" ca="1">LEFT(INDEX($F$292:$F$645, MATCH(MIN(IF(ABS($B$292:$B$645-B585)&lt;&gt;0, ABS($B$292:$B$645-B585))), IF(ABS($B$292:$B$645-B585)&lt;&gt;0, ABS($B$292:$B$645-B585)), 0)),5)</f>
        <v>18.05</v>
      </c>
      <c r="G585" s="36" t="str" cm="1">
        <f t="array" aca="1" ref="G585" ca="1">LEFT(INDEX($G$292:$G$645, MATCH(MIN(IF(ABS($B$292:$B$645-B585)&lt;&gt;0, ABS($B$292:$B$645-B585))), IF(ABS($B$292:$B$645-B585)&lt;&gt;0, ABS($B$292:$B$645-B585)), 0)),8)</f>
        <v>0.000695</v>
      </c>
      <c r="H585" s="46">
        <f t="shared" ca="1" si="36"/>
        <v>245.09064748201439</v>
      </c>
      <c r="I585" s="54">
        <f t="shared" ca="1" si="37"/>
        <v>0.23850759207514793</v>
      </c>
      <c r="J585" s="53" t="str" cm="1">
        <f t="array" aca="1" ref="J585" ca="1">LEFT(INDEX($J$292:$J$645, MATCH(MIN(IF(ABS($B$292:$B$645-B585)&lt;&gt;0, ABS($B$292:$B$645-B585))), IF(ABS($B$292:$B$645-B585)&lt;&gt;0, ABS($B$292:$B$645-B585)), 0)),5)</f>
        <v>0.519</v>
      </c>
      <c r="K585" s="75">
        <v>-4.8124000000000002</v>
      </c>
      <c r="L585" s="81">
        <v>969.88</v>
      </c>
      <c r="M585" s="13">
        <v>8.0000000000000002E-3</v>
      </c>
      <c r="N585" s="12">
        <v>-7.9843999999999993E-6</v>
      </c>
      <c r="O585" s="93">
        <v>0.24890000000000001</v>
      </c>
      <c r="P585" s="94">
        <v>0.26279999999999998</v>
      </c>
      <c r="Q585" s="95">
        <v>0.28570000000000001</v>
      </c>
      <c r="R585" s="111">
        <v>25.72</v>
      </c>
      <c r="S585" s="118">
        <v>-3448.1</v>
      </c>
      <c r="T585" s="125">
        <v>-5.7587999999999999</v>
      </c>
      <c r="U585" s="14">
        <v>0</v>
      </c>
      <c r="V585" s="30">
        <v>0</v>
      </c>
      <c r="W585" s="138">
        <v>218.17599999999999</v>
      </c>
      <c r="X585" s="13">
        <v>0.91096999999999995</v>
      </c>
      <c r="Y585" s="14">
        <v>-2.4434000000000001E-3</v>
      </c>
      <c r="Z585" s="30">
        <v>3.2200999999999999E-6</v>
      </c>
      <c r="AA585" s="77">
        <v>0.158</v>
      </c>
      <c r="AB585" s="5">
        <v>-6.4022000000000005E-5</v>
      </c>
      <c r="AC585" s="15">
        <v>-2.0675E-7</v>
      </c>
      <c r="AD585" s="146">
        <v>65.358000000000004</v>
      </c>
      <c r="AE585" s="147">
        <v>0.38</v>
      </c>
      <c r="AF585" s="150">
        <v>50.854999999999997</v>
      </c>
      <c r="AG585" s="152">
        <v>1.2222</v>
      </c>
    </row>
    <row r="586" spans="1:33" x14ac:dyDescent="0.2">
      <c r="A586" s="27">
        <v>12</v>
      </c>
      <c r="B586" s="69">
        <v>10.136502415000001</v>
      </c>
      <c r="C586" s="28">
        <f t="shared" si="35"/>
        <v>0.56079459253083963</v>
      </c>
      <c r="D586" s="52">
        <v>170.33799999999999</v>
      </c>
      <c r="E586" s="47">
        <v>624.36</v>
      </c>
      <c r="F586" s="45" t="str" cm="1">
        <f t="array" ref="F586">LEFT(INDEX($F$292:$F$645, MATCH(MIN(IF(ABS($B$292:$B$645-B586)&lt;&gt;0, ABS($B$292:$B$645-B586))), IF(ABS($B$292:$B$645-B586)&lt;&gt;0, ABS($B$292:$B$645-B586)), 0)),5)</f>
        <v>18.34</v>
      </c>
      <c r="G586" s="36" t="str" cm="1">
        <f t="array" ref="G586">LEFT(INDEX($G$292:$G$645, MATCH(MIN(IF(ABS($B$292:$B$645-B586)&lt;&gt;0, ABS($B$292:$B$645-B586))), IF(ABS($B$292:$B$645-B586)&lt;&gt;0, ABS($B$292:$B$645-B586)), 0)),8)</f>
        <v>0.000684</v>
      </c>
      <c r="H586" s="46">
        <f t="shared" si="36"/>
        <v>249.03216374269002</v>
      </c>
      <c r="I586" s="54">
        <f t="shared" si="37"/>
        <v>0.24166309928983351</v>
      </c>
      <c r="J586" s="53" t="str" cm="1">
        <f t="array" ref="J586">LEFT(INDEX($J$292:$J$645, MATCH(MIN(IF(ABS($B$292:$B$645-B586)&lt;&gt;0, ABS($B$292:$B$645-B586))), IF(ABS($B$292:$B$645-B586)&lt;&gt;0, ABS($B$292:$B$645-B586)), 0)),5)</f>
        <v>0.432</v>
      </c>
      <c r="K586" s="75">
        <v>-4.6443000000000003</v>
      </c>
      <c r="L586" s="81">
        <v>934.14</v>
      </c>
      <c r="M586" s="13">
        <v>7.7999999999999996E-3</v>
      </c>
      <c r="N586" s="12">
        <v>-7.9279000000000008E-6</v>
      </c>
      <c r="O586" s="93">
        <v>0.24890000000000001</v>
      </c>
      <c r="P586" s="94">
        <v>0.2671</v>
      </c>
      <c r="Q586" s="95">
        <v>0.28570000000000001</v>
      </c>
      <c r="R586" s="111">
        <v>26.006</v>
      </c>
      <c r="S586" s="118">
        <v>-3426.2</v>
      </c>
      <c r="T586" s="125">
        <v>-5.8594999999999997</v>
      </c>
      <c r="U586" s="14">
        <v>0</v>
      </c>
      <c r="V586" s="30">
        <v>0</v>
      </c>
      <c r="W586" s="138">
        <v>216.29</v>
      </c>
      <c r="X586" s="13">
        <v>0.92573000000000005</v>
      </c>
      <c r="Y586" s="14">
        <v>-2.5070000000000001E-3</v>
      </c>
      <c r="Z586" s="30">
        <v>3.3187000000000001E-6</v>
      </c>
      <c r="AA586" s="77">
        <v>0.15790000000000001</v>
      </c>
      <c r="AB586" s="5">
        <v>-6.4466000000000002E-5</v>
      </c>
      <c r="AC586" s="15">
        <v>-2.124E-7</v>
      </c>
      <c r="AD586" s="146">
        <v>64.421999999999997</v>
      </c>
      <c r="AE586" s="147">
        <v>0.38</v>
      </c>
      <c r="AF586" s="150">
        <v>50.622</v>
      </c>
      <c r="AG586" s="152">
        <v>1.2222</v>
      </c>
    </row>
    <row r="587" spans="1:33" x14ac:dyDescent="0.2">
      <c r="A587" s="27">
        <v>12</v>
      </c>
      <c r="B587" s="69">
        <v>9.3188715799999997</v>
      </c>
      <c r="C587" s="28">
        <f t="shared" si="35"/>
        <v>0.5093872697807541</v>
      </c>
      <c r="D587" s="52">
        <v>170.33799999999999</v>
      </c>
      <c r="E587" s="47">
        <v>631.25</v>
      </c>
      <c r="F587" s="45" t="str" cm="1">
        <f t="array" ref="F587">LEFT(INDEX($F$292:$F$645, MATCH(MIN(IF(ABS($B$292:$B$645-B587)&lt;&gt;0, ABS($B$292:$B$645-B587))), IF(ABS($B$292:$B$645-B587)&lt;&gt;0, ABS($B$292:$B$645-B587)), 0)),5)</f>
        <v>18.34</v>
      </c>
      <c r="G587" s="36" t="str" cm="1">
        <f t="array" ref="G587">LEFT(INDEX($G$292:$G$645, MATCH(MIN(IF(ABS($B$292:$B$645-B587)&lt;&gt;0, ABS($B$292:$B$645-B587))), IF(ABS($B$292:$B$645-B587)&lt;&gt;0, ABS($B$292:$B$645-B587)), 0)),8)</f>
        <v>0.000684</v>
      </c>
      <c r="H587" s="46">
        <f t="shared" si="36"/>
        <v>249.03216374269002</v>
      </c>
      <c r="I587" s="54">
        <f t="shared" si="37"/>
        <v>0.23902538245164426</v>
      </c>
      <c r="J587" s="53" t="str" cm="1">
        <f t="array" ref="J587">LEFT(INDEX($J$292:$J$645, MATCH(MIN(IF(ABS($B$292:$B$645-B587)&lt;&gt;0, ABS($B$292:$B$645-B587))), IF(ABS($B$292:$B$645-B587)&lt;&gt;0, ABS($B$292:$B$645-B587)), 0)),5)</f>
        <v>0.432</v>
      </c>
      <c r="K587" s="75">
        <v>-4.7865000000000002</v>
      </c>
      <c r="L587" s="81">
        <v>964.22</v>
      </c>
      <c r="M587" s="13">
        <v>8.0000000000000002E-3</v>
      </c>
      <c r="N587" s="12">
        <v>-7.9783999999999997E-6</v>
      </c>
      <c r="O587" s="93">
        <v>0.24890000000000001</v>
      </c>
      <c r="P587" s="94">
        <v>0.2626</v>
      </c>
      <c r="Q587" s="95">
        <v>0.28570000000000001</v>
      </c>
      <c r="R587" s="111">
        <v>25.766999999999999</v>
      </c>
      <c r="S587" s="118">
        <v>-3444.4</v>
      </c>
      <c r="T587" s="125">
        <v>-5.7752999999999997</v>
      </c>
      <c r="U587" s="14">
        <v>0</v>
      </c>
      <c r="V587" s="30">
        <v>0</v>
      </c>
      <c r="W587" s="138">
        <v>217.422</v>
      </c>
      <c r="X587" s="13">
        <v>0.91674</v>
      </c>
      <c r="Y587" s="14">
        <v>-2.4639000000000002E-3</v>
      </c>
      <c r="Z587" s="30">
        <v>3.2490999999999999E-6</v>
      </c>
      <c r="AA587" s="77">
        <v>0.158</v>
      </c>
      <c r="AB587" s="5">
        <v>-6.4096000000000004E-5</v>
      </c>
      <c r="AC587" s="15">
        <v>-2.0767000000000001E-7</v>
      </c>
      <c r="AD587" s="146">
        <v>65.201999999999998</v>
      </c>
      <c r="AE587" s="147">
        <v>0.38</v>
      </c>
      <c r="AF587" s="150">
        <v>50.816000000000003</v>
      </c>
      <c r="AG587" s="152">
        <v>1.2222</v>
      </c>
    </row>
    <row r="588" spans="1:33" x14ac:dyDescent="0.2">
      <c r="A588" s="27">
        <v>12</v>
      </c>
      <c r="B588" s="69">
        <v>8.6274213675000002</v>
      </c>
      <c r="C588" s="28">
        <f t="shared" si="35"/>
        <v>0.46591336601145389</v>
      </c>
      <c r="D588" s="52">
        <v>170.33799999999999</v>
      </c>
      <c r="E588" s="47">
        <v>662.82</v>
      </c>
      <c r="F588" s="45" t="str" cm="1">
        <f t="array" aca="1" ref="F588" ca="1">LEFT(INDEX($F$292:$F$645, MATCH(MIN(IF(ABS($B$292:$B$645-B588)&lt;&gt;0, ABS($B$292:$B$645-B588))), IF(ABS($B$292:$B$645-B588)&lt;&gt;0, ABS($B$292:$B$645-B588)), 0)),5)</f>
        <v>18.39</v>
      </c>
      <c r="G588" s="36" t="str" cm="1">
        <f t="array" aca="1" ref="G588" ca="1">LEFT(INDEX($G$292:$G$645, MATCH(MIN(IF(ABS($B$292:$B$645-B588)&lt;&gt;0, ABS($B$292:$B$645-B588))), IF(ABS($B$292:$B$645-B588)&lt;&gt;0, ABS($B$292:$B$645-B588)), 0)),8)</f>
        <v>0.000685</v>
      </c>
      <c r="H588" s="46">
        <f t="shared" ca="1" si="36"/>
        <v>248.66861313868614</v>
      </c>
      <c r="I588" s="54">
        <f t="shared" ca="1" si="37"/>
        <v>0.22859497327000408</v>
      </c>
      <c r="J588" s="53" t="str" cm="1">
        <f t="array" aca="1" ref="J588" ca="1">LEFT(INDEX($J$292:$J$645, MATCH(MIN(IF(ABS($B$292:$B$645-B588)&lt;&gt;0, ABS($B$292:$B$645-B588))), IF(ABS($B$292:$B$645-B588)&lt;&gt;0, ABS($B$292:$B$645-B588)), 0)),5)</f>
        <v>0.403</v>
      </c>
      <c r="K588" s="75">
        <v>-4.9405000000000001</v>
      </c>
      <c r="L588" s="81">
        <v>1031.8</v>
      </c>
      <c r="M588" s="13">
        <v>7.9000000000000008E-3</v>
      </c>
      <c r="N588" s="12">
        <v>-7.3343999999999996E-6</v>
      </c>
      <c r="O588" s="93">
        <v>0.2485</v>
      </c>
      <c r="P588" s="94">
        <v>0.25019999999999998</v>
      </c>
      <c r="Q588" s="95">
        <v>0.28570000000000001</v>
      </c>
      <c r="R588" s="113" t="str" cm="1">
        <f t="array" ref="R588">LEFT(INDEX($R$292:$R$645, MATCH(MIN(IF(ABS($B$292:$B$645-B588)&lt;&gt;0, ABS($B$292:$B$645-B588))), IF(ABS($B$292:$B$645-B588)&lt;&gt;0, ABS($B$292:$B$645-B588)), 0)),7)</f>
        <v>24.551</v>
      </c>
      <c r="S588" s="119" cm="1">
        <f t="array" ref="S588">INDEX($S$292:$S$645, MATCH(MIN(IF(ABS($B$292:$B$645-B588)&lt;&gt;0, ABS($B$292:$B$645-B588))), IF(ABS($B$292:$B$645-B588)&lt;&gt;0, ABS($B$292:$B$645-B588)), 0))</f>
        <v>-3469.7</v>
      </c>
      <c r="T588" s="126" cm="1">
        <f t="array" ref="T588">INDEX($T$292:$T$645, MATCH(MIN(IF(ABS($B$292:$B$645-B588)&lt;&gt;0, ABS($B$292:$B$645-B588))), IF(ABS($B$292:$B$645-B588)&lt;&gt;0, ABS($B$292:$B$645-B588)), 0))</f>
        <v>-5.3791000000000002</v>
      </c>
      <c r="U588" s="37" cm="1">
        <f t="array" ref="U588">INDEX($U$292:$U$645, MATCH(MIN(IF(ABS($B$292:$B$645-B588)&lt;&gt;0, ABS($B$292:$B$645-B588))), IF(ABS($B$292:$B$645-B588)&lt;&gt;0, ABS($B$292:$B$645-B588)), 0))</f>
        <v>0</v>
      </c>
      <c r="V588" s="133" cm="1">
        <f t="array" ref="V588">INDEX($V$292:$V$645, MATCH(MIN(IF(ABS($B$292:$B$645-B588)&lt;&gt;0, ABS($B$292:$B$645-B588))), IF(ABS($B$292:$B$645-B588)&lt;&gt;0, ABS($B$292:$B$645-B588)), 0))</f>
        <v>0</v>
      </c>
      <c r="W588" s="138">
        <v>210.93299999999999</v>
      </c>
      <c r="X588" s="13">
        <v>0.92835999999999996</v>
      </c>
      <c r="Y588" s="14">
        <v>-2.3640000000000002E-3</v>
      </c>
      <c r="Z588" s="30">
        <v>2.9560000000000002E-6</v>
      </c>
      <c r="AA588" s="77">
        <v>0.155</v>
      </c>
      <c r="AB588" s="5">
        <v>-5.3563000000000002E-5</v>
      </c>
      <c r="AC588" s="15">
        <v>-1.9399000000000001E-7</v>
      </c>
      <c r="AD588" s="146">
        <v>67.914000000000001</v>
      </c>
      <c r="AE588" s="147">
        <v>0.38</v>
      </c>
      <c r="AF588" s="150">
        <v>51.226999999999997</v>
      </c>
      <c r="AG588" s="152">
        <v>1.2222</v>
      </c>
    </row>
    <row r="589" spans="1:33" x14ac:dyDescent="0.2">
      <c r="A589" s="27">
        <v>12</v>
      </c>
      <c r="B589" s="69">
        <v>7.58994087625</v>
      </c>
      <c r="C589" s="28">
        <f t="shared" si="35"/>
        <v>0.40068332309042598</v>
      </c>
      <c r="D589" s="52">
        <v>170.33799999999999</v>
      </c>
      <c r="E589" s="59">
        <v>647.78</v>
      </c>
      <c r="F589" s="45" t="str" cm="1">
        <f t="array" aca="1" ref="F589" ca="1">LEFT(INDEX($F$292:$F$645, MATCH(MIN(IF(ABS($B$292:$B$645-B589)&lt;&gt;0, ABS($B$292:$B$645-B589))), IF(ABS($B$292:$B$645-B589)&lt;&gt;0, ABS($B$292:$B$645-B589)), 0)),5)</f>
        <v>18.34</v>
      </c>
      <c r="G589" s="36" t="str" cm="1">
        <f t="array" aca="1" ref="G589" ca="1">LEFT(INDEX($G$292:$G$645, MATCH(MIN(IF(ABS($B$292:$B$645-B589)&lt;&gt;0, ABS($B$292:$B$645-B589))), IF(ABS($B$292:$B$645-B589)&lt;&gt;0, ABS($B$292:$B$645-B589)), 0)),8)</f>
        <v>0.000695</v>
      </c>
      <c r="H589" s="46">
        <f t="shared" ca="1" si="36"/>
        <v>245.09064748201439</v>
      </c>
      <c r="I589" s="54">
        <f t="shared" ca="1" si="37"/>
        <v>0.236671836386806</v>
      </c>
      <c r="J589" s="53" t="str" cm="1">
        <f t="array" aca="1" ref="J589" ca="1">LEFT(INDEX($J$292:$J$645, MATCH(MIN(IF(ABS($B$292:$B$645-B589)&lt;&gt;0, ABS($B$292:$B$645-B589))), IF(ABS($B$292:$B$645-B589)&lt;&gt;0, ABS($B$292:$B$645-B589)), 0)),5)</f>
        <v>0.519</v>
      </c>
      <c r="K589" s="76">
        <v>-5.0488</v>
      </c>
      <c r="L589" s="82">
        <v>1025.7</v>
      </c>
      <c r="M589" s="85">
        <v>8.3999999999999995E-3</v>
      </c>
      <c r="N589" s="4">
        <v>-7.9772000000000005E-6</v>
      </c>
      <c r="O589" s="96">
        <v>0.24890000000000001</v>
      </c>
      <c r="P589" s="97">
        <v>0.2545</v>
      </c>
      <c r="Q589" s="98">
        <v>0.28570000000000001</v>
      </c>
      <c r="R589" s="113" t="str" cm="1">
        <f t="array" ref="R589">LEFT(INDEX($R$292:$R$645, MATCH(MIN(IF(ABS($B$292:$B$645-B589)&lt;&gt;0, ABS($B$292:$B$645-B589))), IF(ABS($B$292:$B$645-B589)&lt;&gt;0, ABS($B$292:$B$645-B589)), 0)),7)</f>
        <v>25.131</v>
      </c>
      <c r="S589" s="119" cm="1">
        <f t="array" ref="S589">INDEX($S$292:$S$645, MATCH(MIN(IF(ABS($B$292:$B$645-B589)&lt;&gt;0, ABS($B$292:$B$645-B589))), IF(ABS($B$292:$B$645-B589)&lt;&gt;0, ABS($B$292:$B$645-B589)), 0))</f>
        <v>-3496.1</v>
      </c>
      <c r="T589" s="126" cm="1">
        <f t="array" ref="T589">INDEX($T$292:$T$645, MATCH(MIN(IF(ABS($B$292:$B$645-B589)&lt;&gt;0, ABS($B$292:$B$645-B589))), IF(ABS($B$292:$B$645-B589)&lt;&gt;0, ABS($B$292:$B$645-B589)), 0))</f>
        <v>-5.5518000000000001</v>
      </c>
      <c r="U589" s="37" cm="1">
        <f t="array" ref="U589">INDEX($U$292:$U$645, MATCH(MIN(IF(ABS($B$292:$B$645-B589)&lt;&gt;0, ABS($B$292:$B$645-B589))), IF(ABS($B$292:$B$645-B589)&lt;&gt;0, ABS($B$292:$B$645-B589)), 0))</f>
        <v>0</v>
      </c>
      <c r="V589" s="133" cm="1">
        <f t="array" ref="V589">INDEX($V$292:$V$645, MATCH(MIN(IF(ABS($B$292:$B$645-B589)&lt;&gt;0, ABS($B$292:$B$645-B589))), IF(ABS($B$292:$B$645-B589)&lt;&gt;0, ABS($B$292:$B$645-B589)), 0))</f>
        <v>0</v>
      </c>
      <c r="W589" s="139">
        <v>221.14599999999999</v>
      </c>
      <c r="X589" s="7">
        <v>0.88836000000000004</v>
      </c>
      <c r="Y589" s="8">
        <v>-2.3427000000000001E-3</v>
      </c>
      <c r="Z589" s="33">
        <v>3.0622000000000001E-6</v>
      </c>
      <c r="AA589" s="141">
        <v>0.1583</v>
      </c>
      <c r="AB589" s="9">
        <v>-6.3196999999999998E-5</v>
      </c>
      <c r="AC589" s="10">
        <v>-1.9698999999999999E-7</v>
      </c>
      <c r="AD589" s="146">
        <v>67.075000000000003</v>
      </c>
      <c r="AE589" s="147">
        <v>0.38</v>
      </c>
      <c r="AF589" s="150">
        <v>51.277999999999999</v>
      </c>
      <c r="AG589" s="152">
        <v>1.2222</v>
      </c>
    </row>
    <row r="590" spans="1:33" x14ac:dyDescent="0.2">
      <c r="A590" s="27">
        <v>12</v>
      </c>
      <c r="B590" s="69">
        <v>10.491579099999999</v>
      </c>
      <c r="C590" s="28">
        <f t="shared" si="35"/>
        <v>0.58311951102149961</v>
      </c>
      <c r="D590" s="52">
        <v>170.33799999999999</v>
      </c>
      <c r="E590" s="59">
        <v>647.57000000000005</v>
      </c>
      <c r="F590" s="45" t="str" cm="1">
        <f t="array" ref="F590">LEFT(INDEX($F$292:$F$645, MATCH(MIN(IF(ABS($B$292:$B$645-B590)&lt;&gt;0, ABS($B$292:$B$645-B590))), IF(ABS($B$292:$B$645-B590)&lt;&gt;0, ABS($B$292:$B$645-B590)), 0)),5)</f>
        <v>18.39</v>
      </c>
      <c r="G590" s="36" t="str" cm="1">
        <f t="array" ref="G590">LEFT(INDEX($G$292:$G$645, MATCH(MIN(IF(ABS($B$292:$B$645-B590)&lt;&gt;0, ABS($B$292:$B$645-B590))), IF(ABS($B$292:$B$645-B590)&lt;&gt;0, ABS($B$292:$B$645-B590)), 0)),8)</f>
        <v>0.000685</v>
      </c>
      <c r="H590" s="46">
        <f t="shared" si="36"/>
        <v>248.66861313868614</v>
      </c>
      <c r="I590" s="54">
        <f t="shared" si="37"/>
        <v>0.23397828834384563</v>
      </c>
      <c r="J590" s="53" t="str" cm="1">
        <f t="array" ref="J590">LEFT(INDEX($J$292:$J$645, MATCH(MIN(IF(ABS($B$292:$B$645-B590)&lt;&gt;0, ABS($B$292:$B$645-B590))), IF(ABS($B$292:$B$645-B590)&lt;&gt;0, ABS($B$292:$B$645-B590)), 0)),5)</f>
        <v>0.403</v>
      </c>
      <c r="K590" s="76">
        <v>-4.75</v>
      </c>
      <c r="L590" s="82">
        <v>982.73</v>
      </c>
      <c r="M590" s="85">
        <v>7.6E-3</v>
      </c>
      <c r="N590" s="4">
        <v>-7.3838000000000004E-6</v>
      </c>
      <c r="O590" s="96">
        <v>0.2485</v>
      </c>
      <c r="P590" s="97">
        <v>0.2591</v>
      </c>
      <c r="Q590" s="98">
        <v>0.28570000000000001</v>
      </c>
      <c r="R590" s="113" t="str" cm="1">
        <f t="array" ref="R590">LEFT(INDEX($R$292:$R$645, MATCH(MIN(IF(ABS($B$292:$B$645-B590)&lt;&gt;0, ABS($B$292:$B$645-B590))), IF(ABS($B$292:$B$645-B590)&lt;&gt;0, ABS($B$292:$B$645-B590)), 0)),7)</f>
        <v>25.217</v>
      </c>
      <c r="S590" s="119" cm="1">
        <f t="array" ref="S590">INDEX($S$292:$S$645, MATCH(MIN(IF(ABS($B$292:$B$645-B590)&lt;&gt;0, ABS($B$292:$B$645-B590))), IF(ABS($B$292:$B$645-B590)&lt;&gt;0, ABS($B$292:$B$645-B590)), 0))</f>
        <v>-3413.7</v>
      </c>
      <c r="T590" s="126" cm="1">
        <f t="array" ref="T590">INDEX($T$292:$T$645, MATCH(MIN(IF(ABS($B$292:$B$645-B590)&lt;&gt;0, ABS($B$292:$B$645-B590))), IF(ABS($B$292:$B$645-B590)&lt;&gt;0, ABS($B$292:$B$645-B590)), 0))</f>
        <v>-5.6127000000000002</v>
      </c>
      <c r="U590" s="37" cm="1">
        <f t="array" ref="U590">INDEX($U$292:$U$645, MATCH(MIN(IF(ABS($B$292:$B$645-B590)&lt;&gt;0, ABS($B$292:$B$645-B590))), IF(ABS($B$292:$B$645-B590)&lt;&gt;0, ABS($B$292:$B$645-B590)), 0))</f>
        <v>0</v>
      </c>
      <c r="V590" s="133" cm="1">
        <f t="array" ref="V590">INDEX($V$292:$V$645, MATCH(MIN(IF(ABS($B$292:$B$645-B590)&lt;&gt;0, ABS($B$292:$B$645-B590))), IF(ABS($B$292:$B$645-B590)&lt;&gt;0, ABS($B$292:$B$645-B590)), 0))</f>
        <v>0</v>
      </c>
      <c r="W590" s="139">
        <v>208.10300000000001</v>
      </c>
      <c r="X590" s="7">
        <v>0.95047000000000004</v>
      </c>
      <c r="Y590" s="8">
        <v>-2.4597E-3</v>
      </c>
      <c r="Z590" s="33">
        <v>3.1E-6</v>
      </c>
      <c r="AA590" s="141">
        <v>0.1547</v>
      </c>
      <c r="AB590" s="9">
        <v>-5.3884000000000001E-5</v>
      </c>
      <c r="AC590" s="10">
        <v>-2.0372E-7</v>
      </c>
      <c r="AD590" s="146">
        <v>66.204999999999998</v>
      </c>
      <c r="AE590" s="147">
        <v>0.38</v>
      </c>
      <c r="AF590" s="150">
        <v>50.811</v>
      </c>
      <c r="AG590" s="152">
        <v>1.2222</v>
      </c>
    </row>
    <row r="591" spans="1:33" x14ac:dyDescent="0.2">
      <c r="A591" s="27">
        <v>12</v>
      </c>
      <c r="B591" s="69">
        <v>12.1160811625</v>
      </c>
      <c r="C591" s="28">
        <f t="shared" si="35"/>
        <v>0.68525766220205897</v>
      </c>
      <c r="D591" s="52">
        <v>170.33799999999999</v>
      </c>
      <c r="E591" s="59">
        <v>628.22</v>
      </c>
      <c r="F591" s="45" t="str" cm="1">
        <f t="array" ref="F591">LEFT(INDEX($F$292:$F$645, MATCH(MIN(IF(ABS($B$292:$B$645-B591)&lt;&gt;0, ABS($B$292:$B$645-B591))), IF(ABS($B$292:$B$645-B591)&lt;&gt;0, ABS($B$292:$B$645-B591)), 0)),5)</f>
        <v>18.47</v>
      </c>
      <c r="G591" s="36" t="str" cm="1">
        <f t="array" ref="G591">LEFT(INDEX($G$292:$G$645, MATCH(MIN(IF(ABS($B$292:$B$645-B591)&lt;&gt;0, ABS($B$292:$B$645-B591))), IF(ABS($B$292:$B$645-B591)&lt;&gt;0, ABS($B$292:$B$645-B591)), 0)),8)</f>
        <v>0.000678</v>
      </c>
      <c r="H591" s="46">
        <f t="shared" si="36"/>
        <v>251.23598820058999</v>
      </c>
      <c r="I591" s="54">
        <f t="shared" si="37"/>
        <v>0.2397589404329955</v>
      </c>
      <c r="J591" s="53" t="str" cm="1">
        <f t="array" ref="J591">LEFT(INDEX($J$292:$J$645, MATCH(MIN(IF(ABS($B$292:$B$645-B591)&lt;&gt;0, ABS($B$292:$B$645-B591))), IF(ABS($B$292:$B$645-B591)&lt;&gt;0, ABS($B$292:$B$645-B591)), 0)),5)</f>
        <v>0.404</v>
      </c>
      <c r="K591" s="76">
        <v>-4.4885000000000002</v>
      </c>
      <c r="L591" s="82">
        <v>917.17</v>
      </c>
      <c r="M591" s="85">
        <v>7.3000000000000001E-3</v>
      </c>
      <c r="N591" s="4">
        <v>-7.4480999999999999E-6</v>
      </c>
      <c r="O591" s="96">
        <v>0.25109999999999999</v>
      </c>
      <c r="P591" s="97">
        <v>0.26579999999999998</v>
      </c>
      <c r="Q591" s="98">
        <v>0.28570000000000001</v>
      </c>
      <c r="R591" s="113" t="str" cm="1">
        <f t="array" ref="R591">LEFT(INDEX($R$292:$R$645, MATCH(MIN(IF(ABS($B$292:$B$645-B591)&lt;&gt;0, ABS($B$292:$B$645-B591))), IF(ABS($B$292:$B$645-B591)&lt;&gt;0, ABS($B$292:$B$645-B591)), 0)),7)</f>
        <v>25.454</v>
      </c>
      <c r="S591" s="119" cm="1">
        <f t="array" ref="S591">INDEX($S$292:$S$645, MATCH(MIN(IF(ABS($B$292:$B$645-B591)&lt;&gt;0, ABS($B$292:$B$645-B591))), IF(ABS($B$292:$B$645-B591)&lt;&gt;0, ABS($B$292:$B$645-B591)), 0))</f>
        <v>-3400.6</v>
      </c>
      <c r="T591" s="126" cm="1">
        <f t="array" ref="T591">INDEX($T$292:$T$645, MATCH(MIN(IF(ABS($B$292:$B$645-B591)&lt;&gt;0, ABS($B$292:$B$645-B591))), IF(ABS($B$292:$B$645-B591)&lt;&gt;0, ABS($B$292:$B$645-B591)), 0))</f>
        <v>-5.6936</v>
      </c>
      <c r="U591" s="37" cm="1">
        <f t="array" ref="U591">INDEX($U$292:$U$645, MATCH(MIN(IF(ABS($B$292:$B$645-B591)&lt;&gt;0, ABS($B$292:$B$645-B591))), IF(ABS($B$292:$B$645-B591)&lt;&gt;0, ABS($B$292:$B$645-B591)), 0))</f>
        <v>0</v>
      </c>
      <c r="V591" s="133" cm="1">
        <f t="array" ref="V591">INDEX($V$292:$V$645, MATCH(MIN(IF(ABS($B$292:$B$645-B591)&lt;&gt;0, ABS($B$292:$B$645-B591))), IF(ABS($B$292:$B$645-B591)&lt;&gt;0, ABS($B$292:$B$645-B591)), 0))</f>
        <v>0</v>
      </c>
      <c r="W591" s="139">
        <v>223.72800000000001</v>
      </c>
      <c r="X591" s="7">
        <v>0.83691000000000004</v>
      </c>
      <c r="Y591" s="8">
        <v>-2.2602999999999998E-3</v>
      </c>
      <c r="Z591" s="33">
        <v>3.0713000000000001E-6</v>
      </c>
      <c r="AA591" s="141">
        <v>0.158</v>
      </c>
      <c r="AB591" s="9">
        <v>-6.9468999999999995E-5</v>
      </c>
      <c r="AC591" s="10">
        <v>-2.0207999999999999E-7</v>
      </c>
      <c r="AD591" s="146">
        <v>64.028999999999996</v>
      </c>
      <c r="AE591" s="147">
        <v>0.38</v>
      </c>
      <c r="AF591" s="150">
        <v>50.375</v>
      </c>
      <c r="AG591" s="152">
        <v>1.2222</v>
      </c>
    </row>
    <row r="592" spans="1:33" x14ac:dyDescent="0.2">
      <c r="A592" s="27">
        <v>12</v>
      </c>
      <c r="B592" s="69">
        <v>9.6733125300000005</v>
      </c>
      <c r="C592" s="28">
        <f t="shared" si="35"/>
        <v>0.53167221737876991</v>
      </c>
      <c r="D592" s="52">
        <v>170.33799999999999</v>
      </c>
      <c r="E592" s="59">
        <v>638.19000000000005</v>
      </c>
      <c r="F592" s="45" t="str" cm="1">
        <f t="array" ref="F592">LEFT(INDEX($F$292:$F$645, MATCH(MIN(IF(ABS($B$292:$B$645-B592)&lt;&gt;0, ABS($B$292:$B$645-B592))), IF(ABS($B$292:$B$645-B592)&lt;&gt;0, ABS($B$292:$B$645-B592)), 0)),5)</f>
        <v>18.42</v>
      </c>
      <c r="G592" s="36" t="str" cm="1">
        <f t="array" ref="G592">LEFT(INDEX($G$292:$G$645, MATCH(MIN(IF(ABS($B$292:$B$645-B592)&lt;&gt;0, ABS($B$292:$B$645-B592))), IF(ABS($B$292:$B$645-B592)&lt;&gt;0, ABS($B$292:$B$645-B592)), 0)),8)</f>
        <v>0.000677</v>
      </c>
      <c r="H592" s="46">
        <f t="shared" si="36"/>
        <v>251.60709010339733</v>
      </c>
      <c r="I592" s="54">
        <f t="shared" si="37"/>
        <v>0.23502728275728585</v>
      </c>
      <c r="J592" s="53" t="str" cm="1">
        <f t="array" ref="J592">LEFT(INDEX($J$292:$J$645, MATCH(MIN(IF(ABS($B$292:$B$645-B592)&lt;&gt;0, ABS($B$292:$B$645-B592))), IF(ABS($B$292:$B$645-B592)&lt;&gt;0, ABS($B$292:$B$645-B592)), 0)),5)</f>
        <v>0.434</v>
      </c>
      <c r="K592" s="76">
        <v>-4.9923000000000002</v>
      </c>
      <c r="L592" s="82">
        <v>1002.6</v>
      </c>
      <c r="M592" s="85">
        <v>8.3999999999999995E-3</v>
      </c>
      <c r="N592" s="4">
        <v>-8.1468999999999999E-6</v>
      </c>
      <c r="O592" s="96">
        <v>0.25140000000000001</v>
      </c>
      <c r="P592" s="97">
        <v>0.26029999999999998</v>
      </c>
      <c r="Q592" s="98">
        <v>0.28570000000000001</v>
      </c>
      <c r="R592" s="116">
        <v>25.556000000000001</v>
      </c>
      <c r="S592" s="123">
        <v>-3466.7</v>
      </c>
      <c r="T592" s="130">
        <v>-5.6985000000000001</v>
      </c>
      <c r="U592" s="14">
        <v>0</v>
      </c>
      <c r="V592" s="30">
        <v>0</v>
      </c>
      <c r="W592" s="139">
        <v>239.40899999999999</v>
      </c>
      <c r="X592" s="7">
        <v>0.75409999999999999</v>
      </c>
      <c r="Y592" s="8">
        <v>-2.0544999999999999E-3</v>
      </c>
      <c r="Z592" s="33">
        <v>2.8893E-6</v>
      </c>
      <c r="AA592" s="141">
        <v>0.1615</v>
      </c>
      <c r="AB592" s="9">
        <v>-7.7142000000000001E-5</v>
      </c>
      <c r="AC592" s="10">
        <v>-1.9002999999999999E-7</v>
      </c>
      <c r="AD592" s="146">
        <v>65.975999999999999</v>
      </c>
      <c r="AE592" s="147">
        <v>0.38</v>
      </c>
      <c r="AF592" s="150">
        <v>51.113</v>
      </c>
      <c r="AG592" s="152">
        <v>1.2222</v>
      </c>
    </row>
    <row r="593" spans="1:33" x14ac:dyDescent="0.2">
      <c r="A593" s="27">
        <v>12</v>
      </c>
      <c r="B593" s="69">
        <v>8.9790440999999994</v>
      </c>
      <c r="C593" s="28">
        <f t="shared" si="35"/>
        <v>0.48802112237547901</v>
      </c>
      <c r="D593" s="52">
        <v>170.33799999999999</v>
      </c>
      <c r="E593" s="47">
        <v>640.89</v>
      </c>
      <c r="F593" s="45" t="str" cm="1">
        <f t="array" aca="1" ref="F593" ca="1">LEFT(INDEX($F$292:$F$645, MATCH(MIN(IF(ABS($B$292:$B$645-B593)&lt;&gt;0, ABS($B$292:$B$645-B593))), IF(ABS($B$292:$B$645-B593)&lt;&gt;0, ABS($B$292:$B$645-B593)), 0)),5)</f>
        <v>18.05</v>
      </c>
      <c r="G593" s="36" t="str" cm="1">
        <f t="array" aca="1" ref="G593" ca="1">LEFT(INDEX($G$292:$G$645, MATCH(MIN(IF(ABS($B$292:$B$645-B593)&lt;&gt;0, ABS($B$292:$B$645-B593))), IF(ABS($B$292:$B$645-B593)&lt;&gt;0, ABS($B$292:$B$645-B593)), 0)),8)</f>
        <v>0.000695</v>
      </c>
      <c r="H593" s="46">
        <f t="shared" ca="1" si="36"/>
        <v>245.09064748201439</v>
      </c>
      <c r="I593" s="54">
        <f t="shared" ca="1" si="37"/>
        <v>0.23543362819594757</v>
      </c>
      <c r="J593" s="53" t="str" cm="1">
        <f t="array" aca="1" ref="J593" ca="1">LEFT(INDEX($J$292:$J$645, MATCH(MIN(IF(ABS($B$292:$B$645-B593)&lt;&gt;0, ABS($B$292:$B$645-B593))), IF(ABS($B$292:$B$645-B593)&lt;&gt;0, ABS($B$292:$B$645-B593)), 0)),5)</f>
        <v>0.519</v>
      </c>
      <c r="K593" s="75">
        <v>-4.9513999999999996</v>
      </c>
      <c r="L593" s="81">
        <v>1001.7</v>
      </c>
      <c r="M593" s="13">
        <v>8.2000000000000007E-3</v>
      </c>
      <c r="N593" s="12">
        <v>-7.9954999999999999E-6</v>
      </c>
      <c r="O593" s="93">
        <v>0.24890000000000001</v>
      </c>
      <c r="P593" s="94">
        <v>0.2611</v>
      </c>
      <c r="Q593" s="95">
        <v>0.28570000000000001</v>
      </c>
      <c r="R593" s="111">
        <v>25.443000000000001</v>
      </c>
      <c r="S593" s="118">
        <v>-3470.1</v>
      </c>
      <c r="T593" s="125">
        <v>-5.6614000000000004</v>
      </c>
      <c r="U593" s="14">
        <v>0</v>
      </c>
      <c r="V593" s="30">
        <v>0</v>
      </c>
      <c r="W593" s="138">
        <v>221.20500000000001</v>
      </c>
      <c r="X593" s="13">
        <v>0.88793999999999995</v>
      </c>
      <c r="Y593" s="14">
        <v>-2.3560999999999999E-3</v>
      </c>
      <c r="Z593" s="30">
        <v>3.0927000000000001E-6</v>
      </c>
      <c r="AA593" s="77">
        <v>0.15820000000000001</v>
      </c>
      <c r="AB593" s="5">
        <v>-6.3572999999999996E-5</v>
      </c>
      <c r="AC593" s="15">
        <v>-2.0132999999999999E-7</v>
      </c>
      <c r="AD593" s="146">
        <v>66.293999999999997</v>
      </c>
      <c r="AE593" s="147">
        <v>0.38</v>
      </c>
      <c r="AF593" s="150">
        <v>51.087000000000003</v>
      </c>
      <c r="AG593" s="152">
        <v>1.2222</v>
      </c>
    </row>
    <row r="594" spans="1:33" x14ac:dyDescent="0.2">
      <c r="A594" s="27">
        <v>12</v>
      </c>
      <c r="B594" s="69">
        <v>9.8334139</v>
      </c>
      <c r="C594" s="28">
        <f t="shared" si="35"/>
        <v>0.5417383529108537</v>
      </c>
      <c r="D594" s="52">
        <v>170.33799999999999</v>
      </c>
      <c r="E594" s="47">
        <v>634</v>
      </c>
      <c r="F594" s="45" t="str" cm="1">
        <f t="array" ref="F594">LEFT(INDEX($F$292:$F$645, MATCH(MIN(IF(ABS($B$292:$B$645-B594)&lt;&gt;0, ABS($B$292:$B$645-B594))), IF(ABS($B$292:$B$645-B594)&lt;&gt;0, ABS($B$292:$B$645-B594)), 0)),5)</f>
        <v>18.34</v>
      </c>
      <c r="G594" s="36" t="str" cm="1">
        <f t="array" ref="G594">LEFT(INDEX($G$292:$G$645, MATCH(MIN(IF(ABS($B$292:$B$645-B594)&lt;&gt;0, ABS($B$292:$B$645-B594))), IF(ABS($B$292:$B$645-B594)&lt;&gt;0, ABS($B$292:$B$645-B594)), 0)),8)</f>
        <v>0.000684</v>
      </c>
      <c r="H594" s="46">
        <f t="shared" si="36"/>
        <v>249.03216374269002</v>
      </c>
      <c r="I594" s="54">
        <f t="shared" si="37"/>
        <v>0.23798860042996917</v>
      </c>
      <c r="J594" s="53" t="str" cm="1">
        <f t="array" ref="J594">LEFT(INDEX($J$292:$J$645, MATCH(MIN(IF(ABS($B$292:$B$645-B594)&lt;&gt;0, ABS($B$292:$B$645-B594))), IF(ABS($B$292:$B$645-B594)&lt;&gt;0, ABS($B$292:$B$645-B594)), 0)),5)</f>
        <v>0.432</v>
      </c>
      <c r="K594" s="75">
        <v>-4.8373999999999997</v>
      </c>
      <c r="L594" s="81">
        <v>975.44</v>
      </c>
      <c r="M594" s="13">
        <v>8.0999999999999996E-3</v>
      </c>
      <c r="N594" s="12">
        <v>-7.9890999999999995E-6</v>
      </c>
      <c r="O594" s="93">
        <v>0.24890000000000001</v>
      </c>
      <c r="P594" s="94">
        <v>0.26550000000000001</v>
      </c>
      <c r="Q594" s="95">
        <v>0.28570000000000001</v>
      </c>
      <c r="R594" s="111">
        <v>25.672999999999998</v>
      </c>
      <c r="S594" s="118">
        <v>-3451.7</v>
      </c>
      <c r="T594" s="125">
        <v>-5.7423000000000002</v>
      </c>
      <c r="U594" s="14">
        <v>0</v>
      </c>
      <c r="V594" s="30">
        <v>0</v>
      </c>
      <c r="W594" s="138">
        <v>220.14</v>
      </c>
      <c r="X594" s="13">
        <v>0.89612000000000003</v>
      </c>
      <c r="Y594" s="14">
        <v>-2.3957000000000002E-3</v>
      </c>
      <c r="Z594" s="30">
        <v>3.1566E-6</v>
      </c>
      <c r="AA594" s="77">
        <v>0.15809999999999999</v>
      </c>
      <c r="AB594" s="5">
        <v>-6.3947000000000003E-5</v>
      </c>
      <c r="AC594" s="15">
        <v>-2.0583000000000001E-7</v>
      </c>
      <c r="AD594" s="146">
        <v>65.513999999999996</v>
      </c>
      <c r="AE594" s="147">
        <v>0.38</v>
      </c>
      <c r="AF594" s="150">
        <v>50.893999999999998</v>
      </c>
      <c r="AG594" s="152">
        <v>1.2222</v>
      </c>
    </row>
    <row r="595" spans="1:33" x14ac:dyDescent="0.2">
      <c r="A595" s="27">
        <v>12</v>
      </c>
      <c r="B595" s="69">
        <v>8.5692702599999997</v>
      </c>
      <c r="C595" s="28">
        <f t="shared" si="35"/>
        <v>0.46225720161113815</v>
      </c>
      <c r="D595" s="52">
        <v>170.33799999999999</v>
      </c>
      <c r="E595" s="47">
        <v>643.65</v>
      </c>
      <c r="F595" s="45" t="str" cm="1">
        <f t="array" ref="F595">LEFT(INDEX($F$292:$F$645, MATCH(MIN(IF(ABS($B$292:$B$645-B595)&lt;&gt;0, ABS($B$292:$B$645-B595))), IF(ABS($B$292:$B$645-B595)&lt;&gt;0, ABS($B$292:$B$645-B595)), 0)),5)</f>
        <v>18.34</v>
      </c>
      <c r="G595" s="36" t="str" cm="1">
        <f t="array" ref="G595">LEFT(INDEX($G$292:$G$645, MATCH(MIN(IF(ABS($B$292:$B$645-B595)&lt;&gt;0, ABS($B$292:$B$645-B595))), IF(ABS($B$292:$B$645-B595)&lt;&gt;0, ABS($B$292:$B$645-B595)), 0)),8)</f>
        <v>0.000684</v>
      </c>
      <c r="H595" s="46">
        <f t="shared" si="36"/>
        <v>249.03216374269002</v>
      </c>
      <c r="I595" s="54">
        <f t="shared" si="37"/>
        <v>0.23442052772873528</v>
      </c>
      <c r="J595" s="53" t="str" cm="1">
        <f t="array" ref="J595">LEFT(INDEX($J$292:$J$645, MATCH(MIN(IF(ABS($B$292:$B$645-B595)&lt;&gt;0, ABS($B$292:$B$645-B595))), IF(ABS($B$292:$B$645-B595)&lt;&gt;0, ABS($B$292:$B$645-B595)), 0)),5)</f>
        <v>0.432</v>
      </c>
      <c r="K595" s="75">
        <v>-4.9922000000000004</v>
      </c>
      <c r="L595" s="81">
        <v>1011.5</v>
      </c>
      <c r="M595" s="13">
        <v>8.3000000000000001E-3</v>
      </c>
      <c r="N595" s="12">
        <v>-7.9907999999999998E-6</v>
      </c>
      <c r="O595" s="93">
        <v>0.24890000000000001</v>
      </c>
      <c r="P595" s="94">
        <v>0.25900000000000001</v>
      </c>
      <c r="Q595" s="95">
        <v>0.28570000000000001</v>
      </c>
      <c r="R595" s="111">
        <v>25.353000000000002</v>
      </c>
      <c r="S595" s="118">
        <v>-3477.5</v>
      </c>
      <c r="T595" s="125">
        <v>-5.6295999999999999</v>
      </c>
      <c r="U595" s="14">
        <v>0</v>
      </c>
      <c r="V595" s="30">
        <v>0</v>
      </c>
      <c r="W595" s="138">
        <v>221.47900000000001</v>
      </c>
      <c r="X595" s="13">
        <v>0.88585999999999998</v>
      </c>
      <c r="Y595" s="14">
        <v>-2.3440000000000002E-3</v>
      </c>
      <c r="Z595" s="30">
        <v>3.0719000000000002E-6</v>
      </c>
      <c r="AA595" s="77">
        <v>0.15820000000000001</v>
      </c>
      <c r="AB595" s="5">
        <v>-6.3423000000000006E-5</v>
      </c>
      <c r="AC595" s="15">
        <v>-1.9957999999999999E-7</v>
      </c>
      <c r="AD595" s="146">
        <v>66.605999999999995</v>
      </c>
      <c r="AE595" s="147">
        <v>0.38</v>
      </c>
      <c r="AF595" s="150">
        <v>51.164000000000001</v>
      </c>
      <c r="AG595" s="152">
        <v>1.2222</v>
      </c>
    </row>
    <row r="596" spans="1:33" x14ac:dyDescent="0.2">
      <c r="A596" s="27">
        <v>12</v>
      </c>
      <c r="B596" s="69">
        <v>9.1570837049999998</v>
      </c>
      <c r="C596" s="28">
        <f t="shared" si="35"/>
        <v>0.49921509775500678</v>
      </c>
      <c r="D596" s="52">
        <v>170.33799999999999</v>
      </c>
      <c r="E596" s="59">
        <v>634</v>
      </c>
      <c r="F596" s="45" t="str" cm="1">
        <f t="array" aca="1" ref="F596" ca="1">LEFT(INDEX($F$292:$F$645, MATCH(MIN(IF(ABS($B$292:$B$645-B596)&lt;&gt;0, ABS($B$292:$B$645-B596))), IF(ABS($B$292:$B$645-B596)&lt;&gt;0, ABS($B$292:$B$645-B596)), 0)),5)</f>
        <v>18.05</v>
      </c>
      <c r="G596" s="36" t="str" cm="1">
        <f t="array" aca="1" ref="G596" ca="1">LEFT(INDEX($G$292:$G$645, MATCH(MIN(IF(ABS($B$292:$B$645-B596)&lt;&gt;0, ABS($B$292:$B$645-B596))), IF(ABS($B$292:$B$645-B596)&lt;&gt;0, ABS($B$292:$B$645-B596)), 0)),8)</f>
        <v>0.000695</v>
      </c>
      <c r="H596" s="46">
        <f t="shared" ca="1" si="36"/>
        <v>245.09064748201439</v>
      </c>
      <c r="I596" s="54">
        <f t="shared" ca="1" si="37"/>
        <v>0.23799220500709911</v>
      </c>
      <c r="J596" s="53" t="str" cm="1">
        <f t="array" aca="1" ref="J596" ca="1">LEFT(INDEX($J$292:$J$645, MATCH(MIN(IF(ABS($B$292:$B$645-B596)&lt;&gt;0, ABS($B$292:$B$645-B596))), IF(ABS($B$292:$B$645-B596)&lt;&gt;0, ABS($B$292:$B$645-B596)), 0)),5)</f>
        <v>0.519</v>
      </c>
      <c r="K596" s="76">
        <v>-4.8373999999999997</v>
      </c>
      <c r="L596" s="82">
        <v>975.44</v>
      </c>
      <c r="M596" s="85">
        <v>8.0999999999999996E-3</v>
      </c>
      <c r="N596" s="4">
        <v>-7.9890999999999995E-6</v>
      </c>
      <c r="O596" s="96">
        <v>0.24890000000000001</v>
      </c>
      <c r="P596" s="97">
        <v>0.26300000000000001</v>
      </c>
      <c r="Q596" s="98">
        <v>0.28570000000000001</v>
      </c>
      <c r="R596" s="114">
        <v>25.672999999999998</v>
      </c>
      <c r="S596" s="120">
        <v>-3451.7</v>
      </c>
      <c r="T596" s="127">
        <v>-5.7423000000000002</v>
      </c>
      <c r="U596" s="14">
        <v>0</v>
      </c>
      <c r="V596" s="14">
        <v>0</v>
      </c>
      <c r="W596" s="139">
        <v>218.92500000000001</v>
      </c>
      <c r="X596" s="7">
        <v>0.90527000000000002</v>
      </c>
      <c r="Y596" s="8">
        <v>-2.4231000000000001E-3</v>
      </c>
      <c r="Z596" s="33">
        <v>3.1916000000000001E-6</v>
      </c>
      <c r="AA596" s="141">
        <v>0.15809999999999999</v>
      </c>
      <c r="AB596" s="9">
        <v>-6.3947000000000003E-5</v>
      </c>
      <c r="AC596" s="10">
        <v>-2.0583000000000001E-7</v>
      </c>
      <c r="AD596" s="146">
        <v>65.513999999999996</v>
      </c>
      <c r="AE596" s="147">
        <v>0.38</v>
      </c>
      <c r="AF596" s="150">
        <v>50.893999999999998</v>
      </c>
      <c r="AG596" s="152">
        <v>1.2222</v>
      </c>
    </row>
    <row r="597" spans="1:33" x14ac:dyDescent="0.2">
      <c r="A597" s="27">
        <v>12</v>
      </c>
      <c r="B597" s="69">
        <v>10.4894319</v>
      </c>
      <c r="C597" s="28">
        <f t="shared" si="35"/>
        <v>0.58298450901486787</v>
      </c>
      <c r="D597" s="52">
        <v>170.33799999999999</v>
      </c>
      <c r="E597" s="47">
        <v>640.64</v>
      </c>
      <c r="F597" s="45" t="str" cm="1">
        <f t="array" ref="F597">LEFT(INDEX($F$292:$F$645, MATCH(MIN(IF(ABS($B$292:$B$645-B597)&lt;&gt;0, ABS($B$292:$B$645-B597))), IF(ABS($B$292:$B$645-B597)&lt;&gt;0, ABS($B$292:$B$645-B597)), 0)),5)</f>
        <v>18.39</v>
      </c>
      <c r="G597" s="36" t="str" cm="1">
        <f t="array" ref="G597">LEFT(INDEX($G$292:$G$645, MATCH(MIN(IF(ABS($B$292:$B$645-B597)&lt;&gt;0, ABS($B$292:$B$645-B597))), IF(ABS($B$292:$B$645-B597)&lt;&gt;0, ABS($B$292:$B$645-B597)), 0)),8)</f>
        <v>0.000685</v>
      </c>
      <c r="H597" s="46">
        <f t="shared" si="36"/>
        <v>248.66861313868614</v>
      </c>
      <c r="I597" s="54">
        <f t="shared" si="37"/>
        <v>0.23650930348218052</v>
      </c>
      <c r="J597" s="53" t="str" cm="1">
        <f t="array" ref="J597">LEFT(INDEX($J$292:$J$645, MATCH(MIN(IF(ABS($B$292:$B$645-B597)&lt;&gt;0, ABS($B$292:$B$645-B597))), IF(ABS($B$292:$B$645-B597)&lt;&gt;0, ABS($B$292:$B$645-B597)), 0)),5)</f>
        <v>0.403</v>
      </c>
      <c r="K597" s="75">
        <v>-4.6403999999999996</v>
      </c>
      <c r="L597" s="81">
        <v>957.28</v>
      </c>
      <c r="M597" s="13">
        <v>7.4999999999999997E-3</v>
      </c>
      <c r="N597" s="12">
        <v>-7.3730999999999998E-6</v>
      </c>
      <c r="O597" s="93">
        <v>0.2485</v>
      </c>
      <c r="P597" s="94">
        <v>0.2631</v>
      </c>
      <c r="Q597" s="95">
        <v>0.28570000000000001</v>
      </c>
      <c r="R597" s="111">
        <v>25.248000000000001</v>
      </c>
      <c r="S597" s="118">
        <v>-3411.2</v>
      </c>
      <c r="T597" s="125">
        <v>-5.6238999999999999</v>
      </c>
      <c r="U597" s="14">
        <v>0</v>
      </c>
      <c r="V597" s="30">
        <v>0</v>
      </c>
      <c r="W597" s="138">
        <v>206.65600000000001</v>
      </c>
      <c r="X597" s="13">
        <v>0.96201999999999999</v>
      </c>
      <c r="Y597" s="14">
        <v>-2.5086000000000002E-3</v>
      </c>
      <c r="Z597" s="30">
        <v>3.1727999999999999E-6</v>
      </c>
      <c r="AA597" s="77">
        <v>0.1545</v>
      </c>
      <c r="AB597" s="5">
        <v>-5.4011999999999997E-5</v>
      </c>
      <c r="AC597" s="15">
        <v>-2.0839E-7</v>
      </c>
      <c r="AD597" s="146">
        <v>65.429000000000002</v>
      </c>
      <c r="AE597" s="147">
        <v>0.38</v>
      </c>
      <c r="AF597" s="150">
        <v>50.62</v>
      </c>
      <c r="AG597" s="152">
        <v>1.2222</v>
      </c>
    </row>
    <row r="598" spans="1:33" x14ac:dyDescent="0.2">
      <c r="A598" s="27">
        <v>12</v>
      </c>
      <c r="B598" s="69">
        <v>7.4061196650000003</v>
      </c>
      <c r="C598" s="28">
        <f t="shared" si="35"/>
        <v>0.38912583781647547</v>
      </c>
      <c r="D598" s="52">
        <v>170.33799999999999</v>
      </c>
      <c r="E598" s="59">
        <v>654.66999999999996</v>
      </c>
      <c r="F598" s="45" t="str" cm="1">
        <f t="array" ref="F598">LEFT(INDEX($F$292:$F$645, MATCH(MIN(IF(ABS($B$292:$B$645-B598)&lt;&gt;0, ABS($B$292:$B$645-B598))), IF(ABS($B$292:$B$645-B598)&lt;&gt;0, ABS($B$292:$B$645-B598)), 0)),5)</f>
        <v>18.29</v>
      </c>
      <c r="G598" s="36" t="str" cm="1">
        <f t="array" ref="G598">LEFT(INDEX($G$292:$G$645, MATCH(MIN(IF(ABS($B$292:$B$645-B598)&lt;&gt;0, ABS($B$292:$B$645-B598))), IF(ABS($B$292:$B$645-B598)&lt;&gt;0, ABS($B$292:$B$645-B598)), 0)),8)</f>
        <v>0.000683</v>
      </c>
      <c r="H598" s="46">
        <f t="shared" si="36"/>
        <v>249.39677891654466</v>
      </c>
      <c r="I598" s="54">
        <f t="shared" si="37"/>
        <v>0.22951017757473322</v>
      </c>
      <c r="J598" s="53" t="str" cm="1">
        <f t="array" ref="J598">LEFT(INDEX($J$292:$J$645, MATCH(MIN(IF(ABS($B$292:$B$645-B598)&lt;&gt;0, ABS($B$292:$B$645-B598))), IF(ABS($B$292:$B$645-B598)&lt;&gt;0, ABS($B$292:$B$645-B598)), 0)),5)</f>
        <v>0.462</v>
      </c>
      <c r="K598" s="76">
        <v>-5.1319999999999997</v>
      </c>
      <c r="L598" s="82">
        <v>1047.7</v>
      </c>
      <c r="M598" s="85">
        <v>8.5000000000000006E-3</v>
      </c>
      <c r="N598" s="4">
        <v>-7.9388999999999995E-6</v>
      </c>
      <c r="O598" s="96">
        <v>0.24890000000000001</v>
      </c>
      <c r="P598" s="97">
        <v>0.25230000000000002</v>
      </c>
      <c r="Q598" s="98">
        <v>0.28570000000000001</v>
      </c>
      <c r="R598" s="114">
        <v>25.001000000000001</v>
      </c>
      <c r="S598" s="120">
        <v>-3507.3</v>
      </c>
      <c r="T598" s="127">
        <v>-5.5061</v>
      </c>
      <c r="U598" s="14">
        <v>0</v>
      </c>
      <c r="V598" s="14">
        <v>0</v>
      </c>
      <c r="W598" s="139">
        <v>223.179</v>
      </c>
      <c r="X598" s="7">
        <v>0.87326999999999999</v>
      </c>
      <c r="Y598" s="8">
        <v>-2.2837999999999999E-3</v>
      </c>
      <c r="Z598" s="33">
        <v>2.9747000000000001E-6</v>
      </c>
      <c r="AA598" s="141">
        <v>0.15840000000000001</v>
      </c>
      <c r="AB598" s="9">
        <v>-6.2819999999999998E-5</v>
      </c>
      <c r="AC598" s="10">
        <v>-1.9278999999999999E-7</v>
      </c>
      <c r="AD598" s="146">
        <v>67.855999999999995</v>
      </c>
      <c r="AE598" s="147">
        <v>0.38</v>
      </c>
      <c r="AF598" s="150">
        <v>51.469000000000001</v>
      </c>
      <c r="AG598" s="152">
        <v>1.2222</v>
      </c>
    </row>
    <row r="599" spans="1:33" x14ac:dyDescent="0.2">
      <c r="A599" s="27">
        <v>12</v>
      </c>
      <c r="B599" s="69">
        <v>6.7081754350000002</v>
      </c>
      <c r="C599" s="28">
        <f t="shared" si="35"/>
        <v>0.34524363235492411</v>
      </c>
      <c r="D599" s="52">
        <v>170.33799999999999</v>
      </c>
      <c r="E599" s="47">
        <v>643.97</v>
      </c>
      <c r="F599" s="45" t="str" cm="1">
        <f t="array" ref="F599">LEFT(INDEX($F$292:$F$645, MATCH(MIN(IF(ABS($B$292:$B$645-B599)&lt;&gt;0, ABS($B$292:$B$645-B599))), IF(ABS($B$292:$B$645-B599)&lt;&gt;0, ABS($B$292:$B$645-B599)), 0)),5)</f>
        <v>18.29</v>
      </c>
      <c r="G599" s="36" t="str" cm="1">
        <f t="array" ref="G599">LEFT(INDEX($G$292:$G$645, MATCH(MIN(IF(ABS($B$292:$B$645-B599)&lt;&gt;0, ABS($B$292:$B$645-B599))), IF(ABS($B$292:$B$645-B599)&lt;&gt;0, ABS($B$292:$B$645-B599)), 0)),8)</f>
        <v>0.000683</v>
      </c>
      <c r="H599" s="46">
        <f t="shared" si="36"/>
        <v>249.39677891654466</v>
      </c>
      <c r="I599" s="54">
        <f t="shared" si="37"/>
        <v>0.23332364543822007</v>
      </c>
      <c r="J599" s="53" t="str" cm="1">
        <f t="array" ref="J599">LEFT(INDEX($J$292:$J$645, MATCH(MIN(IF(ABS($B$292:$B$645-B599)&lt;&gt;0, ABS($B$292:$B$645-B599))), IF(ABS($B$292:$B$645-B599)&lt;&gt;0, ABS($B$292:$B$645-B599)), 0)),5)</f>
        <v>0.462</v>
      </c>
      <c r="K599" s="75">
        <v>-5.2964000000000002</v>
      </c>
      <c r="L599" s="81">
        <v>1055.2</v>
      </c>
      <c r="M599" s="13">
        <v>8.9999999999999993E-3</v>
      </c>
      <c r="N599" s="12">
        <v>-8.5938000000000006E-6</v>
      </c>
      <c r="O599" s="93">
        <v>0.2492</v>
      </c>
      <c r="P599" s="94">
        <v>0.2571</v>
      </c>
      <c r="Q599" s="95">
        <v>0.28570000000000001</v>
      </c>
      <c r="R599" s="111">
        <v>25.547999999999998</v>
      </c>
      <c r="S599" s="118">
        <v>-3537.3</v>
      </c>
      <c r="T599" s="125">
        <v>-5.6669</v>
      </c>
      <c r="U599" s="14">
        <v>0</v>
      </c>
      <c r="V599" s="30">
        <v>0</v>
      </c>
      <c r="W599" s="138">
        <v>235.48500000000001</v>
      </c>
      <c r="X599" s="13">
        <v>0.81706999999999996</v>
      </c>
      <c r="Y599" s="14">
        <v>-2.2065000000000001E-3</v>
      </c>
      <c r="Z599" s="30">
        <v>3.0046E-6</v>
      </c>
      <c r="AA599" s="77">
        <v>0.16170000000000001</v>
      </c>
      <c r="AB599" s="5">
        <v>-7.2148000000000001E-5</v>
      </c>
      <c r="AC599" s="15">
        <v>-1.9334999999999999E-7</v>
      </c>
      <c r="AD599" s="146">
        <v>67.477999999999994</v>
      </c>
      <c r="AE599" s="147">
        <v>0.38</v>
      </c>
      <c r="AF599" s="150">
        <v>51.643000000000001</v>
      </c>
      <c r="AG599" s="152">
        <v>1.2222</v>
      </c>
    </row>
    <row r="600" spans="1:33" x14ac:dyDescent="0.2">
      <c r="A600" s="27">
        <v>12</v>
      </c>
      <c r="B600" s="69">
        <v>7.6926466687500001</v>
      </c>
      <c r="C600" s="28">
        <f t="shared" si="35"/>
        <v>0.40714079704730144</v>
      </c>
      <c r="D600" s="52">
        <v>170.33799999999999</v>
      </c>
      <c r="E600" s="59">
        <v>638.5</v>
      </c>
      <c r="F600" s="45" t="str" cm="1">
        <f t="array" ref="F600">LEFT(INDEX($F$292:$F$645, MATCH(MIN(IF(ABS($B$292:$B$645-B600)&lt;&gt;0, ABS($B$292:$B$645-B600))), IF(ABS($B$292:$B$645-B600)&lt;&gt;0, ABS($B$292:$B$645-B600)), 0)),5)</f>
        <v>18.29</v>
      </c>
      <c r="G600" s="36" t="str" cm="1">
        <f t="array" ref="G600">LEFT(INDEX($G$292:$G$645, MATCH(MIN(IF(ABS($B$292:$B$645-B600)&lt;&gt;0, ABS($B$292:$B$645-B600))), IF(ABS($B$292:$B$645-B600)&lt;&gt;0, ABS($B$292:$B$645-B600)), 0)),8)</f>
        <v>0.000683</v>
      </c>
      <c r="H600" s="46">
        <f t="shared" si="36"/>
        <v>249.39677891654466</v>
      </c>
      <c r="I600" s="54">
        <f t="shared" si="37"/>
        <v>0.23532251832866186</v>
      </c>
      <c r="J600" s="53" t="str" cm="1">
        <f t="array" ref="J600">LEFT(INDEX($J$292:$J$645, MATCH(MIN(IF(ABS($B$292:$B$645-B600)&lt;&gt;0, ABS($B$292:$B$645-B600))), IF(ABS($B$292:$B$645-B600)&lt;&gt;0, ABS($B$292:$B$645-B600)), 0)),5)</f>
        <v>0.462</v>
      </c>
      <c r="K600" s="76">
        <v>-5.2222999999999997</v>
      </c>
      <c r="L600" s="82">
        <v>1036.4000000000001</v>
      </c>
      <c r="M600" s="85">
        <v>8.9999999999999993E-3</v>
      </c>
      <c r="N600" s="4">
        <v>-8.6230000000000003E-6</v>
      </c>
      <c r="O600" s="96">
        <v>0.2492</v>
      </c>
      <c r="P600" s="97">
        <v>0.2616</v>
      </c>
      <c r="Q600" s="98">
        <v>0.28570000000000001</v>
      </c>
      <c r="R600" s="114">
        <v>25.728999999999999</v>
      </c>
      <c r="S600" s="120">
        <v>-3522.3</v>
      </c>
      <c r="T600" s="127">
        <v>-5.7305999999999999</v>
      </c>
      <c r="U600" s="14">
        <v>0</v>
      </c>
      <c r="V600" s="14">
        <v>0</v>
      </c>
      <c r="W600" s="139">
        <v>235.185</v>
      </c>
      <c r="X600" s="7">
        <v>0.81879999999999997</v>
      </c>
      <c r="Y600" s="8">
        <v>-2.2231E-3</v>
      </c>
      <c r="Z600" s="33">
        <v>3.0375000000000001E-6</v>
      </c>
      <c r="AA600" s="141">
        <v>0.16159999999999999</v>
      </c>
      <c r="AB600" s="9">
        <v>-7.2620000000000006E-5</v>
      </c>
      <c r="AC600" s="10">
        <v>-1.9665E-7</v>
      </c>
      <c r="AD600" s="146">
        <v>66.849000000000004</v>
      </c>
      <c r="AE600" s="147">
        <v>0.38</v>
      </c>
      <c r="AF600" s="150">
        <v>51.488999999999997</v>
      </c>
      <c r="AG600" s="152">
        <v>1.2222</v>
      </c>
    </row>
    <row r="601" spans="1:33" x14ac:dyDescent="0.2">
      <c r="A601" s="27">
        <v>12</v>
      </c>
      <c r="B601" s="69">
        <v>8.5704803999999992</v>
      </c>
      <c r="C601" s="28">
        <f t="shared" si="35"/>
        <v>0.4623332873638884</v>
      </c>
      <c r="D601" s="52">
        <v>170.33799999999999</v>
      </c>
      <c r="E601" s="47">
        <v>640.89</v>
      </c>
      <c r="F601" s="45" t="str" cm="1">
        <f t="array" ref="F601">LEFT(INDEX($F$292:$F$645, MATCH(MIN(IF(ABS($B$292:$B$645-B601)&lt;&gt;0, ABS($B$292:$B$645-B601))), IF(ABS($B$292:$B$645-B601)&lt;&gt;0, ABS($B$292:$B$645-B601)), 0)),5)</f>
        <v>18.34</v>
      </c>
      <c r="G601" s="36" t="str" cm="1">
        <f t="array" ref="G601">LEFT(INDEX($G$292:$G$645, MATCH(MIN(IF(ABS($B$292:$B$645-B601)&lt;&gt;0, ABS($B$292:$B$645-B601))), IF(ABS($B$292:$B$645-B601)&lt;&gt;0, ABS($B$292:$B$645-B601)), 0)),8)</f>
        <v>0.000684</v>
      </c>
      <c r="H601" s="46">
        <f t="shared" si="36"/>
        <v>249.03216374269002</v>
      </c>
      <c r="I601" s="54">
        <f t="shared" si="37"/>
        <v>0.2354300623704543</v>
      </c>
      <c r="J601" s="53" t="str" cm="1">
        <f t="array" ref="J601">LEFT(INDEX($J$292:$J$645, MATCH(MIN(IF(ABS($B$292:$B$645-B601)&lt;&gt;0, ABS($B$292:$B$645-B601))), IF(ABS($B$292:$B$645-B601)&lt;&gt;0, ABS($B$292:$B$645-B601)), 0)),5)</f>
        <v>0.432</v>
      </c>
      <c r="K601" s="75">
        <v>-4.9513999999999996</v>
      </c>
      <c r="L601" s="81">
        <v>1001.7</v>
      </c>
      <c r="M601" s="13">
        <v>8.2000000000000007E-3</v>
      </c>
      <c r="N601" s="12">
        <v>-7.9954999999999999E-6</v>
      </c>
      <c r="O601" s="93">
        <v>0.24890000000000001</v>
      </c>
      <c r="P601" s="94">
        <v>0.25869999999999999</v>
      </c>
      <c r="Q601" s="95">
        <v>0.28570000000000001</v>
      </c>
      <c r="R601" s="111">
        <v>25.443000000000001</v>
      </c>
      <c r="S601" s="118">
        <v>-3470.1</v>
      </c>
      <c r="T601" s="125">
        <v>-5.6614000000000004</v>
      </c>
      <c r="U601" s="14">
        <v>0</v>
      </c>
      <c r="V601" s="30">
        <v>0</v>
      </c>
      <c r="W601" s="138">
        <v>220.03200000000001</v>
      </c>
      <c r="X601" s="13">
        <v>0.89675000000000005</v>
      </c>
      <c r="Y601" s="14">
        <v>-2.3823999999999998E-3</v>
      </c>
      <c r="Z601" s="30">
        <v>3.1259999999999998E-6</v>
      </c>
      <c r="AA601" s="77">
        <v>0.15820000000000001</v>
      </c>
      <c r="AB601" s="5">
        <v>-6.3572999999999996E-5</v>
      </c>
      <c r="AC601" s="15">
        <v>-2.0132999999999999E-7</v>
      </c>
      <c r="AD601" s="146">
        <v>66.293999999999997</v>
      </c>
      <c r="AE601" s="147">
        <v>0.38</v>
      </c>
      <c r="AF601" s="150">
        <v>51.087000000000003</v>
      </c>
      <c r="AG601" s="152">
        <v>1.2222</v>
      </c>
    </row>
    <row r="602" spans="1:33" x14ac:dyDescent="0.2">
      <c r="A602" s="27">
        <v>12</v>
      </c>
      <c r="B602" s="69">
        <v>9.4067462699999993</v>
      </c>
      <c r="C602" s="28">
        <f t="shared" si="35"/>
        <v>0.51491226022511971</v>
      </c>
      <c r="D602" s="52">
        <v>170.33799999999999</v>
      </c>
      <c r="E602" s="47">
        <v>658.66</v>
      </c>
      <c r="F602" s="45" t="str" cm="1">
        <f t="array" ref="F602">LEFT(INDEX($F$292:$F$645, MATCH(MIN(IF(ABS($B$292:$B$645-B602)&lt;&gt;0, ABS($B$292:$B$645-B602))), IF(ABS($B$292:$B$645-B602)&lt;&gt;0, ABS($B$292:$B$645-B602)), 0)),5)</f>
        <v>18.39</v>
      </c>
      <c r="G602" s="36" t="str" cm="1">
        <f t="array" ref="G602">LEFT(INDEX($G$292:$G$645, MATCH(MIN(IF(ABS($B$292:$B$645-B602)&lt;&gt;0, ABS($B$292:$B$645-B602))), IF(ABS($B$292:$B$645-B602)&lt;&gt;0, ABS($B$292:$B$645-B602)), 0)),8)</f>
        <v>0.000685</v>
      </c>
      <c r="H602" s="46">
        <f t="shared" si="36"/>
        <v>248.66861313868614</v>
      </c>
      <c r="I602" s="54">
        <f t="shared" si="37"/>
        <v>0.23003874560900028</v>
      </c>
      <c r="J602" s="53" t="str" cm="1">
        <f t="array" ref="J602">LEFT(INDEX($J$292:$J$645, MATCH(MIN(IF(ABS($B$292:$B$645-B602)&lt;&gt;0, ABS($B$292:$B$645-B602))), IF(ABS($B$292:$B$645-B602)&lt;&gt;0, ABS($B$292:$B$645-B602)), 0)),5)</f>
        <v>0.403</v>
      </c>
      <c r="K602" s="75">
        <v>-4.8945999999999996</v>
      </c>
      <c r="L602" s="81">
        <v>1019.3</v>
      </c>
      <c r="M602" s="13">
        <v>7.7999999999999996E-3</v>
      </c>
      <c r="N602" s="12">
        <v>-7.3562E-6</v>
      </c>
      <c r="O602" s="93">
        <v>0.2485</v>
      </c>
      <c r="P602" s="94">
        <v>0.255</v>
      </c>
      <c r="Q602" s="95">
        <v>0.28570000000000001</v>
      </c>
      <c r="R602" s="111">
        <v>24.677</v>
      </c>
      <c r="S602" s="118">
        <v>-3458.6</v>
      </c>
      <c r="T602" s="125">
        <v>-5.4234</v>
      </c>
      <c r="U602" s="14">
        <v>0</v>
      </c>
      <c r="V602" s="30">
        <v>0</v>
      </c>
      <c r="W602" s="138">
        <v>211.44</v>
      </c>
      <c r="X602" s="13">
        <v>0.92488999999999999</v>
      </c>
      <c r="Y602" s="14">
        <v>-2.3627000000000001E-3</v>
      </c>
      <c r="Z602" s="30">
        <v>2.9618000000000002E-6</v>
      </c>
      <c r="AA602" s="77">
        <v>0.15490000000000001</v>
      </c>
      <c r="AB602" s="5">
        <v>-5.3656000000000003E-5</v>
      </c>
      <c r="AC602" s="15">
        <v>-1.9656999999999999E-7</v>
      </c>
      <c r="AD602" s="146">
        <v>67.447000000000003</v>
      </c>
      <c r="AE602" s="147">
        <v>0.38</v>
      </c>
      <c r="AF602" s="150">
        <v>51.113999999999997</v>
      </c>
      <c r="AG602" s="152">
        <v>1.2222</v>
      </c>
    </row>
    <row r="603" spans="1:33" x14ac:dyDescent="0.2">
      <c r="A603" s="27">
        <v>12</v>
      </c>
      <c r="B603" s="69">
        <v>8.1616941900000004</v>
      </c>
      <c r="C603" s="28">
        <f t="shared" si="35"/>
        <v>0.43663146236697015</v>
      </c>
      <c r="D603" s="52">
        <v>170.33799999999999</v>
      </c>
      <c r="E603" s="59">
        <v>647.78</v>
      </c>
      <c r="F603" s="45" t="str" cm="1">
        <f t="array" aca="1" ref="F603" ca="1">LEFT(INDEX($F$292:$F$645, MATCH(MIN(IF(ABS($B$292:$B$645-B603)&lt;&gt;0, ABS($B$292:$B$645-B603))), IF(ABS($B$292:$B$645-B603)&lt;&gt;0, ABS($B$292:$B$645-B603)), 0)),5)</f>
        <v>18.05</v>
      </c>
      <c r="G603" s="36" t="str" cm="1">
        <f t="array" aca="1" ref="G603" ca="1">LEFT(INDEX($G$292:$G$645, MATCH(MIN(IF(ABS($B$292:$B$645-B603)&lt;&gt;0, ABS($B$292:$B$645-B603))), IF(ABS($B$292:$B$645-B603)&lt;&gt;0, ABS($B$292:$B$645-B603)), 0)),8)</f>
        <v>0.000695</v>
      </c>
      <c r="H603" s="46">
        <f t="shared" ca="1" si="36"/>
        <v>245.09064748201439</v>
      </c>
      <c r="I603" s="54">
        <f t="shared" ca="1" si="37"/>
        <v>0.23292947910478998</v>
      </c>
      <c r="J603" s="53" t="str" cm="1">
        <f t="array" aca="1" ref="J603" ca="1">LEFT(INDEX($J$292:$J$645, MATCH(MIN(IF(ABS($B$292:$B$645-B603)&lt;&gt;0, ABS($B$292:$B$645-B603))), IF(ABS($B$292:$B$645-B603)&lt;&gt;0, ABS($B$292:$B$645-B603)), 0)),5)</f>
        <v>0.519</v>
      </c>
      <c r="K603" s="76">
        <v>-5.0488</v>
      </c>
      <c r="L603" s="82">
        <v>1025.7</v>
      </c>
      <c r="M603" s="85">
        <v>8.3999999999999995E-3</v>
      </c>
      <c r="N603" s="4">
        <v>-7.9772000000000005E-6</v>
      </c>
      <c r="O603" s="96">
        <v>0.24890000000000001</v>
      </c>
      <c r="P603" s="97">
        <v>0.25679999999999997</v>
      </c>
      <c r="Q603" s="98">
        <v>0.28570000000000001</v>
      </c>
      <c r="R603" s="114">
        <v>25.219000000000001</v>
      </c>
      <c r="S603" s="120">
        <v>-3488.7</v>
      </c>
      <c r="T603" s="127">
        <v>-5.5827</v>
      </c>
      <c r="U603" s="14">
        <v>0</v>
      </c>
      <c r="V603" s="14">
        <v>0</v>
      </c>
      <c r="W603" s="139">
        <v>222.28</v>
      </c>
      <c r="X603" s="7">
        <v>0.87987000000000004</v>
      </c>
      <c r="Y603" s="8">
        <v>-2.3175000000000001E-3</v>
      </c>
      <c r="Z603" s="33">
        <v>3.0303999999999998E-6</v>
      </c>
      <c r="AA603" s="141">
        <v>0.1583</v>
      </c>
      <c r="AB603" s="9">
        <v>-6.3196999999999998E-5</v>
      </c>
      <c r="AC603" s="10">
        <v>-1.9698999999999999E-7</v>
      </c>
      <c r="AD603" s="146">
        <v>67.075000000000003</v>
      </c>
      <c r="AE603" s="147">
        <v>0.38</v>
      </c>
      <c r="AF603" s="150">
        <v>51.277999999999999</v>
      </c>
      <c r="AG603" s="152">
        <v>1.2222</v>
      </c>
    </row>
    <row r="604" spans="1:33" x14ac:dyDescent="0.2">
      <c r="A604" s="27">
        <v>12</v>
      </c>
      <c r="B604" s="69">
        <v>8.3409167249999996</v>
      </c>
      <c r="C604" s="28">
        <f t="shared" si="35"/>
        <v>0.44789981271096546</v>
      </c>
      <c r="D604" s="52">
        <v>170.33799999999999</v>
      </c>
      <c r="E604" s="47">
        <v>643.65</v>
      </c>
      <c r="F604" s="45" t="str" cm="1">
        <f t="array" ref="F604">LEFT(INDEX($F$292:$F$645, MATCH(MIN(IF(ABS($B$292:$B$645-B604)&lt;&gt;0, ABS($B$292:$B$645-B604))), IF(ABS($B$292:$B$645-B604)&lt;&gt;0, ABS($B$292:$B$645-B604)), 0)),5)</f>
        <v>18.34</v>
      </c>
      <c r="G604" s="36" t="str" cm="1">
        <f t="array" ref="G604">LEFT(INDEX($G$292:$G$645, MATCH(MIN(IF(ABS($B$292:$B$645-B604)&lt;&gt;0, ABS($B$292:$B$645-B604))), IF(ABS($B$292:$B$645-B604)&lt;&gt;0, ABS($B$292:$B$645-B604)), 0)),8)</f>
        <v>0.000684</v>
      </c>
      <c r="H604" s="46">
        <f t="shared" si="36"/>
        <v>249.03216374269002</v>
      </c>
      <c r="I604" s="54">
        <f t="shared" si="37"/>
        <v>0.23442052772873528</v>
      </c>
      <c r="J604" s="53" t="str" cm="1">
        <f t="array" ref="J604">LEFT(INDEX($J$292:$J$645, MATCH(MIN(IF(ABS($B$292:$B$645-B604)&lt;&gt;0, ABS($B$292:$B$645-B604))), IF(ABS($B$292:$B$645-B604)&lt;&gt;0, ABS($B$292:$B$645-B604)), 0)),5)</f>
        <v>0.432</v>
      </c>
      <c r="K604" s="75">
        <v>-4.9922000000000004</v>
      </c>
      <c r="L604" s="81">
        <v>1011.5</v>
      </c>
      <c r="M604" s="13">
        <v>8.3000000000000001E-3</v>
      </c>
      <c r="N604" s="12">
        <v>-7.9907999999999998E-6</v>
      </c>
      <c r="O604" s="93">
        <v>0.24890000000000001</v>
      </c>
      <c r="P604" s="94">
        <v>0.25900000000000001</v>
      </c>
      <c r="Q604" s="95">
        <v>0.28570000000000001</v>
      </c>
      <c r="R604" s="111">
        <v>25.353000000000002</v>
      </c>
      <c r="S604" s="118">
        <v>-3477.5</v>
      </c>
      <c r="T604" s="125">
        <v>-5.6295999999999999</v>
      </c>
      <c r="U604" s="14">
        <v>0</v>
      </c>
      <c r="V604" s="30">
        <v>0</v>
      </c>
      <c r="W604" s="138">
        <v>221.47900000000001</v>
      </c>
      <c r="X604" s="13">
        <v>0.88585999999999998</v>
      </c>
      <c r="Y604" s="14">
        <v>-2.3440000000000002E-3</v>
      </c>
      <c r="Z604" s="30">
        <v>3.0719000000000002E-6</v>
      </c>
      <c r="AA604" s="77">
        <v>0.15820000000000001</v>
      </c>
      <c r="AB604" s="5">
        <v>-6.3423000000000006E-5</v>
      </c>
      <c r="AC604" s="15">
        <v>-1.9957999999999999E-7</v>
      </c>
      <c r="AD604" s="146">
        <v>66.605999999999995</v>
      </c>
      <c r="AE604" s="147">
        <v>0.38</v>
      </c>
      <c r="AF604" s="150">
        <v>51.164000000000001</v>
      </c>
      <c r="AG604" s="152">
        <v>1.2222</v>
      </c>
    </row>
    <row r="605" spans="1:33" x14ac:dyDescent="0.2">
      <c r="A605" s="27">
        <v>12</v>
      </c>
      <c r="B605" s="69">
        <v>7.5881156537500001</v>
      </c>
      <c r="C605" s="28">
        <f t="shared" si="35"/>
        <v>0.40056856494025395</v>
      </c>
      <c r="D605" s="52">
        <v>170.33799999999999</v>
      </c>
      <c r="E605" s="59">
        <v>650.54</v>
      </c>
      <c r="F605" s="45" t="str" cm="1">
        <f t="array" aca="1" ref="F605" ca="1">LEFT(INDEX($F$292:$F$645, MATCH(MIN(IF(ABS($B$292:$B$645-B605)&lt;&gt;0, ABS($B$292:$B$645-B605))), IF(ABS($B$292:$B$645-B605)&lt;&gt;0, ABS($B$292:$B$645-B605)), 0)),5)</f>
        <v>18.34</v>
      </c>
      <c r="G605" s="36" t="str" cm="1">
        <f t="array" aca="1" ref="G605" ca="1">LEFT(INDEX($G$292:$G$645, MATCH(MIN(IF(ABS($B$292:$B$645-B605)&lt;&gt;0, ABS($B$292:$B$645-B605))), IF(ABS($B$292:$B$645-B605)&lt;&gt;0, ABS($B$292:$B$645-B605)), 0)),8)</f>
        <v>0.000695</v>
      </c>
      <c r="H605" s="46">
        <f t="shared" ca="1" si="36"/>
        <v>245.09064748201439</v>
      </c>
      <c r="I605" s="54">
        <f t="shared" ca="1" si="37"/>
        <v>0.23566772554284929</v>
      </c>
      <c r="J605" s="53" t="str" cm="1">
        <f t="array" aca="1" ref="J605" ca="1">LEFT(INDEX($J$292:$J$645, MATCH(MIN(IF(ABS($B$292:$B$645-B605)&lt;&gt;0, ABS($B$292:$B$645-B605))), IF(ABS($B$292:$B$645-B605)&lt;&gt;0, ABS($B$292:$B$645-B605)), 0)),5)</f>
        <v>0.519</v>
      </c>
      <c r="K605" s="76">
        <v>-5.0837000000000003</v>
      </c>
      <c r="L605" s="82">
        <v>1034.7</v>
      </c>
      <c r="M605" s="85">
        <v>8.3999999999999995E-3</v>
      </c>
      <c r="N605" s="4">
        <v>-7.9640000000000003E-6</v>
      </c>
      <c r="O605" s="96">
        <v>0.24890000000000001</v>
      </c>
      <c r="P605" s="97">
        <v>0.25440000000000002</v>
      </c>
      <c r="Q605" s="98">
        <v>0.28570000000000001</v>
      </c>
      <c r="R605" s="114">
        <v>25.131</v>
      </c>
      <c r="S605" s="120">
        <v>-3496.1</v>
      </c>
      <c r="T605" s="127">
        <v>-5.5518000000000001</v>
      </c>
      <c r="U605" s="14">
        <v>0</v>
      </c>
      <c r="V605" s="14">
        <v>0</v>
      </c>
      <c r="W605" s="139">
        <v>222.376</v>
      </c>
      <c r="X605" s="7">
        <v>0.87917999999999996</v>
      </c>
      <c r="Y605" s="8">
        <v>-2.3097E-3</v>
      </c>
      <c r="Z605" s="33">
        <v>3.0153000000000002E-6</v>
      </c>
      <c r="AA605" s="141">
        <v>0.15840000000000001</v>
      </c>
      <c r="AB605" s="9">
        <v>-6.3046000000000006E-5</v>
      </c>
      <c r="AC605" s="10">
        <v>-1.9529E-7</v>
      </c>
      <c r="AD605" s="146">
        <v>67.387</v>
      </c>
      <c r="AE605" s="147">
        <v>0.38</v>
      </c>
      <c r="AF605" s="150">
        <v>51.354999999999997</v>
      </c>
      <c r="AG605" s="152">
        <v>1.2222</v>
      </c>
    </row>
    <row r="606" spans="1:33" x14ac:dyDescent="0.2">
      <c r="A606" s="27">
        <v>12</v>
      </c>
      <c r="B606" s="69">
        <v>7.8261547</v>
      </c>
      <c r="C606" s="28">
        <f t="shared" si="35"/>
        <v>0.4155349159557416</v>
      </c>
      <c r="D606" s="52">
        <v>170.33799999999999</v>
      </c>
      <c r="E606" s="47">
        <v>643.91999999999996</v>
      </c>
      <c r="F606" s="45" t="str" cm="1">
        <f t="array" aca="1" ref="F606" ca="1">LEFT(INDEX($F$292:$F$645, MATCH(MIN(IF(ABS($B$292:$B$645-B606)&lt;&gt;0, ABS($B$292:$B$645-B606))), IF(ABS($B$292:$B$645-B606)&lt;&gt;0, ABS($B$292:$B$645-B606)), 0)),5)</f>
        <v>18.34</v>
      </c>
      <c r="G606" s="36" t="str" cm="1">
        <f t="array" aca="1" ref="G606" ca="1">LEFT(INDEX($G$292:$G$645, MATCH(MIN(IF(ABS($B$292:$B$645-B606)&lt;&gt;0, ABS($B$292:$B$645-B606))), IF(ABS($B$292:$B$645-B606)&lt;&gt;0, ABS($B$292:$B$645-B606)), 0)),8)</f>
        <v>0.000695</v>
      </c>
      <c r="H606" s="46">
        <f t="shared" ca="1" si="36"/>
        <v>245.09064748201439</v>
      </c>
      <c r="I606" s="54">
        <f t="shared" ca="1" si="37"/>
        <v>0.23809057363437258</v>
      </c>
      <c r="J606" s="53" t="str" cm="1">
        <f t="array" aca="1" ref="J606" ca="1">LEFT(INDEX($J$292:$J$645, MATCH(MIN(IF(ABS($B$292:$B$645-B606)&lt;&gt;0, ABS($B$292:$B$645-B606))), IF(ABS($B$292:$B$645-B606)&lt;&gt;0, ABS($B$292:$B$645-B606)), 0)),5)</f>
        <v>0.519</v>
      </c>
      <c r="K606" s="75">
        <v>-5.2161999999999997</v>
      </c>
      <c r="L606" s="81">
        <v>1044.5999999999999</v>
      </c>
      <c r="M606" s="13">
        <v>8.8999999999999999E-3</v>
      </c>
      <c r="N606" s="12">
        <v>-8.4516000000000005E-6</v>
      </c>
      <c r="O606" s="93">
        <v>0.2467</v>
      </c>
      <c r="P606" s="94">
        <v>0.2651</v>
      </c>
      <c r="Q606" s="95">
        <v>0.28570000000000001</v>
      </c>
      <c r="R606" s="111">
        <v>25.526</v>
      </c>
      <c r="S606" s="118">
        <v>-3533.3</v>
      </c>
      <c r="T606" s="125">
        <v>-5.6619000000000002</v>
      </c>
      <c r="U606" s="14">
        <v>0</v>
      </c>
      <c r="V606" s="30">
        <v>0</v>
      </c>
      <c r="W606" s="138">
        <v>217.98500000000001</v>
      </c>
      <c r="X606" s="13">
        <v>0.94415000000000004</v>
      </c>
      <c r="Y606" s="14">
        <v>-2.4846E-3</v>
      </c>
      <c r="Z606" s="30">
        <v>3.1713999999999998E-6</v>
      </c>
      <c r="AA606" s="77">
        <v>0.15809999999999999</v>
      </c>
      <c r="AB606" s="5">
        <v>-5.8060000000000003E-5</v>
      </c>
      <c r="AC606" s="15">
        <v>-2.0690999999999999E-7</v>
      </c>
      <c r="AD606" s="146">
        <v>67.483999999999995</v>
      </c>
      <c r="AE606" s="147">
        <v>0.38</v>
      </c>
      <c r="AF606" s="150">
        <v>51.539000000000001</v>
      </c>
      <c r="AG606" s="152">
        <v>1.2222</v>
      </c>
    </row>
    <row r="607" spans="1:33" x14ac:dyDescent="0.2">
      <c r="A607" s="27">
        <v>12</v>
      </c>
      <c r="B607" s="69">
        <v>5.4080188600000003</v>
      </c>
      <c r="C607" s="28">
        <f t="shared" si="35"/>
        <v>0.26349822132639977</v>
      </c>
      <c r="D607" s="52">
        <v>170.33799999999999</v>
      </c>
      <c r="E607" s="47">
        <v>640.25</v>
      </c>
      <c r="F607" s="45" t="str" cm="1">
        <f t="array" ref="F607">LEFT(INDEX($F$292:$F$645, MATCH(MIN(IF(ABS($B$292:$B$645-B607)&lt;&gt;0, ABS($B$292:$B$645-B607))), IF(ABS($B$292:$B$645-B607)&lt;&gt;0, ABS($B$292:$B$645-B607)), 0)),5)</f>
        <v>18.17</v>
      </c>
      <c r="G607" s="36" t="str" cm="1">
        <f t="array" ref="G607">LEFT(INDEX($G$292:$G$645, MATCH(MIN(IF(ABS($B$292:$B$645-B607)&lt;&gt;0, ABS($B$292:$B$645-B607))), IF(ABS($B$292:$B$645-B607)&lt;&gt;0, ABS($B$292:$B$645-B607)), 0)),8)</f>
        <v>0.000689</v>
      </c>
      <c r="H607" s="46">
        <f t="shared" si="36"/>
        <v>247.22496371552973</v>
      </c>
      <c r="I607" s="54">
        <f t="shared" si="37"/>
        <v>0.23518766584160536</v>
      </c>
      <c r="J607" s="53" t="str" cm="1">
        <f t="array" ref="J607">LEFT(INDEX($J$292:$J$645, MATCH(MIN(IF(ABS($B$292:$B$645-B607)&lt;&gt;0, ABS($B$292:$B$645-B607))), IF(ABS($B$292:$B$645-B607)&lt;&gt;0, ABS($B$292:$B$645-B607)), 0)),5)</f>
        <v>0.491</v>
      </c>
      <c r="K607" s="75">
        <v>-5.4683000000000002</v>
      </c>
      <c r="L607" s="81">
        <v>1074.7</v>
      </c>
      <c r="M607" s="13">
        <v>9.4999999999999998E-3</v>
      </c>
      <c r="N607" s="12">
        <v>-9.0813000000000006E-6</v>
      </c>
      <c r="O607" s="93">
        <v>0.24709999999999999</v>
      </c>
      <c r="P607" s="94">
        <v>0.2606</v>
      </c>
      <c r="Q607" s="95">
        <v>0.28570000000000001</v>
      </c>
      <c r="R607" s="111">
        <v>25.855</v>
      </c>
      <c r="S607" s="118">
        <v>-3582.2</v>
      </c>
      <c r="T607" s="125">
        <v>-5.7462999999999997</v>
      </c>
      <c r="U607" s="14">
        <v>0</v>
      </c>
      <c r="V607" s="30">
        <v>0</v>
      </c>
      <c r="W607" s="138">
        <v>229.708</v>
      </c>
      <c r="X607" s="13">
        <v>0.89290000000000003</v>
      </c>
      <c r="Y607" s="14">
        <v>-2.4126999999999998E-3</v>
      </c>
      <c r="Z607" s="30">
        <v>3.2024E-6</v>
      </c>
      <c r="AA607" s="77">
        <v>0.16159999999999999</v>
      </c>
      <c r="AB607" s="5">
        <v>-6.7631000000000004E-5</v>
      </c>
      <c r="AC607" s="15">
        <v>-2.0267E-7</v>
      </c>
      <c r="AD607" s="146">
        <v>67.885999999999996</v>
      </c>
      <c r="AE607" s="147">
        <v>0.38</v>
      </c>
      <c r="AF607" s="150">
        <v>51.914000000000001</v>
      </c>
      <c r="AG607" s="152">
        <v>1.2222</v>
      </c>
    </row>
    <row r="608" spans="1:33" x14ac:dyDescent="0.2">
      <c r="A608" s="27">
        <v>12</v>
      </c>
      <c r="B608" s="69">
        <v>6.3896108787500001</v>
      </c>
      <c r="C608" s="28">
        <f t="shared" si="35"/>
        <v>0.32521435965769091</v>
      </c>
      <c r="D608" s="52">
        <v>170.33799999999999</v>
      </c>
      <c r="E608" s="47">
        <v>633.44000000000005</v>
      </c>
      <c r="F608" s="45" t="str" cm="1">
        <f t="array" aca="1" ref="F608" ca="1">LEFT(INDEX($F$292:$F$645, MATCH(MIN(IF(ABS($B$292:$B$645-B608)&lt;&gt;0, ABS($B$292:$B$645-B608))), IF(ABS($B$292:$B$645-B608)&lt;&gt;0, ABS($B$292:$B$645-B608)), 0)),5)</f>
        <v>18.34</v>
      </c>
      <c r="G608" s="36" t="str" cm="1">
        <f t="array" aca="1" ref="G608" ca="1">LEFT(INDEX($G$292:$G$645, MATCH(MIN(IF(ABS($B$292:$B$645-B608)&lt;&gt;0, ABS($B$292:$B$645-B608))), IF(ABS($B$292:$B$645-B608)&lt;&gt;0, ABS($B$292:$B$645-B608)), 0)),8)</f>
        <v>0.000695</v>
      </c>
      <c r="H608" s="46">
        <f t="shared" ca="1" si="36"/>
        <v>245.09064748201439</v>
      </c>
      <c r="I608" s="54">
        <f t="shared" ca="1" si="37"/>
        <v>0.24202968264499425</v>
      </c>
      <c r="J608" s="53" t="str" cm="1">
        <f t="array" aca="1" ref="J608" ca="1">LEFT(INDEX($J$292:$J$645, MATCH(MIN(IF(ABS($B$292:$B$645-B608)&lt;&gt;0, ABS($B$292:$B$645-B608))), IF(ABS($B$292:$B$645-B608)&lt;&gt;0, ABS($B$292:$B$645-B608)), 0)),5)</f>
        <v>0.519</v>
      </c>
      <c r="K608" s="75">
        <v>-5.3726000000000003</v>
      </c>
      <c r="L608" s="81">
        <v>1050.5999999999999</v>
      </c>
      <c r="M608" s="13">
        <v>9.4000000000000004E-3</v>
      </c>
      <c r="N608" s="12">
        <v>-9.1223000000000007E-6</v>
      </c>
      <c r="O608" s="93">
        <v>0.24709999999999999</v>
      </c>
      <c r="P608" s="94">
        <v>0.26479999999999998</v>
      </c>
      <c r="Q608" s="95">
        <v>0.28570000000000001</v>
      </c>
      <c r="R608" s="111">
        <v>26.085999999999999</v>
      </c>
      <c r="S608" s="118">
        <v>-3563.1</v>
      </c>
      <c r="T608" s="125">
        <v>-5.8272000000000004</v>
      </c>
      <c r="U608" s="14">
        <v>0</v>
      </c>
      <c r="V608" s="30">
        <v>0</v>
      </c>
      <c r="W608" s="138">
        <v>228.601</v>
      </c>
      <c r="X608" s="13">
        <v>0.90085999999999999</v>
      </c>
      <c r="Y608" s="14">
        <v>-2.4521999999999999E-3</v>
      </c>
      <c r="Z608" s="30">
        <v>3.2675999999999999E-6</v>
      </c>
      <c r="AA608" s="77">
        <v>0.1615</v>
      </c>
      <c r="AB608" s="5">
        <v>-6.8108999999999995E-5</v>
      </c>
      <c r="AC608" s="15">
        <v>-2.0706999999999999E-7</v>
      </c>
      <c r="AD608" s="146">
        <v>67.094999999999999</v>
      </c>
      <c r="AE608" s="147">
        <v>0.38</v>
      </c>
      <c r="AF608" s="150">
        <v>51.72</v>
      </c>
      <c r="AG608" s="152">
        <v>1.2222</v>
      </c>
    </row>
    <row r="609" spans="1:33" x14ac:dyDescent="0.2">
      <c r="A609" s="27">
        <v>12</v>
      </c>
      <c r="B609" s="69">
        <v>5.7061028699999996</v>
      </c>
      <c r="C609" s="28">
        <f t="shared" si="35"/>
        <v>0.28223981013733257</v>
      </c>
      <c r="D609" s="52">
        <v>170.33799999999999</v>
      </c>
      <c r="E609" s="47">
        <v>637.53</v>
      </c>
      <c r="F609" s="45" t="str" cm="1">
        <f t="array" ref="F609">LEFT(INDEX($F$292:$F$645, MATCH(MIN(IF(ABS($B$292:$B$645-B609)&lt;&gt;0, ABS($B$292:$B$645-B609))), IF(ABS($B$292:$B$645-B609)&lt;&gt;0, ABS($B$292:$B$645-B609)), 0)),5)</f>
        <v>18.17</v>
      </c>
      <c r="G609" s="36" t="str" cm="1">
        <f t="array" ref="G609">LEFT(INDEX($G$292:$G$645, MATCH(MIN(IF(ABS($B$292:$B$645-B609)&lt;&gt;0, ABS($B$292:$B$645-B609))), IF(ABS($B$292:$B$645-B609)&lt;&gt;0, ABS($B$292:$B$645-B609)), 0)),8)</f>
        <v>0.000689</v>
      </c>
      <c r="H609" s="46">
        <f t="shared" si="36"/>
        <v>247.22496371552973</v>
      </c>
      <c r="I609" s="54">
        <f t="shared" si="37"/>
        <v>0.2361910859960909</v>
      </c>
      <c r="J609" s="53" t="str" cm="1">
        <f t="array" ref="J609">LEFT(INDEX($J$292:$J$645, MATCH(MIN(IF(ABS($B$292:$B$645-B609)&lt;&gt;0, ABS($B$292:$B$645-B609))), IF(ABS($B$292:$B$645-B609)&lt;&gt;0, ABS($B$292:$B$645-B609)), 0)),5)</f>
        <v>0.491</v>
      </c>
      <c r="K609" s="75">
        <v>-5.4320000000000004</v>
      </c>
      <c r="L609" s="81">
        <v>1065.3</v>
      </c>
      <c r="M609" s="13">
        <v>9.4999999999999998E-3</v>
      </c>
      <c r="N609" s="12">
        <v>-9.1005000000000004E-6</v>
      </c>
      <c r="O609" s="93">
        <v>0.24709999999999999</v>
      </c>
      <c r="P609" s="94">
        <v>0.26279999999999998</v>
      </c>
      <c r="Q609" s="95">
        <v>0.28570000000000001</v>
      </c>
      <c r="R609" s="111">
        <v>25.946999999999999</v>
      </c>
      <c r="S609" s="118">
        <v>-3574.6</v>
      </c>
      <c r="T609" s="125">
        <v>-5.7784000000000004</v>
      </c>
      <c r="U609" s="14">
        <v>0</v>
      </c>
      <c r="V609" s="30">
        <v>0</v>
      </c>
      <c r="W609" s="138">
        <v>229.501</v>
      </c>
      <c r="X609" s="13">
        <v>0.89427000000000001</v>
      </c>
      <c r="Y609" s="14">
        <v>-2.4229E-3</v>
      </c>
      <c r="Z609" s="30">
        <v>3.2212000000000002E-6</v>
      </c>
      <c r="AA609" s="77">
        <v>0.16159999999999999</v>
      </c>
      <c r="AB609" s="5">
        <v>-6.7822000000000002E-5</v>
      </c>
      <c r="AC609" s="15">
        <v>-2.0440999999999999E-7</v>
      </c>
      <c r="AD609" s="146">
        <v>67.569999999999993</v>
      </c>
      <c r="AE609" s="147">
        <v>0.38</v>
      </c>
      <c r="AF609" s="150">
        <v>51.837000000000003</v>
      </c>
      <c r="AG609" s="152">
        <v>1.2222</v>
      </c>
    </row>
    <row r="610" spans="1:33" x14ac:dyDescent="0.2">
      <c r="A610" s="27">
        <v>12</v>
      </c>
      <c r="B610" s="69">
        <v>6.3895069637499997</v>
      </c>
      <c r="C610" s="28">
        <f t="shared" si="35"/>
        <v>0.32520782615661081</v>
      </c>
      <c r="D610" s="52">
        <v>170.33799999999999</v>
      </c>
      <c r="E610" s="47">
        <v>636.16</v>
      </c>
      <c r="F610" s="45" t="str" cm="1">
        <f t="array" aca="1" ref="F610" ca="1">LEFT(INDEX($F$292:$F$645, MATCH(MIN(IF(ABS($B$292:$B$645-B610)&lt;&gt;0, ABS($B$292:$B$645-B610))), IF(ABS($B$292:$B$645-B610)&lt;&gt;0, ABS($B$292:$B$645-B610)), 0)),5)</f>
        <v>18.34</v>
      </c>
      <c r="G610" s="36" t="str" cm="1">
        <f t="array" aca="1" ref="G610" ca="1">LEFT(INDEX($G$292:$G$645, MATCH(MIN(IF(ABS($B$292:$B$645-B610)&lt;&gt;0, ABS($B$292:$B$645-B610))), IF(ABS($B$292:$B$645-B610)&lt;&gt;0, ABS($B$292:$B$645-B610)), 0)),8)</f>
        <v>0.000695</v>
      </c>
      <c r="H610" s="46">
        <f t="shared" ca="1" si="36"/>
        <v>245.09064748201439</v>
      </c>
      <c r="I610" s="54">
        <f t="shared" ca="1" si="37"/>
        <v>0.24099484748277977</v>
      </c>
      <c r="J610" s="53" t="str" cm="1">
        <f t="array" aca="1" ref="J610" ca="1">LEFT(INDEX($J$292:$J$645, MATCH(MIN(IF(ABS($B$292:$B$645-B610)&lt;&gt;0, ABS($B$292:$B$645-B610))), IF(ABS($B$292:$B$645-B610)&lt;&gt;0, ABS($B$292:$B$645-B610)), 0)),5)</f>
        <v>0.519</v>
      </c>
      <c r="K610" s="75">
        <v>-5.4128999999999996</v>
      </c>
      <c r="L610" s="81">
        <v>1060.5</v>
      </c>
      <c r="M610" s="13">
        <v>9.4999999999999998E-3</v>
      </c>
      <c r="N610" s="12">
        <v>-9.1087999999999999E-6</v>
      </c>
      <c r="O610" s="93">
        <v>0.24709999999999999</v>
      </c>
      <c r="P610" s="94">
        <v>0.26500000000000001</v>
      </c>
      <c r="Q610" s="95">
        <v>0.28570000000000001</v>
      </c>
      <c r="R610" s="111">
        <v>25.992999999999999</v>
      </c>
      <c r="S610" s="118">
        <v>-3570.7</v>
      </c>
      <c r="T610" s="125">
        <v>-5.7945000000000002</v>
      </c>
      <c r="U610" s="14">
        <v>0</v>
      </c>
      <c r="V610" s="30">
        <v>0</v>
      </c>
      <c r="W610" s="138">
        <v>229.93700000000001</v>
      </c>
      <c r="X610" s="13">
        <v>0.89083000000000001</v>
      </c>
      <c r="Y610" s="14">
        <v>-2.4153999999999998E-3</v>
      </c>
      <c r="Z610" s="30">
        <v>3.2144999999999999E-6</v>
      </c>
      <c r="AA610" s="77">
        <v>0.16159999999999999</v>
      </c>
      <c r="AB610" s="5">
        <v>-6.7917999999999996E-5</v>
      </c>
      <c r="AC610" s="15">
        <v>-2.0529000000000001E-7</v>
      </c>
      <c r="AD610" s="146">
        <v>67.412000000000006</v>
      </c>
      <c r="AE610" s="147">
        <v>0.38</v>
      </c>
      <c r="AF610" s="150">
        <v>51.798000000000002</v>
      </c>
      <c r="AG610" s="152">
        <v>1.2222</v>
      </c>
    </row>
    <row r="611" spans="1:33" x14ac:dyDescent="0.2">
      <c r="A611" s="27">
        <v>12</v>
      </c>
      <c r="B611" s="69">
        <v>7.0699727625</v>
      </c>
      <c r="C611" s="28">
        <f t="shared" si="35"/>
        <v>0.36799110124766815</v>
      </c>
      <c r="D611" s="52">
        <v>170.33799999999999</v>
      </c>
      <c r="E611" s="47">
        <v>632.08000000000004</v>
      </c>
      <c r="F611" s="45" t="str" cm="1">
        <f t="array" ref="F611">LEFT(INDEX($F$292:$F$645, MATCH(MIN(IF(ABS($B$292:$B$645-B611)&lt;&gt;0, ABS($B$292:$B$645-B611))), IF(ABS($B$292:$B$645-B611)&lt;&gt;0, ABS($B$292:$B$645-B611)), 0)),5)</f>
        <v>18.22</v>
      </c>
      <c r="G611" s="36" t="str" cm="1">
        <f t="array" ref="G611">LEFT(INDEX($G$292:$G$645, MATCH(MIN(IF(ABS($B$292:$B$645-B611)&lt;&gt;0, ABS($B$292:$B$645-B611))), IF(ABS($B$292:$B$645-B611)&lt;&gt;0, ABS($B$292:$B$645-B611)), 0)),8)</f>
        <v>0.000690</v>
      </c>
      <c r="H611" s="46">
        <f t="shared" si="36"/>
        <v>246.86666666666667</v>
      </c>
      <c r="I611" s="54">
        <f t="shared" si="37"/>
        <v>0.2392298645704509</v>
      </c>
      <c r="J611" s="53" t="str" cm="1">
        <f t="array" ref="J611">LEFT(INDEX($J$292:$J$645, MATCH(MIN(IF(ABS($B$292:$B$645-B611)&lt;&gt;0, ABS($B$292:$B$645-B611))), IF(ABS($B$292:$B$645-B611)&lt;&gt;0, ABS($B$292:$B$645-B611)), 0)),5)</f>
        <v>0.461</v>
      </c>
      <c r="K611" s="75">
        <v>-5.3513999999999999</v>
      </c>
      <c r="L611" s="81">
        <v>1045.5</v>
      </c>
      <c r="M611" s="13">
        <v>9.4000000000000004E-3</v>
      </c>
      <c r="N611" s="12">
        <v>-9.1275000000000003E-6</v>
      </c>
      <c r="O611" s="93">
        <v>0.24709999999999999</v>
      </c>
      <c r="P611" s="94">
        <v>0.26800000000000002</v>
      </c>
      <c r="Q611" s="95">
        <v>0.28570000000000001</v>
      </c>
      <c r="R611" s="111">
        <v>26.132000000000001</v>
      </c>
      <c r="S611" s="118">
        <v>-3559.3</v>
      </c>
      <c r="T611" s="125">
        <v>-5.8437000000000001</v>
      </c>
      <c r="U611" s="14">
        <v>0</v>
      </c>
      <c r="V611" s="30">
        <v>0</v>
      </c>
      <c r="W611" s="138">
        <v>229.43600000000001</v>
      </c>
      <c r="X611" s="13">
        <v>0.89439000000000002</v>
      </c>
      <c r="Y611" s="14">
        <v>-2.4353999999999999E-3</v>
      </c>
      <c r="Z611" s="30">
        <v>3.2488999999999999E-6</v>
      </c>
      <c r="AA611" s="77">
        <v>0.1615</v>
      </c>
      <c r="AB611" s="5">
        <v>-6.8205000000000002E-5</v>
      </c>
      <c r="AC611" s="15">
        <v>-2.0797E-7</v>
      </c>
      <c r="AD611" s="146">
        <v>66.936999999999998</v>
      </c>
      <c r="AE611" s="147">
        <v>0.38</v>
      </c>
      <c r="AF611" s="150">
        <v>51.682000000000002</v>
      </c>
      <c r="AG611" s="152">
        <v>1.2222</v>
      </c>
    </row>
    <row r="612" spans="1:33" x14ac:dyDescent="0.2">
      <c r="A612" s="27">
        <v>12</v>
      </c>
      <c r="B612" s="69">
        <v>5.40295404</v>
      </c>
      <c r="C612" s="28">
        <f t="shared" ref="C612:C645" si="38">(B612-MIN($B$292:$B$645))/(MAX($B$292:$B$645)-MIN($B$292:$B$645))</f>
        <v>0.26317977830142369</v>
      </c>
      <c r="D612" s="52">
        <v>170.33799999999999</v>
      </c>
      <c r="E612" s="47">
        <v>640.25</v>
      </c>
      <c r="F612" s="45" t="str" cm="1">
        <f t="array" ref="F612">LEFT(INDEX($F$292:$F$645, MATCH(MIN(IF(ABS($B$292:$B$645-B612)&lt;&gt;0, ABS($B$292:$B$645-B612))), IF(ABS($B$292:$B$645-B612)&lt;&gt;0, ABS($B$292:$B$645-B612)), 0)),5)</f>
        <v>18.17</v>
      </c>
      <c r="G612" s="36" t="str" cm="1">
        <f t="array" ref="G612">LEFT(INDEX($G$292:$G$645, MATCH(MIN(IF(ABS($B$292:$B$645-B612)&lt;&gt;0, ABS($B$292:$B$645-B612))), IF(ABS($B$292:$B$645-B612)&lt;&gt;0, ABS($B$292:$B$645-B612)), 0)),8)</f>
        <v>0.000689</v>
      </c>
      <c r="H612" s="46">
        <f t="shared" si="36"/>
        <v>247.22496371552973</v>
      </c>
      <c r="I612" s="54">
        <f t="shared" si="37"/>
        <v>0.23518766584160536</v>
      </c>
      <c r="J612" s="53" t="str" cm="1">
        <f t="array" ref="J612">LEFT(INDEX($J$292:$J$645, MATCH(MIN(IF(ABS($B$292:$B$645-B612)&lt;&gt;0, ABS($B$292:$B$645-B612))), IF(ABS($B$292:$B$645-B612)&lt;&gt;0, ABS($B$292:$B$645-B612)), 0)),5)</f>
        <v>0.491</v>
      </c>
      <c r="K612" s="75">
        <v>-5.4683000000000002</v>
      </c>
      <c r="L612" s="81">
        <v>1074.7</v>
      </c>
      <c r="M612" s="13">
        <v>9.4999999999999998E-3</v>
      </c>
      <c r="N612" s="12">
        <v>-9.0813000000000006E-6</v>
      </c>
      <c r="O612" s="93">
        <v>0.24709999999999999</v>
      </c>
      <c r="P612" s="94">
        <v>0.2606</v>
      </c>
      <c r="Q612" s="95">
        <v>0.28570000000000001</v>
      </c>
      <c r="R612" s="111">
        <v>25.855</v>
      </c>
      <c r="S612" s="118">
        <v>-3582.2</v>
      </c>
      <c r="T612" s="125">
        <v>-5.7462999999999997</v>
      </c>
      <c r="U612" s="14">
        <v>0</v>
      </c>
      <c r="V612" s="30">
        <v>0</v>
      </c>
      <c r="W612" s="138">
        <v>229.727</v>
      </c>
      <c r="X612" s="13">
        <v>0.89276</v>
      </c>
      <c r="Y612" s="14">
        <v>-2.4123E-3</v>
      </c>
      <c r="Z612" s="30">
        <v>3.2018E-6</v>
      </c>
      <c r="AA612" s="77">
        <v>0.16159999999999999</v>
      </c>
      <c r="AB612" s="5">
        <v>-6.7631000000000004E-5</v>
      </c>
      <c r="AC612" s="15">
        <v>-2.0267E-7</v>
      </c>
      <c r="AD612" s="146">
        <v>67.885999999999996</v>
      </c>
      <c r="AE612" s="147">
        <v>0.38</v>
      </c>
      <c r="AF612" s="150">
        <v>51.914000000000001</v>
      </c>
      <c r="AG612" s="152">
        <v>1.2222</v>
      </c>
    </row>
    <row r="613" spans="1:33" x14ac:dyDescent="0.2">
      <c r="A613" s="27">
        <v>12</v>
      </c>
      <c r="B613" s="69">
        <v>7.8277745000000003</v>
      </c>
      <c r="C613" s="28">
        <f t="shared" si="38"/>
        <v>0.41563675847173553</v>
      </c>
      <c r="D613" s="52">
        <v>170.33799999999999</v>
      </c>
      <c r="E613" s="47">
        <v>634.33000000000004</v>
      </c>
      <c r="F613" s="45" t="str" cm="1">
        <f t="array" aca="1" ref="F613" ca="1">LEFT(INDEX($F$292:$F$645, MATCH(MIN(IF(ABS($B$292:$B$645-B613)&lt;&gt;0, ABS($B$292:$B$645-B613))), IF(ABS($B$292:$B$645-B613)&lt;&gt;0, ABS($B$292:$B$645-B613)), 0)),5)</f>
        <v>18.34</v>
      </c>
      <c r="G613" s="36" t="str" cm="1">
        <f t="array" aca="1" ref="G613" ca="1">LEFT(INDEX($G$292:$G$645, MATCH(MIN(IF(ABS($B$292:$B$645-B613)&lt;&gt;0, ABS($B$292:$B$645-B613))), IF(ABS($B$292:$B$645-B613)&lt;&gt;0, ABS($B$292:$B$645-B613)), 0)),8)</f>
        <v>0.000695</v>
      </c>
      <c r="H613" s="46">
        <f t="shared" ca="1" si="36"/>
        <v>245.09064748201439</v>
      </c>
      <c r="I613" s="54">
        <f t="shared" ca="1" si="37"/>
        <v>0.24169010164211871</v>
      </c>
      <c r="J613" s="53" t="str" cm="1">
        <f t="array" aca="1" ref="J613" ca="1">LEFT(INDEX($J$292:$J$645, MATCH(MIN(IF(ABS($B$292:$B$645-B613)&lt;&gt;0, ABS($B$292:$B$645-B613))), IF(ABS($B$292:$B$645-B613)&lt;&gt;0, ABS($B$292:$B$645-B613)), 0)),5)</f>
        <v>0.519</v>
      </c>
      <c r="K613" s="75">
        <v>-5.0728999999999997</v>
      </c>
      <c r="L613" s="81">
        <v>1009.9</v>
      </c>
      <c r="M613" s="13">
        <v>8.6999999999999994E-3</v>
      </c>
      <c r="N613" s="12">
        <v>-8.4788999999999994E-6</v>
      </c>
      <c r="O613" s="93">
        <v>0.2467</v>
      </c>
      <c r="P613" s="94">
        <v>0.26429999999999998</v>
      </c>
      <c r="Q613" s="95">
        <v>0.28570000000000001</v>
      </c>
      <c r="R613" s="111">
        <v>25.844999999999999</v>
      </c>
      <c r="S613" s="118">
        <v>-3507.1</v>
      </c>
      <c r="T613" s="125">
        <v>-5.7742000000000004</v>
      </c>
      <c r="U613" s="14">
        <v>0</v>
      </c>
      <c r="V613" s="30">
        <v>0</v>
      </c>
      <c r="W613" s="138">
        <v>212.685</v>
      </c>
      <c r="X613" s="13">
        <v>0.98441000000000001</v>
      </c>
      <c r="Y613" s="14">
        <v>-2.6254E-3</v>
      </c>
      <c r="Z613" s="30">
        <v>3.3654E-6</v>
      </c>
      <c r="AA613" s="77">
        <v>0.15790000000000001</v>
      </c>
      <c r="AB613" s="5">
        <v>-5.8394999999999999E-5</v>
      </c>
      <c r="AC613" s="15">
        <v>-2.1345E-7</v>
      </c>
      <c r="AD613" s="146">
        <v>66.384</v>
      </c>
      <c r="AE613" s="147">
        <v>0.38</v>
      </c>
      <c r="AF613" s="150">
        <v>51.268999999999998</v>
      </c>
      <c r="AG613" s="152">
        <v>1.2222</v>
      </c>
    </row>
    <row r="614" spans="1:33" x14ac:dyDescent="0.2">
      <c r="A614" s="27">
        <v>12</v>
      </c>
      <c r="B614" s="69">
        <v>7.1465750699999999</v>
      </c>
      <c r="C614" s="28">
        <f t="shared" si="38"/>
        <v>0.37280735740690873</v>
      </c>
      <c r="D614" s="52">
        <v>170.33799999999999</v>
      </c>
      <c r="E614" s="47">
        <v>635.70000000000005</v>
      </c>
      <c r="F614" s="45" t="str" cm="1">
        <f t="array" aca="1" ref="F614" ca="1">LEFT(INDEX($F$292:$F$645, MATCH(MIN(IF(ABS($B$292:$B$645-B614)&lt;&gt;0, ABS($B$292:$B$645-B614))), IF(ABS($B$292:$B$645-B614)&lt;&gt;0, ABS($B$292:$B$645-B614)), 0)),5)</f>
        <v>18.34</v>
      </c>
      <c r="G614" s="36" t="str" cm="1">
        <f t="array" aca="1" ref="G614" ca="1">LEFT(INDEX($G$292:$G$645, MATCH(MIN(IF(ABS($B$292:$B$645-B614)&lt;&gt;0, ABS($B$292:$B$645-B614))), IF(ABS($B$292:$B$645-B614)&lt;&gt;0, ABS($B$292:$B$645-B614)), 0)),8)</f>
        <v>0.000695</v>
      </c>
      <c r="H614" s="46">
        <f t="shared" ca="1" si="36"/>
        <v>245.09064748201439</v>
      </c>
      <c r="I614" s="54">
        <f t="shared" ca="1" si="37"/>
        <v>0.24116923419009781</v>
      </c>
      <c r="J614" s="53" t="str" cm="1">
        <f t="array" aca="1" ref="J614" ca="1">LEFT(INDEX($J$292:$J$645, MATCH(MIN(IF(ABS($B$292:$B$645-B614)&lt;&gt;0, ABS($B$292:$B$645-B614))), IF(ABS($B$292:$B$645-B614)&lt;&gt;0, ABS($B$292:$B$645-B614)), 0)),5)</f>
        <v>0.519</v>
      </c>
      <c r="K614" s="75">
        <v>-5.0955000000000004</v>
      </c>
      <c r="L614" s="81">
        <v>1015.2</v>
      </c>
      <c r="M614" s="13">
        <v>8.6999999999999994E-3</v>
      </c>
      <c r="N614" s="12">
        <v>-8.4780000000000008E-6</v>
      </c>
      <c r="O614" s="93">
        <v>0.2467</v>
      </c>
      <c r="P614" s="94">
        <v>0.26200000000000001</v>
      </c>
      <c r="Q614" s="95">
        <v>0.28570000000000001</v>
      </c>
      <c r="R614" s="111">
        <v>25.798999999999999</v>
      </c>
      <c r="S614" s="118">
        <v>-3510.8</v>
      </c>
      <c r="T614" s="125">
        <v>-5.7579000000000002</v>
      </c>
      <c r="U614" s="14">
        <v>0</v>
      </c>
      <c r="V614" s="30">
        <v>0</v>
      </c>
      <c r="W614" s="138">
        <v>212.18799999999999</v>
      </c>
      <c r="X614" s="13">
        <v>0.98809000000000002</v>
      </c>
      <c r="Y614" s="14">
        <v>-2.6331000000000002E-3</v>
      </c>
      <c r="Z614" s="30">
        <v>3.3720000000000001E-6</v>
      </c>
      <c r="AA614" s="77">
        <v>0.15790000000000001</v>
      </c>
      <c r="AB614" s="5">
        <v>-5.8347999999999998E-5</v>
      </c>
      <c r="AC614" s="15">
        <v>-2.125E-7</v>
      </c>
      <c r="AD614" s="146">
        <v>66.540999999999997</v>
      </c>
      <c r="AE614" s="147">
        <v>0.38</v>
      </c>
      <c r="AF614" s="150">
        <v>51.308</v>
      </c>
      <c r="AG614" s="152">
        <v>1.2222</v>
      </c>
    </row>
    <row r="615" spans="1:33" x14ac:dyDescent="0.2">
      <c r="A615" s="27">
        <v>12</v>
      </c>
      <c r="B615" s="69">
        <v>6.0858508875000004</v>
      </c>
      <c r="C615" s="28">
        <f t="shared" si="38"/>
        <v>0.30611590196712224</v>
      </c>
      <c r="D615" s="52">
        <v>170.33799999999999</v>
      </c>
      <c r="E615" s="47">
        <v>637.53</v>
      </c>
      <c r="F615" s="45" t="str" cm="1">
        <f t="array" aca="1" ref="F615" ca="1">LEFT(INDEX($F$292:$F$645, MATCH(MIN(IF(ABS($B$292:$B$645-B615)&lt;&gt;0, ABS($B$292:$B$645-B615))), IF(ABS($B$292:$B$645-B615)&lt;&gt;0, ABS($B$292:$B$645-B615)), 0)),5)</f>
        <v>18.34</v>
      </c>
      <c r="G615" s="36" t="str" cm="1">
        <f t="array" aca="1" ref="G615" ca="1">LEFT(INDEX($G$292:$G$645, MATCH(MIN(IF(ABS($B$292:$B$645-B615)&lt;&gt;0, ABS($B$292:$B$645-B615))), IF(ABS($B$292:$B$645-B615)&lt;&gt;0, ABS($B$292:$B$645-B615)), 0)),8)</f>
        <v>0.000695</v>
      </c>
      <c r="H615" s="46">
        <f t="shared" ca="1" si="36"/>
        <v>245.09064748201439</v>
      </c>
      <c r="I615" s="54">
        <f t="shared" ca="1" si="37"/>
        <v>0.24047696920089279</v>
      </c>
      <c r="J615" s="53" t="str" cm="1">
        <f t="array" aca="1" ref="J615" ca="1">LEFT(INDEX($J$292:$J$645, MATCH(MIN(IF(ABS($B$292:$B$645-B615)&lt;&gt;0, ABS($B$292:$B$645-B615))), IF(ABS($B$292:$B$645-B615)&lt;&gt;0, ABS($B$292:$B$645-B615)), 0)),5)</f>
        <v>0.519</v>
      </c>
      <c r="K615" s="75">
        <v>-5.4320000000000004</v>
      </c>
      <c r="L615" s="81">
        <v>1065.3</v>
      </c>
      <c r="M615" s="13">
        <v>9.4999999999999998E-3</v>
      </c>
      <c r="N615" s="12">
        <v>-9.1005000000000004E-6</v>
      </c>
      <c r="O615" s="93">
        <v>0.24709999999999999</v>
      </c>
      <c r="P615" s="94">
        <v>0.26279999999999998</v>
      </c>
      <c r="Q615" s="95">
        <v>0.28570000000000001</v>
      </c>
      <c r="R615" s="111">
        <v>25.946999999999999</v>
      </c>
      <c r="S615" s="118">
        <v>-3574.6</v>
      </c>
      <c r="T615" s="125">
        <v>-5.7784000000000004</v>
      </c>
      <c r="U615" s="14">
        <v>0</v>
      </c>
      <c r="V615" s="30">
        <v>0</v>
      </c>
      <c r="W615" s="138">
        <v>229.501</v>
      </c>
      <c r="X615" s="13">
        <v>0.89427000000000001</v>
      </c>
      <c r="Y615" s="14">
        <v>-2.4229E-3</v>
      </c>
      <c r="Z615" s="30">
        <v>3.2212000000000002E-6</v>
      </c>
      <c r="AA615" s="77">
        <v>0.16159999999999999</v>
      </c>
      <c r="AB615" s="5">
        <v>-6.7822000000000002E-5</v>
      </c>
      <c r="AC615" s="15">
        <v>-2.0440999999999999E-7</v>
      </c>
      <c r="AD615" s="146">
        <v>67.569999999999993</v>
      </c>
      <c r="AE615" s="147">
        <v>0.38</v>
      </c>
      <c r="AF615" s="150">
        <v>51.837000000000003</v>
      </c>
      <c r="AG615" s="152">
        <v>1.2222</v>
      </c>
    </row>
    <row r="616" spans="1:33" x14ac:dyDescent="0.2">
      <c r="A616" s="27">
        <v>12</v>
      </c>
      <c r="B616" s="69">
        <v>5.4053812600000004</v>
      </c>
      <c r="C616" s="28">
        <f t="shared" si="38"/>
        <v>0.26333238614910287</v>
      </c>
      <c r="D616" s="52">
        <v>170.33799999999999</v>
      </c>
      <c r="E616" s="47">
        <v>644.34</v>
      </c>
      <c r="F616" s="45" t="str" cm="1">
        <f t="array" ref="F616">LEFT(INDEX($F$292:$F$645, MATCH(MIN(IF(ABS($B$292:$B$645-B616)&lt;&gt;0, ABS($B$292:$B$645-B616))), IF(ABS($B$292:$B$645-B616)&lt;&gt;0, ABS($B$292:$B$645-B616)), 0)),5)</f>
        <v>18.17</v>
      </c>
      <c r="G616" s="36" t="str" cm="1">
        <f t="array" ref="G616">LEFT(INDEX($G$292:$G$645, MATCH(MIN(IF(ABS($B$292:$B$645-B616)&lt;&gt;0, ABS($B$292:$B$645-B616))), IF(ABS($B$292:$B$645-B616)&lt;&gt;0, ABS($B$292:$B$645-B616)), 0)),8)</f>
        <v>0.000689</v>
      </c>
      <c r="H616" s="46">
        <f t="shared" si="36"/>
        <v>247.22496371552973</v>
      </c>
      <c r="I616" s="54">
        <f t="shared" si="37"/>
        <v>0.23369479320713882</v>
      </c>
      <c r="J616" s="53" t="str" cm="1">
        <f t="array" ref="J616">LEFT(INDEX($J$292:$J$645, MATCH(MIN(IF(ABS($B$292:$B$645-B616)&lt;&gt;0, ABS($B$292:$B$645-B616))), IF(ABS($B$292:$B$645-B616)&lt;&gt;0, ABS($B$292:$B$645-B616)), 0)),5)</f>
        <v>0.491</v>
      </c>
      <c r="K616" s="75">
        <v>-5.5182000000000002</v>
      </c>
      <c r="L616" s="81">
        <v>1088.0999999999999</v>
      </c>
      <c r="M616" s="13">
        <v>9.5999999999999992E-3</v>
      </c>
      <c r="N616" s="12">
        <v>-9.0461999999999999E-6</v>
      </c>
      <c r="O616" s="93">
        <v>0.24709999999999999</v>
      </c>
      <c r="P616" s="94">
        <v>0.26090000000000002</v>
      </c>
      <c r="Q616" s="95">
        <v>0.28570000000000001</v>
      </c>
      <c r="R616" s="111">
        <v>25.72</v>
      </c>
      <c r="S616" s="118">
        <v>-3593.7</v>
      </c>
      <c r="T616" s="125">
        <v>-5.6986999999999997</v>
      </c>
      <c r="U616" s="14">
        <v>0</v>
      </c>
      <c r="V616" s="30">
        <v>0</v>
      </c>
      <c r="W616" s="138">
        <v>231.69399999999999</v>
      </c>
      <c r="X616" s="13">
        <v>0.87814999999999999</v>
      </c>
      <c r="Y616" s="14">
        <v>-2.3590999999999998E-3</v>
      </c>
      <c r="Z616" s="30">
        <v>3.1250999999999999E-6</v>
      </c>
      <c r="AA616" s="77">
        <v>0.16170000000000001</v>
      </c>
      <c r="AB616" s="5">
        <v>-6.7345E-5</v>
      </c>
      <c r="AC616" s="15">
        <v>-2.001E-7</v>
      </c>
      <c r="AD616" s="146">
        <v>68.36</v>
      </c>
      <c r="AE616" s="147">
        <v>0.38</v>
      </c>
      <c r="AF616" s="150">
        <v>52.03</v>
      </c>
      <c r="AG616" s="152">
        <v>1.2222</v>
      </c>
    </row>
    <row r="617" spans="1:33" x14ac:dyDescent="0.2">
      <c r="A617" s="27">
        <v>12</v>
      </c>
      <c r="B617" s="69">
        <v>7.1504932349999999</v>
      </c>
      <c r="C617" s="28">
        <f t="shared" si="38"/>
        <v>0.37305370620409306</v>
      </c>
      <c r="D617" s="52">
        <v>170.33799999999999</v>
      </c>
      <c r="E617" s="47">
        <v>645.29</v>
      </c>
      <c r="F617" s="45" t="str" cm="1">
        <f t="array" aca="1" ref="F617" ca="1">LEFT(INDEX($F$292:$F$645, MATCH(MIN(IF(ABS($B$292:$B$645-B617)&lt;&gt;0, ABS($B$292:$B$645-B617))), IF(ABS($B$292:$B$645-B617)&lt;&gt;0, ABS($B$292:$B$645-B617)), 0)),5)</f>
        <v>18.34</v>
      </c>
      <c r="G617" s="36" t="str" cm="1">
        <f t="array" aca="1" ref="G617" ca="1">LEFT(INDEX($G$292:$G$645, MATCH(MIN(IF(ABS($B$292:$B$645-B617)&lt;&gt;0, ABS($B$292:$B$645-B617))), IF(ABS($B$292:$B$645-B617)&lt;&gt;0, ABS($B$292:$B$645-B617)), 0)),8)</f>
        <v>0.000695</v>
      </c>
      <c r="H617" s="46">
        <f t="shared" ca="1" si="36"/>
        <v>245.09064748201439</v>
      </c>
      <c r="I617" s="54">
        <f t="shared" ca="1" si="37"/>
        <v>0.23758508914541554</v>
      </c>
      <c r="J617" s="53" t="str" cm="1">
        <f t="array" aca="1" ref="J617" ca="1">LEFT(INDEX($J$292:$J$645, MATCH(MIN(IF(ABS($B$292:$B$645-B617)&lt;&gt;0, ABS($B$292:$B$645-B617))), IF(ABS($B$292:$B$645-B617)&lt;&gt;0, ABS($B$292:$B$645-B617)), 0)),5)</f>
        <v>0.519</v>
      </c>
      <c r="K617" s="75">
        <v>-5.2340999999999998</v>
      </c>
      <c r="L617" s="81">
        <v>1049.3</v>
      </c>
      <c r="M617" s="13">
        <v>8.8999999999999999E-3</v>
      </c>
      <c r="N617" s="12">
        <v>-8.4440000000000008E-6</v>
      </c>
      <c r="O617" s="93">
        <v>0.2467</v>
      </c>
      <c r="P617" s="94">
        <v>0.26279999999999998</v>
      </c>
      <c r="Q617" s="95">
        <v>0.28570000000000001</v>
      </c>
      <c r="R617" s="111">
        <v>25.481000000000002</v>
      </c>
      <c r="S617" s="118">
        <v>-3537.1</v>
      </c>
      <c r="T617" s="125">
        <v>-5.6462000000000003</v>
      </c>
      <c r="U617" s="14">
        <v>0</v>
      </c>
      <c r="V617" s="30">
        <v>0</v>
      </c>
      <c r="W617" s="138">
        <v>217.49199999999999</v>
      </c>
      <c r="X617" s="13">
        <v>0.94782</v>
      </c>
      <c r="Y617" s="14">
        <v>-2.4922999999999998E-3</v>
      </c>
      <c r="Z617" s="30">
        <v>3.1783000000000001E-6</v>
      </c>
      <c r="AA617" s="77">
        <v>0.15809999999999999</v>
      </c>
      <c r="AB617" s="5">
        <v>-5.8012E-5</v>
      </c>
      <c r="AC617" s="15">
        <v>-2.0601E-7</v>
      </c>
      <c r="AD617" s="146">
        <v>67.641000000000005</v>
      </c>
      <c r="AE617" s="147">
        <v>0.38</v>
      </c>
      <c r="AF617" s="150">
        <v>51.576999999999998</v>
      </c>
      <c r="AG617" s="152">
        <v>1.2222</v>
      </c>
    </row>
    <row r="618" spans="1:33" x14ac:dyDescent="0.2">
      <c r="A618" s="27">
        <v>12</v>
      </c>
      <c r="B618" s="69">
        <v>5.1082680399999996</v>
      </c>
      <c r="C618" s="28">
        <f t="shared" si="38"/>
        <v>0.24465183431563739</v>
      </c>
      <c r="D618" s="52">
        <v>170.33799999999999</v>
      </c>
      <c r="E618" s="47">
        <v>644.34</v>
      </c>
      <c r="F618" s="45" t="str" cm="1">
        <f t="array" ref="F618">LEFT(INDEX($F$292:$F$645, MATCH(MIN(IF(ABS($B$292:$B$645-B618)&lt;&gt;0, ABS($B$292:$B$645-B618))), IF(ABS($B$292:$B$645-B618)&lt;&gt;0, ABS($B$292:$B$645-B618)), 0)),5)</f>
        <v>18.17</v>
      </c>
      <c r="G618" s="36" t="str" cm="1">
        <f t="array" ref="G618">LEFT(INDEX($G$292:$G$645, MATCH(MIN(IF(ABS($B$292:$B$645-B618)&lt;&gt;0, ABS($B$292:$B$645-B618))), IF(ABS($B$292:$B$645-B618)&lt;&gt;0, ABS($B$292:$B$645-B618)), 0)),8)</f>
        <v>0.000689</v>
      </c>
      <c r="H618" s="46">
        <f t="shared" si="36"/>
        <v>247.22496371552973</v>
      </c>
      <c r="I618" s="54">
        <f t="shared" si="37"/>
        <v>0.23369479320713882</v>
      </c>
      <c r="J618" s="53" t="str" cm="1">
        <f t="array" ref="J618">LEFT(INDEX($J$292:$J$645, MATCH(MIN(IF(ABS($B$292:$B$645-B618)&lt;&gt;0, ABS($B$292:$B$645-B618))), IF(ABS($B$292:$B$645-B618)&lt;&gt;0, ABS($B$292:$B$645-B618)), 0)),5)</f>
        <v>0.491</v>
      </c>
      <c r="K618" s="75">
        <v>-5.5182000000000002</v>
      </c>
      <c r="L618" s="81">
        <v>1088.0999999999999</v>
      </c>
      <c r="M618" s="13">
        <v>9.5999999999999992E-3</v>
      </c>
      <c r="N618" s="12">
        <v>-9.0461999999999999E-6</v>
      </c>
      <c r="O618" s="93">
        <v>0.24709999999999999</v>
      </c>
      <c r="P618" s="94">
        <v>0.25850000000000001</v>
      </c>
      <c r="Q618" s="95">
        <v>0.28570000000000001</v>
      </c>
      <c r="R618" s="111">
        <v>25.72</v>
      </c>
      <c r="S618" s="118">
        <v>-3593.7</v>
      </c>
      <c r="T618" s="125">
        <v>-5.6986999999999997</v>
      </c>
      <c r="U618" s="14">
        <v>0</v>
      </c>
      <c r="V618" s="30">
        <v>0</v>
      </c>
      <c r="W618" s="138">
        <v>230.566</v>
      </c>
      <c r="X618" s="13">
        <v>0.88673000000000002</v>
      </c>
      <c r="Y618" s="14">
        <v>-2.3850999999999998E-3</v>
      </c>
      <c r="Z618" s="30">
        <v>3.1584000000000001E-6</v>
      </c>
      <c r="AA618" s="77">
        <v>0.16170000000000001</v>
      </c>
      <c r="AB618" s="5">
        <v>-6.7345E-5</v>
      </c>
      <c r="AC618" s="15">
        <v>-2.001E-7</v>
      </c>
      <c r="AD618" s="146">
        <v>68.36</v>
      </c>
      <c r="AE618" s="147">
        <v>0.38</v>
      </c>
      <c r="AF618" s="150">
        <v>52.03</v>
      </c>
      <c r="AG618" s="152">
        <v>1.2222</v>
      </c>
    </row>
    <row r="619" spans="1:33" x14ac:dyDescent="0.2">
      <c r="A619" s="27">
        <v>12</v>
      </c>
      <c r="B619" s="69">
        <v>6.6661159999999997</v>
      </c>
      <c r="C619" s="28">
        <f t="shared" si="38"/>
        <v>0.34259920793111764</v>
      </c>
      <c r="D619" s="52">
        <v>170.33799999999999</v>
      </c>
      <c r="E619" s="47">
        <v>648.03</v>
      </c>
      <c r="F619" s="45" t="str" cm="1">
        <f t="array" aca="1" ref="F619" ca="1">LEFT(INDEX($F$292:$F$645, MATCH(MIN(IF(ABS($B$292:$B$645-B619)&lt;&gt;0, ABS($B$292:$B$645-B619))), IF(ABS($B$292:$B$645-B619)&lt;&gt;0, ABS($B$292:$B$645-B619)), 0)),5)</f>
        <v>18.34</v>
      </c>
      <c r="G619" s="36" t="str" cm="1">
        <f t="array" aca="1" ref="G619" ca="1">LEFT(INDEX($G$292:$G$645, MATCH(MIN(IF(ABS($B$292:$B$645-B619)&lt;&gt;0, ABS($B$292:$B$645-B619))), IF(ABS($B$292:$B$645-B619)&lt;&gt;0, ABS($B$292:$B$645-B619)), 0)),8)</f>
        <v>0.000695</v>
      </c>
      <c r="H619" s="46">
        <f t="shared" ca="1" si="36"/>
        <v>245.09064748201439</v>
      </c>
      <c r="I619" s="54">
        <f t="shared" ca="1" si="37"/>
        <v>0.23658053203500637</v>
      </c>
      <c r="J619" s="53" t="str" cm="1">
        <f t="array" aca="1" ref="J619" ca="1">LEFT(INDEX($J$292:$J$645, MATCH(MIN(IF(ABS($B$292:$B$645-B619)&lt;&gt;0, ABS($B$292:$B$645-B619))), IF(ABS($B$292:$B$645-B619)&lt;&gt;0, ABS($B$292:$B$645-B619)), 0)),5)</f>
        <v>0.519</v>
      </c>
      <c r="K619" s="75">
        <v>-5.2682000000000002</v>
      </c>
      <c r="L619" s="81">
        <v>1058.2</v>
      </c>
      <c r="M619" s="13">
        <v>8.8999999999999999E-3</v>
      </c>
      <c r="N619" s="12">
        <v>-8.4264999999999997E-6</v>
      </c>
      <c r="O619" s="93">
        <v>0.2467</v>
      </c>
      <c r="P619" s="94">
        <v>0.25819999999999999</v>
      </c>
      <c r="Q619" s="95">
        <v>0.28570000000000001</v>
      </c>
      <c r="R619" s="111">
        <v>25.393000000000001</v>
      </c>
      <c r="S619" s="118">
        <v>-3544.7</v>
      </c>
      <c r="T619" s="125">
        <v>-5.6151</v>
      </c>
      <c r="U619" s="14">
        <v>0</v>
      </c>
      <c r="V619" s="30">
        <v>0</v>
      </c>
      <c r="W619" s="138">
        <v>216.45699999999999</v>
      </c>
      <c r="X619" s="13">
        <v>0.95555999999999996</v>
      </c>
      <c r="Y619" s="14">
        <v>-2.5089000000000001E-3</v>
      </c>
      <c r="Z619" s="30">
        <v>3.1932000000000002E-6</v>
      </c>
      <c r="AA619" s="77">
        <v>0.15820000000000001</v>
      </c>
      <c r="AB619" s="5">
        <v>-5.7912999999999999E-5</v>
      </c>
      <c r="AC619" s="15">
        <v>-2.0421E-7</v>
      </c>
      <c r="AD619" s="146">
        <v>67.954999999999998</v>
      </c>
      <c r="AE619" s="147">
        <v>0.38</v>
      </c>
      <c r="AF619" s="150">
        <v>51.654000000000003</v>
      </c>
      <c r="AG619" s="152">
        <v>1.2222</v>
      </c>
    </row>
    <row r="620" spans="1:33" x14ac:dyDescent="0.2">
      <c r="A620" s="27">
        <v>12</v>
      </c>
      <c r="B620" s="69">
        <v>7.1537299799999996</v>
      </c>
      <c r="C620" s="28">
        <f t="shared" si="38"/>
        <v>0.37325721173220189</v>
      </c>
      <c r="D620" s="52">
        <v>170.33799999999999</v>
      </c>
      <c r="E620" s="47">
        <v>641.17999999999995</v>
      </c>
      <c r="F620" s="45" t="str" cm="1">
        <f t="array" aca="1" ref="F620" ca="1">LEFT(INDEX($F$292:$F$645, MATCH(MIN(IF(ABS($B$292:$B$645-B620)&lt;&gt;0, ABS($B$292:$B$645-B620))), IF(ABS($B$292:$B$645-B620)&lt;&gt;0, ABS($B$292:$B$645-B620)), 0)),5)</f>
        <v>18.34</v>
      </c>
      <c r="G620" s="36" t="str" cm="1">
        <f t="array" aca="1" ref="G620" ca="1">LEFT(INDEX($G$292:$G$645, MATCH(MIN(IF(ABS($B$292:$B$645-B620)&lt;&gt;0, ABS($B$292:$B$645-B620))), IF(ABS($B$292:$B$645-B620)&lt;&gt;0, ABS($B$292:$B$645-B620)), 0)),8)</f>
        <v>0.000695</v>
      </c>
      <c r="H620" s="46">
        <f t="shared" ref="H620:H645" ca="1" si="39">1/LEFT(G620,8)*D620/1000</f>
        <v>245.09064748201439</v>
      </c>
      <c r="I620" s="54">
        <f t="shared" ref="I620:I645" ca="1" si="40">LEFT(F620,5)*100000/(H620*8.314/(D620/1000)*E620)</f>
        <v>0.23910802298051279</v>
      </c>
      <c r="J620" s="53" t="str" cm="1">
        <f t="array" aca="1" ref="J620" ca="1">LEFT(INDEX($J$292:$J$645, MATCH(MIN(IF(ABS($B$292:$B$645-B620)&lt;&gt;0, ABS($B$292:$B$645-B620))), IF(ABS($B$292:$B$645-B620)&lt;&gt;0, ABS($B$292:$B$645-B620)), 0)),5)</f>
        <v>0.519</v>
      </c>
      <c r="K620" s="75">
        <v>-5.1786000000000003</v>
      </c>
      <c r="L620" s="81">
        <v>1035.2</v>
      </c>
      <c r="M620" s="13">
        <v>8.8000000000000005E-3</v>
      </c>
      <c r="N620" s="12">
        <v>-8.4641999999999994E-6</v>
      </c>
      <c r="O620" s="93">
        <v>0.2467</v>
      </c>
      <c r="P620" s="94">
        <v>0.26250000000000001</v>
      </c>
      <c r="Q620" s="95">
        <v>0.28570000000000001</v>
      </c>
      <c r="R620" s="111">
        <v>25.616</v>
      </c>
      <c r="S620" s="118">
        <v>-3525.8</v>
      </c>
      <c r="T620" s="125">
        <v>-5.6935000000000002</v>
      </c>
      <c r="U620" s="14">
        <v>0</v>
      </c>
      <c r="V620" s="30">
        <v>0</v>
      </c>
      <c r="W620" s="138">
        <v>215.26400000000001</v>
      </c>
      <c r="X620" s="13">
        <v>0.96465000000000001</v>
      </c>
      <c r="Y620" s="14">
        <v>-2.5511000000000002E-3</v>
      </c>
      <c r="Z620" s="30">
        <v>3.2590999999999998E-6</v>
      </c>
      <c r="AA620" s="77">
        <v>0.158</v>
      </c>
      <c r="AB620" s="5">
        <v>-5.8156999999999999E-5</v>
      </c>
      <c r="AC620" s="15">
        <v>-2.0875000000000001E-7</v>
      </c>
      <c r="AD620" s="146">
        <v>67.168999999999997</v>
      </c>
      <c r="AE620" s="147">
        <v>0.38</v>
      </c>
      <c r="AF620" s="150">
        <v>51.462000000000003</v>
      </c>
      <c r="AG620" s="152">
        <v>1.2222</v>
      </c>
    </row>
    <row r="621" spans="1:33" x14ac:dyDescent="0.2">
      <c r="A621" s="27">
        <v>12</v>
      </c>
      <c r="B621" s="69">
        <v>6.6632601249999999</v>
      </c>
      <c r="C621" s="28">
        <f t="shared" si="38"/>
        <v>0.34241964903781968</v>
      </c>
      <c r="D621" s="52">
        <v>170.33799999999999</v>
      </c>
      <c r="E621" s="47">
        <v>650.77</v>
      </c>
      <c r="F621" s="45" t="str" cm="1">
        <f t="array" aca="1" ref="F621" ca="1">LEFT(INDEX($F$292:$F$645, MATCH(MIN(IF(ABS($B$292:$B$645-B621)&lt;&gt;0, ABS($B$292:$B$645-B621))), IF(ABS($B$292:$B$645-B621)&lt;&gt;0, ABS($B$292:$B$645-B621)), 0)),5)</f>
        <v>18.34</v>
      </c>
      <c r="G621" s="36" t="str" cm="1">
        <f t="array" aca="1" ref="G621" ca="1">LEFT(INDEX($G$292:$G$645, MATCH(MIN(IF(ABS($B$292:$B$645-B621)&lt;&gt;0, ABS($B$292:$B$645-B621))), IF(ABS($B$292:$B$645-B621)&lt;&gt;0, ABS($B$292:$B$645-B621)), 0)),8)</f>
        <v>0.000695</v>
      </c>
      <c r="H621" s="46">
        <f t="shared" ca="1" si="39"/>
        <v>245.09064748201439</v>
      </c>
      <c r="I621" s="54">
        <f t="shared" ca="1" si="40"/>
        <v>0.2355844340929133</v>
      </c>
      <c r="J621" s="53" t="str" cm="1">
        <f t="array" aca="1" ref="J621" ca="1">LEFT(INDEX($J$292:$J$645, MATCH(MIN(IF(ABS($B$292:$B$645-B621)&lt;&gt;0, ABS($B$292:$B$645-B621))), IF(ABS($B$292:$B$645-B621)&lt;&gt;0, ABS($B$292:$B$645-B621)), 0)),5)</f>
        <v>0.519</v>
      </c>
      <c r="K621" s="75">
        <v>-5.3000999999999996</v>
      </c>
      <c r="L621" s="81">
        <v>1066.9000000000001</v>
      </c>
      <c r="M621" s="13">
        <v>8.8999999999999999E-3</v>
      </c>
      <c r="N621" s="12">
        <v>-8.4060000000000005E-6</v>
      </c>
      <c r="O621" s="93">
        <v>0.2467</v>
      </c>
      <c r="P621" s="94">
        <v>0.25840000000000002</v>
      </c>
      <c r="Q621" s="95">
        <v>0.28570000000000001</v>
      </c>
      <c r="R621" s="111">
        <v>25.305</v>
      </c>
      <c r="S621" s="118">
        <v>-3552.3</v>
      </c>
      <c r="T621" s="125">
        <v>-5.5842999999999998</v>
      </c>
      <c r="U621" s="14">
        <v>0</v>
      </c>
      <c r="V621" s="30">
        <v>0</v>
      </c>
      <c r="W621" s="138">
        <v>217.917</v>
      </c>
      <c r="X621" s="13">
        <v>0.94460999999999995</v>
      </c>
      <c r="Y621" s="14">
        <v>-2.4708999999999998E-3</v>
      </c>
      <c r="Z621" s="30">
        <v>3.1410000000000001E-6</v>
      </c>
      <c r="AA621" s="77">
        <v>0.15820000000000001</v>
      </c>
      <c r="AB621" s="5">
        <v>-5.7812999999999997E-5</v>
      </c>
      <c r="AC621" s="15">
        <v>-2.0244E-7</v>
      </c>
      <c r="AD621" s="146">
        <v>68.27</v>
      </c>
      <c r="AE621" s="147">
        <v>0.38</v>
      </c>
      <c r="AF621" s="150">
        <v>51.73</v>
      </c>
      <c r="AG621" s="152">
        <v>1.2222</v>
      </c>
    </row>
    <row r="622" spans="1:33" x14ac:dyDescent="0.2">
      <c r="A622" s="27">
        <v>12</v>
      </c>
      <c r="B622" s="69">
        <v>6.0841322699999996</v>
      </c>
      <c r="C622" s="28">
        <f t="shared" si="38"/>
        <v>0.30600784644777956</v>
      </c>
      <c r="D622" s="52">
        <v>170.33799999999999</v>
      </c>
      <c r="E622" s="47">
        <v>642.97</v>
      </c>
      <c r="F622" s="45" t="str" cm="1">
        <f t="array" ref="F622">LEFT(INDEX($F$292:$F$645, MATCH(MIN(IF(ABS($B$292:$B$645-B622)&lt;&gt;0, ABS($B$292:$B$645-B622))), IF(ABS($B$292:$B$645-B622)&lt;&gt;0, ABS($B$292:$B$645-B622)), 0)),5)</f>
        <v>18.17</v>
      </c>
      <c r="G622" s="36" t="str" cm="1">
        <f t="array" ref="G622">LEFT(INDEX($G$292:$G$645, MATCH(MIN(IF(ABS($B$292:$B$645-B622)&lt;&gt;0, ABS($B$292:$B$645-B622))), IF(ABS($B$292:$B$645-B622)&lt;&gt;0, ABS($B$292:$B$645-B622)), 0)),8)</f>
        <v>0.000689</v>
      </c>
      <c r="H622" s="46">
        <f t="shared" si="39"/>
        <v>247.22496371552973</v>
      </c>
      <c r="I622" s="54">
        <f t="shared" si="40"/>
        <v>0.23419273536103991</v>
      </c>
      <c r="J622" s="53" t="str" cm="1">
        <f t="array" ref="J622">LEFT(INDEX($J$292:$J$645, MATCH(MIN(IF(ABS($B$292:$B$645-B622)&lt;&gt;0, ABS($B$292:$B$645-B622))), IF(ABS($B$292:$B$645-B622)&lt;&gt;0, ABS($B$292:$B$645-B622)), 0)),5)</f>
        <v>0.491</v>
      </c>
      <c r="K622" s="75">
        <v>-5.5022000000000002</v>
      </c>
      <c r="L622" s="81">
        <v>1083.7</v>
      </c>
      <c r="M622" s="13">
        <v>9.5999999999999992E-3</v>
      </c>
      <c r="N622" s="12">
        <v>-9.0587000000000002E-6</v>
      </c>
      <c r="O622" s="93">
        <v>0.24709999999999999</v>
      </c>
      <c r="P622" s="94">
        <v>0.2631</v>
      </c>
      <c r="Q622" s="95">
        <v>0.28570000000000001</v>
      </c>
      <c r="R622" s="111">
        <v>25.765000000000001</v>
      </c>
      <c r="S622" s="118">
        <v>-3589.9</v>
      </c>
      <c r="T622" s="125">
        <v>-5.7145000000000001</v>
      </c>
      <c r="U622" s="14">
        <v>0</v>
      </c>
      <c r="V622" s="30">
        <v>0</v>
      </c>
      <c r="W622" s="138">
        <v>232.137</v>
      </c>
      <c r="X622" s="13">
        <v>0.87465000000000004</v>
      </c>
      <c r="Y622" s="14">
        <v>-2.3514E-3</v>
      </c>
      <c r="Z622" s="30">
        <v>3.118E-6</v>
      </c>
      <c r="AA622" s="77">
        <v>0.16170000000000001</v>
      </c>
      <c r="AB622" s="5">
        <v>-6.7440000000000005E-5</v>
      </c>
      <c r="AC622" s="15">
        <v>-2.0095000000000001E-7</v>
      </c>
      <c r="AD622" s="146">
        <v>68.201999999999998</v>
      </c>
      <c r="AE622" s="147">
        <v>0.38</v>
      </c>
      <c r="AF622" s="150">
        <v>51.991999999999997</v>
      </c>
      <c r="AG622" s="152">
        <v>1.2222</v>
      </c>
    </row>
    <row r="623" spans="1:33" x14ac:dyDescent="0.2">
      <c r="A623" s="27">
        <v>12</v>
      </c>
      <c r="B623" s="69">
        <v>7.8241663499999996</v>
      </c>
      <c r="C623" s="28">
        <f t="shared" si="38"/>
        <v>0.41540990140661421</v>
      </c>
      <c r="D623" s="52">
        <v>170.33799999999999</v>
      </c>
      <c r="E623" s="47">
        <v>634.33000000000004</v>
      </c>
      <c r="F623" s="45" t="str" cm="1">
        <f t="array" aca="1" ref="F623" ca="1">LEFT(INDEX($F$292:$F$645, MATCH(MIN(IF(ABS($B$292:$B$645-B623)&lt;&gt;0, ABS($B$292:$B$645-B623))), IF(ABS($B$292:$B$645-B623)&lt;&gt;0, ABS($B$292:$B$645-B623)), 0)),5)</f>
        <v>18.34</v>
      </c>
      <c r="G623" s="36" t="str" cm="1">
        <f t="array" aca="1" ref="G623" ca="1">LEFT(INDEX($G$292:$G$645, MATCH(MIN(IF(ABS($B$292:$B$645-B623)&lt;&gt;0, ABS($B$292:$B$645-B623))), IF(ABS($B$292:$B$645-B623)&lt;&gt;0, ABS($B$292:$B$645-B623)), 0)),8)</f>
        <v>0.000695</v>
      </c>
      <c r="H623" s="46">
        <f t="shared" ca="1" si="39"/>
        <v>245.09064748201439</v>
      </c>
      <c r="I623" s="54">
        <f t="shared" ca="1" si="40"/>
        <v>0.24169010164211871</v>
      </c>
      <c r="J623" s="53" t="str" cm="1">
        <f t="array" aca="1" ref="J623" ca="1">LEFT(INDEX($J$292:$J$645, MATCH(MIN(IF(ABS($B$292:$B$645-B623)&lt;&gt;0, ABS($B$292:$B$645-B623))), IF(ABS($B$292:$B$645-B623)&lt;&gt;0, ABS($B$292:$B$645-B623)), 0)),5)</f>
        <v>0.519</v>
      </c>
      <c r="K623" s="75">
        <v>-5.0728999999999997</v>
      </c>
      <c r="L623" s="81">
        <v>1009.9</v>
      </c>
      <c r="M623" s="13">
        <v>8.6999999999999994E-3</v>
      </c>
      <c r="N623" s="12">
        <v>-8.4788999999999994E-6</v>
      </c>
      <c r="O623" s="93">
        <v>0.2467</v>
      </c>
      <c r="P623" s="94">
        <v>0.2641</v>
      </c>
      <c r="Q623" s="95">
        <v>0.28570000000000001</v>
      </c>
      <c r="R623" s="111">
        <v>25.844999999999999</v>
      </c>
      <c r="S623" s="118">
        <v>-3507.1</v>
      </c>
      <c r="T623" s="125">
        <v>-5.7742000000000004</v>
      </c>
      <c r="U623" s="14">
        <v>0</v>
      </c>
      <c r="V623" s="30">
        <v>0</v>
      </c>
      <c r="W623" s="138">
        <v>212.57300000000001</v>
      </c>
      <c r="X623" s="13">
        <v>0.98526000000000002</v>
      </c>
      <c r="Y623" s="14">
        <v>-2.6278999999999999E-3</v>
      </c>
      <c r="Z623" s="30">
        <v>3.3685E-6</v>
      </c>
      <c r="AA623" s="77">
        <v>0.15790000000000001</v>
      </c>
      <c r="AB623" s="5">
        <v>-5.8394999999999999E-5</v>
      </c>
      <c r="AC623" s="15">
        <v>-2.1345E-7</v>
      </c>
      <c r="AD623" s="146">
        <v>66.384</v>
      </c>
      <c r="AE623" s="147">
        <v>0.38</v>
      </c>
      <c r="AF623" s="150">
        <v>51.268999999999998</v>
      </c>
      <c r="AG623" s="152">
        <v>1.2222</v>
      </c>
    </row>
    <row r="624" spans="1:33" x14ac:dyDescent="0.2">
      <c r="A624" s="27">
        <v>12</v>
      </c>
      <c r="B624" s="69">
        <v>7.0657748974999999</v>
      </c>
      <c r="C624" s="28">
        <f t="shared" si="38"/>
        <v>0.36772716672896044</v>
      </c>
      <c r="D624" s="52">
        <v>170.33799999999999</v>
      </c>
      <c r="E624" s="47">
        <v>633.44000000000005</v>
      </c>
      <c r="F624" s="45" t="str" cm="1">
        <f t="array" ref="F624">LEFT(INDEX($F$292:$F$645, MATCH(MIN(IF(ABS($B$292:$B$645-B624)&lt;&gt;0, ABS($B$292:$B$645-B624))), IF(ABS($B$292:$B$645-B624)&lt;&gt;0, ABS($B$292:$B$645-B624)), 0)),5)</f>
        <v>18.22</v>
      </c>
      <c r="G624" s="36" t="str" cm="1">
        <f t="array" ref="G624">LEFT(INDEX($G$292:$G$645, MATCH(MIN(IF(ABS($B$292:$B$645-B624)&lt;&gt;0, ABS($B$292:$B$645-B624))), IF(ABS($B$292:$B$645-B624)&lt;&gt;0, ABS($B$292:$B$645-B624)), 0)),8)</f>
        <v>0.000690</v>
      </c>
      <c r="H624" s="46">
        <f t="shared" si="39"/>
        <v>246.86666666666667</v>
      </c>
      <c r="I624" s="54">
        <f t="shared" si="40"/>
        <v>0.23871623641969342</v>
      </c>
      <c r="J624" s="53" t="str" cm="1">
        <f t="array" ref="J624">LEFT(INDEX($J$292:$J$645, MATCH(MIN(IF(ABS($B$292:$B$645-B624)&lt;&gt;0, ABS($B$292:$B$645-B624))), IF(ABS($B$292:$B$645-B624)&lt;&gt;0, ABS($B$292:$B$645-B624)), 0)),5)</f>
        <v>0.461</v>
      </c>
      <c r="K624" s="75">
        <v>-5.3726000000000003</v>
      </c>
      <c r="L624" s="81">
        <v>1050.5999999999999</v>
      </c>
      <c r="M624" s="13">
        <v>9.4000000000000004E-3</v>
      </c>
      <c r="N624" s="12">
        <v>-9.1223000000000007E-6</v>
      </c>
      <c r="O624" s="93">
        <v>0.24709999999999999</v>
      </c>
      <c r="P624" s="94">
        <v>0.2671</v>
      </c>
      <c r="Q624" s="95">
        <v>0.28570000000000001</v>
      </c>
      <c r="R624" s="111">
        <v>26.085999999999999</v>
      </c>
      <c r="S624" s="118">
        <v>-3563.1</v>
      </c>
      <c r="T624" s="125">
        <v>-5.8272000000000004</v>
      </c>
      <c r="U624" s="14">
        <v>0</v>
      </c>
      <c r="V624" s="30">
        <v>0</v>
      </c>
      <c r="W624" s="138">
        <v>229.66900000000001</v>
      </c>
      <c r="X624" s="13">
        <v>0.89268999999999998</v>
      </c>
      <c r="Y624" s="14">
        <v>-2.4272E-3</v>
      </c>
      <c r="Z624" s="30">
        <v>3.2354E-6</v>
      </c>
      <c r="AA624" s="77">
        <v>0.1615</v>
      </c>
      <c r="AB624" s="5">
        <v>-6.8108999999999995E-5</v>
      </c>
      <c r="AC624" s="15">
        <v>-2.0706999999999999E-7</v>
      </c>
      <c r="AD624" s="146">
        <v>67.094999999999999</v>
      </c>
      <c r="AE624" s="147">
        <v>0.38</v>
      </c>
      <c r="AF624" s="150">
        <v>51.72</v>
      </c>
      <c r="AG624" s="152">
        <v>1.2222</v>
      </c>
    </row>
    <row r="625" spans="1:33" x14ac:dyDescent="0.2">
      <c r="A625" s="27">
        <v>12</v>
      </c>
      <c r="B625" s="69">
        <v>6.3869462012499998</v>
      </c>
      <c r="C625" s="28">
        <f t="shared" si="38"/>
        <v>0.32504682202285179</v>
      </c>
      <c r="D625" s="52">
        <v>170.33799999999999</v>
      </c>
      <c r="E625" s="47">
        <v>636.16</v>
      </c>
      <c r="F625" s="45" t="str" cm="1">
        <f t="array" ref="F625">LEFT(INDEX($F$292:$F$645, MATCH(MIN(IF(ABS($B$292:$B$645-B625)&lt;&gt;0, ABS($B$292:$B$645-B625))), IF(ABS($B$292:$B$645-B625)&lt;&gt;0, ABS($B$292:$B$645-B625)), 0)),5)</f>
        <v>18.17</v>
      </c>
      <c r="G625" s="36" t="str" cm="1">
        <f t="array" ref="G625">LEFT(INDEX($G$292:$G$645, MATCH(MIN(IF(ABS($B$292:$B$645-B625)&lt;&gt;0, ABS($B$292:$B$645-B625))), IF(ABS($B$292:$B$645-B625)&lt;&gt;0, ABS($B$292:$B$645-B625)), 0)),8)</f>
        <v>0.000689</v>
      </c>
      <c r="H625" s="46">
        <f t="shared" si="39"/>
        <v>247.22496371552973</v>
      </c>
      <c r="I625" s="54">
        <f t="shared" si="40"/>
        <v>0.23669973443015568</v>
      </c>
      <c r="J625" s="53" t="str" cm="1">
        <f t="array" ref="J625">LEFT(INDEX($J$292:$J$645, MATCH(MIN(IF(ABS($B$292:$B$645-B625)&lt;&gt;0, ABS($B$292:$B$645-B625))), IF(ABS($B$292:$B$645-B625)&lt;&gt;0, ABS($B$292:$B$645-B625)), 0)),5)</f>
        <v>0.491</v>
      </c>
      <c r="K625" s="75">
        <v>-5.4128999999999996</v>
      </c>
      <c r="L625" s="81">
        <v>1060.5</v>
      </c>
      <c r="M625" s="13">
        <v>9.4999999999999998E-3</v>
      </c>
      <c r="N625" s="12">
        <v>-9.1087999999999999E-6</v>
      </c>
      <c r="O625" s="93">
        <v>0.24709999999999999</v>
      </c>
      <c r="P625" s="94">
        <v>0.2651</v>
      </c>
      <c r="Q625" s="95">
        <v>0.28570000000000001</v>
      </c>
      <c r="R625" s="111">
        <v>25.992999999999999</v>
      </c>
      <c r="S625" s="118">
        <v>-3570.7</v>
      </c>
      <c r="T625" s="125">
        <v>-5.7945000000000002</v>
      </c>
      <c r="U625" s="14">
        <v>0</v>
      </c>
      <c r="V625" s="30">
        <v>0</v>
      </c>
      <c r="W625" s="138">
        <v>229.95699999999999</v>
      </c>
      <c r="X625" s="13">
        <v>0.89068000000000003</v>
      </c>
      <c r="Y625" s="14">
        <v>-2.415E-3</v>
      </c>
      <c r="Z625" s="30">
        <v>3.2138999999999998E-6</v>
      </c>
      <c r="AA625" s="77">
        <v>0.16159999999999999</v>
      </c>
      <c r="AB625" s="5">
        <v>-6.7917999999999996E-5</v>
      </c>
      <c r="AC625" s="15">
        <v>-2.0529000000000001E-7</v>
      </c>
      <c r="AD625" s="146">
        <v>67.412000000000006</v>
      </c>
      <c r="AE625" s="147">
        <v>0.38</v>
      </c>
      <c r="AF625" s="150">
        <v>51.798000000000002</v>
      </c>
      <c r="AG625" s="152">
        <v>1.2222</v>
      </c>
    </row>
    <row r="626" spans="1:33" x14ac:dyDescent="0.2">
      <c r="A626" s="27">
        <v>12</v>
      </c>
      <c r="B626" s="69">
        <v>6.08599587375</v>
      </c>
      <c r="C626" s="28">
        <f t="shared" si="38"/>
        <v>0.30612501776196382</v>
      </c>
      <c r="D626" s="52">
        <v>170.33799999999999</v>
      </c>
      <c r="E626" s="47">
        <v>638.89</v>
      </c>
      <c r="F626" s="45" t="str" cm="1">
        <f t="array" aca="1" ref="F626" ca="1">LEFT(INDEX($F$292:$F$645, MATCH(MIN(IF(ABS($B$292:$B$645-B626)&lt;&gt;0, ABS($B$292:$B$645-B626))), IF(ABS($B$292:$B$645-B626)&lt;&gt;0, ABS($B$292:$B$645-B626)), 0)),5)</f>
        <v>18.34</v>
      </c>
      <c r="G626" s="36" t="str" cm="1">
        <f t="array" aca="1" ref="G626" ca="1">LEFT(INDEX($G$292:$G$645, MATCH(MIN(IF(ABS($B$292:$B$645-B626)&lt;&gt;0, ABS($B$292:$B$645-B626))), IF(ABS($B$292:$B$645-B626)&lt;&gt;0, ABS($B$292:$B$645-B626)), 0)),8)</f>
        <v>0.000695</v>
      </c>
      <c r="H626" s="46">
        <f t="shared" ca="1" si="39"/>
        <v>245.09064748201439</v>
      </c>
      <c r="I626" s="54">
        <f t="shared" ca="1" si="40"/>
        <v>0.23996506781237018</v>
      </c>
      <c r="J626" s="53" t="str" cm="1">
        <f t="array" aca="1" ref="J626" ca="1">LEFT(INDEX($J$292:$J$645, MATCH(MIN(IF(ABS($B$292:$B$645-B626)&lt;&gt;0, ABS($B$292:$B$645-B626))), IF(ABS($B$292:$B$645-B626)&lt;&gt;0, ABS($B$292:$B$645-B626)), 0)),5)</f>
        <v>0.519</v>
      </c>
      <c r="K626" s="75">
        <v>-5.4504999999999999</v>
      </c>
      <c r="L626" s="81">
        <v>1070</v>
      </c>
      <c r="M626" s="13">
        <v>9.4999999999999998E-3</v>
      </c>
      <c r="N626" s="12">
        <v>-9.0914000000000007E-6</v>
      </c>
      <c r="O626" s="93">
        <v>0.24709999999999999</v>
      </c>
      <c r="P626" s="94">
        <v>0.26290000000000002</v>
      </c>
      <c r="Q626" s="95">
        <v>0.28570000000000001</v>
      </c>
      <c r="R626" s="111">
        <v>25.901</v>
      </c>
      <c r="S626" s="118">
        <v>-3578.4</v>
      </c>
      <c r="T626" s="125">
        <v>-5.7622999999999998</v>
      </c>
      <c r="U626" s="14">
        <v>0</v>
      </c>
      <c r="V626" s="30">
        <v>0</v>
      </c>
      <c r="W626" s="138">
        <v>230.172</v>
      </c>
      <c r="X626" s="13">
        <v>0.88924999999999998</v>
      </c>
      <c r="Y626" s="14">
        <v>-2.4045999999999998E-3</v>
      </c>
      <c r="Z626" s="30">
        <v>3.1947999999999999E-6</v>
      </c>
      <c r="AA626" s="77">
        <v>0.16159999999999999</v>
      </c>
      <c r="AB626" s="5">
        <v>-6.7725999999999995E-5</v>
      </c>
      <c r="AC626" s="15">
        <v>-2.0354000000000001E-7</v>
      </c>
      <c r="AD626" s="146">
        <v>67.727999999999994</v>
      </c>
      <c r="AE626" s="147">
        <v>0.38</v>
      </c>
      <c r="AF626" s="150">
        <v>51.875999999999998</v>
      </c>
      <c r="AG626" s="152">
        <v>1.2222</v>
      </c>
    </row>
    <row r="627" spans="1:33" x14ac:dyDescent="0.2">
      <c r="A627" s="27">
        <v>12</v>
      </c>
      <c r="B627" s="69">
        <v>5.7798451200000001</v>
      </c>
      <c r="C627" s="28">
        <f t="shared" si="38"/>
        <v>0.28687624443480803</v>
      </c>
      <c r="D627" s="52">
        <v>170.33799999999999</v>
      </c>
      <c r="E627" s="47">
        <v>644.34</v>
      </c>
      <c r="F627" s="45" t="str" cm="1">
        <f t="array" ref="F627">LEFT(INDEX($F$292:$F$645, MATCH(MIN(IF(ABS($B$292:$B$645-B627)&lt;&gt;0, ABS($B$292:$B$645-B627))), IF(ABS($B$292:$B$645-B627)&lt;&gt;0, ABS($B$292:$B$645-B627)), 0)),5)</f>
        <v>18.17</v>
      </c>
      <c r="G627" s="36" t="str" cm="1">
        <f t="array" ref="G627">LEFT(INDEX($G$292:$G$645, MATCH(MIN(IF(ABS($B$292:$B$645-B627)&lt;&gt;0, ABS($B$292:$B$645-B627))), IF(ABS($B$292:$B$645-B627)&lt;&gt;0, ABS($B$292:$B$645-B627)), 0)),8)</f>
        <v>0.000689</v>
      </c>
      <c r="H627" s="46">
        <f t="shared" si="39"/>
        <v>247.22496371552973</v>
      </c>
      <c r="I627" s="54">
        <f t="shared" si="40"/>
        <v>0.23369479320713882</v>
      </c>
      <c r="J627" s="53" t="str" cm="1">
        <f t="array" ref="J627">LEFT(INDEX($J$292:$J$645, MATCH(MIN(IF(ABS($B$292:$B$645-B627)&lt;&gt;0, ABS($B$292:$B$645-B627))), IF(ABS($B$292:$B$645-B627)&lt;&gt;0, ABS($B$292:$B$645-B627)), 0)),5)</f>
        <v>0.491</v>
      </c>
      <c r="K627" s="75">
        <v>-5.5182000000000002</v>
      </c>
      <c r="L627" s="81">
        <v>1088.0999999999999</v>
      </c>
      <c r="M627" s="13">
        <v>9.5999999999999992E-3</v>
      </c>
      <c r="N627" s="12">
        <v>-9.0461999999999999E-6</v>
      </c>
      <c r="O627" s="93">
        <v>0.24709999999999999</v>
      </c>
      <c r="P627" s="94">
        <v>0.26079999999999998</v>
      </c>
      <c r="Q627" s="95">
        <v>0.28570000000000001</v>
      </c>
      <c r="R627" s="111">
        <v>25.72</v>
      </c>
      <c r="S627" s="118">
        <v>-3593.7</v>
      </c>
      <c r="T627" s="125">
        <v>-5.6986999999999997</v>
      </c>
      <c r="U627" s="14">
        <v>0</v>
      </c>
      <c r="V627" s="30">
        <v>0</v>
      </c>
      <c r="W627" s="138">
        <v>231.67500000000001</v>
      </c>
      <c r="X627" s="13">
        <v>0.87829000000000002</v>
      </c>
      <c r="Y627" s="14">
        <v>-2.3595000000000001E-3</v>
      </c>
      <c r="Z627" s="30">
        <v>3.1257E-6</v>
      </c>
      <c r="AA627" s="77">
        <v>0.16170000000000001</v>
      </c>
      <c r="AB627" s="5">
        <v>-6.7345E-5</v>
      </c>
      <c r="AC627" s="15">
        <v>-2.001E-7</v>
      </c>
      <c r="AD627" s="146">
        <v>68.36</v>
      </c>
      <c r="AE627" s="147">
        <v>0.38</v>
      </c>
      <c r="AF627" s="150">
        <v>52.03</v>
      </c>
      <c r="AG627" s="152">
        <v>1.2222</v>
      </c>
    </row>
    <row r="628" spans="1:33" x14ac:dyDescent="0.2">
      <c r="A628" s="27">
        <v>12</v>
      </c>
      <c r="B628" s="69">
        <v>7.1531649000000002</v>
      </c>
      <c r="C628" s="28">
        <f t="shared" si="38"/>
        <v>0.37322168316760268</v>
      </c>
      <c r="D628" s="52">
        <v>170.33799999999999</v>
      </c>
      <c r="E628" s="47">
        <v>634.33000000000004</v>
      </c>
      <c r="F628" s="45" t="str" cm="1">
        <f t="array" aca="1" ref="F628" ca="1">LEFT(INDEX($F$292:$F$645, MATCH(MIN(IF(ABS($B$292:$B$645-B628)&lt;&gt;0, ABS($B$292:$B$645-B628))), IF(ABS($B$292:$B$645-B628)&lt;&gt;0, ABS($B$292:$B$645-B628)), 0)),5)</f>
        <v>18.34</v>
      </c>
      <c r="G628" s="36" t="str" cm="1">
        <f t="array" aca="1" ref="G628" ca="1">LEFT(INDEX($G$292:$G$645, MATCH(MIN(IF(ABS($B$292:$B$645-B628)&lt;&gt;0, ABS($B$292:$B$645-B628))), IF(ABS($B$292:$B$645-B628)&lt;&gt;0, ABS($B$292:$B$645-B628)), 0)),8)</f>
        <v>0.000695</v>
      </c>
      <c r="H628" s="46">
        <f t="shared" ca="1" si="39"/>
        <v>245.09064748201439</v>
      </c>
      <c r="I628" s="54">
        <f t="shared" ca="1" si="40"/>
        <v>0.24169010164211871</v>
      </c>
      <c r="J628" s="53" t="str" cm="1">
        <f t="array" aca="1" ref="J628" ca="1">LEFT(INDEX($J$292:$J$645, MATCH(MIN(IF(ABS($B$292:$B$645-B628)&lt;&gt;0, ABS($B$292:$B$645-B628))), IF(ABS($B$292:$B$645-B628)&lt;&gt;0, ABS($B$292:$B$645-B628)), 0)),5)</f>
        <v>0.519</v>
      </c>
      <c r="K628" s="75">
        <v>-5.0728999999999997</v>
      </c>
      <c r="L628" s="81">
        <v>1009.9</v>
      </c>
      <c r="M628" s="13">
        <v>8.6999999999999994E-3</v>
      </c>
      <c r="N628" s="12">
        <v>-8.4788999999999994E-6</v>
      </c>
      <c r="O628" s="93">
        <v>0.2467</v>
      </c>
      <c r="P628" s="94">
        <v>0.26169999999999999</v>
      </c>
      <c r="Q628" s="95">
        <v>0.28570000000000001</v>
      </c>
      <c r="R628" s="111">
        <v>25.844999999999999</v>
      </c>
      <c r="S628" s="118">
        <v>-3507.1</v>
      </c>
      <c r="T628" s="125">
        <v>-5.7742000000000004</v>
      </c>
      <c r="U628" s="14">
        <v>0</v>
      </c>
      <c r="V628" s="30">
        <v>0</v>
      </c>
      <c r="W628" s="138">
        <v>211.27500000000001</v>
      </c>
      <c r="X628" s="13">
        <v>0.99507999999999996</v>
      </c>
      <c r="Y628" s="14">
        <v>-2.6570999999999999E-3</v>
      </c>
      <c r="Z628" s="30">
        <v>3.4047000000000002E-6</v>
      </c>
      <c r="AA628" s="77">
        <v>0.15790000000000001</v>
      </c>
      <c r="AB628" s="5">
        <v>-5.8394999999999999E-5</v>
      </c>
      <c r="AC628" s="15">
        <v>-2.1345E-7</v>
      </c>
      <c r="AD628" s="146">
        <v>66.384</v>
      </c>
      <c r="AE628" s="147">
        <v>0.38</v>
      </c>
      <c r="AF628" s="150">
        <v>51.268999999999998</v>
      </c>
      <c r="AG628" s="152">
        <v>1.2222</v>
      </c>
    </row>
    <row r="629" spans="1:33" x14ac:dyDescent="0.2">
      <c r="A629" s="27">
        <v>12</v>
      </c>
      <c r="B629" s="69">
        <v>8.2344368049999996</v>
      </c>
      <c r="C629" s="28">
        <f t="shared" si="38"/>
        <v>0.44120504610050215</v>
      </c>
      <c r="D629" s="52">
        <v>170.33799999999999</v>
      </c>
      <c r="E629" s="47">
        <v>635.70000000000005</v>
      </c>
      <c r="F629" s="45" t="str" cm="1">
        <f t="array" aca="1" ref="F629" ca="1">LEFT(INDEX($F$292:$F$645, MATCH(MIN(IF(ABS($B$292:$B$645-B629)&lt;&gt;0, ABS($B$292:$B$645-B629))), IF(ABS($B$292:$B$645-B629)&lt;&gt;0, ABS($B$292:$B$645-B629)), 0)),5)</f>
        <v>18.34</v>
      </c>
      <c r="G629" s="36" t="str" cm="1">
        <f t="array" aca="1" ref="G629" ca="1">LEFT(INDEX($G$292:$G$645, MATCH(MIN(IF(ABS($B$292:$B$645-B629)&lt;&gt;0, ABS($B$292:$B$645-B629))), IF(ABS($B$292:$B$645-B629)&lt;&gt;0, ABS($B$292:$B$645-B629)), 0)),8)</f>
        <v>0.000695</v>
      </c>
      <c r="H629" s="46">
        <f t="shared" ca="1" si="39"/>
        <v>245.09064748201439</v>
      </c>
      <c r="I629" s="54">
        <f t="shared" ca="1" si="40"/>
        <v>0.24116923419009781</v>
      </c>
      <c r="J629" s="53" t="str" cm="1">
        <f t="array" aca="1" ref="J629" ca="1">LEFT(INDEX($J$292:$J$645, MATCH(MIN(IF(ABS($B$292:$B$645-B629)&lt;&gt;0, ABS($B$292:$B$645-B629))), IF(ABS($B$292:$B$645-B629)&lt;&gt;0, ABS($B$292:$B$645-B629)), 0)),5)</f>
        <v>0.519</v>
      </c>
      <c r="K629" s="75">
        <v>-5.0955000000000004</v>
      </c>
      <c r="L629" s="81">
        <v>1015.2</v>
      </c>
      <c r="M629" s="13">
        <v>8.6999999999999994E-3</v>
      </c>
      <c r="N629" s="12">
        <v>-8.4780000000000008E-6</v>
      </c>
      <c r="O629" s="93">
        <v>0.2467</v>
      </c>
      <c r="P629" s="94">
        <v>0.26679999999999998</v>
      </c>
      <c r="Q629" s="95">
        <v>0.28570000000000001</v>
      </c>
      <c r="R629" s="111">
        <v>25.798999999999999</v>
      </c>
      <c r="S629" s="118">
        <v>-3510.8</v>
      </c>
      <c r="T629" s="125">
        <v>-5.7579000000000002</v>
      </c>
      <c r="U629" s="14">
        <v>0</v>
      </c>
      <c r="V629" s="30">
        <v>0</v>
      </c>
      <c r="W629" s="138">
        <v>214.73099999999999</v>
      </c>
      <c r="X629" s="13">
        <v>0.96887999999999996</v>
      </c>
      <c r="Y629" s="14">
        <v>-2.5761999999999998E-3</v>
      </c>
      <c r="Z629" s="30">
        <v>3.3015000000000001E-6</v>
      </c>
      <c r="AA629" s="77">
        <v>0.15790000000000001</v>
      </c>
      <c r="AB629" s="5">
        <v>-5.8347999999999998E-5</v>
      </c>
      <c r="AC629" s="15">
        <v>-2.125E-7</v>
      </c>
      <c r="AD629" s="146">
        <v>66.540999999999997</v>
      </c>
      <c r="AE629" s="147">
        <v>0.38</v>
      </c>
      <c r="AF629" s="150">
        <v>51.308</v>
      </c>
      <c r="AG629" s="152">
        <v>1.2222</v>
      </c>
    </row>
    <row r="630" spans="1:33" x14ac:dyDescent="0.2">
      <c r="A630" s="27">
        <v>12</v>
      </c>
      <c r="B630" s="69">
        <v>8.2306604537499997</v>
      </c>
      <c r="C630" s="28">
        <f t="shared" si="38"/>
        <v>0.44096761363194015</v>
      </c>
      <c r="D630" s="52">
        <v>170.33799999999999</v>
      </c>
      <c r="E630" s="47">
        <v>634.33000000000004</v>
      </c>
      <c r="F630" s="45" t="str" cm="1">
        <f t="array" aca="1" ref="F630" ca="1">LEFT(INDEX($F$292:$F$645, MATCH(MIN(IF(ABS($B$292:$B$645-B630)&lt;&gt;0, ABS($B$292:$B$645-B630))), IF(ABS($B$292:$B$645-B630)&lt;&gt;0, ABS($B$292:$B$645-B630)), 0)),5)</f>
        <v>18.34</v>
      </c>
      <c r="G630" s="36" t="str" cm="1">
        <f t="array" aca="1" ref="G630" ca="1">LEFT(INDEX($G$292:$G$645, MATCH(MIN(IF(ABS($B$292:$B$645-B630)&lt;&gt;0, ABS($B$292:$B$645-B630))), IF(ABS($B$292:$B$645-B630)&lt;&gt;0, ABS($B$292:$B$645-B630)), 0)),8)</f>
        <v>0.000695</v>
      </c>
      <c r="H630" s="46">
        <f t="shared" ca="1" si="39"/>
        <v>245.09064748201439</v>
      </c>
      <c r="I630" s="54">
        <f t="shared" ca="1" si="40"/>
        <v>0.24169010164211871</v>
      </c>
      <c r="J630" s="53" t="str" cm="1">
        <f t="array" aca="1" ref="J630" ca="1">LEFT(INDEX($J$292:$J$645, MATCH(MIN(IF(ABS($B$292:$B$645-B630)&lt;&gt;0, ABS($B$292:$B$645-B630))), IF(ABS($B$292:$B$645-B630)&lt;&gt;0, ABS($B$292:$B$645-B630)), 0)),5)</f>
        <v>0.519</v>
      </c>
      <c r="K630" s="75">
        <v>-5.0728999999999997</v>
      </c>
      <c r="L630" s="81">
        <v>1009.9</v>
      </c>
      <c r="M630" s="13">
        <v>8.6999999999999994E-3</v>
      </c>
      <c r="N630" s="12">
        <v>-8.4788999999999994E-6</v>
      </c>
      <c r="O630" s="93">
        <v>0.2467</v>
      </c>
      <c r="P630" s="94">
        <v>0.26650000000000001</v>
      </c>
      <c r="Q630" s="95">
        <v>0.28570000000000001</v>
      </c>
      <c r="R630" s="111">
        <v>25.844999999999999</v>
      </c>
      <c r="S630" s="118">
        <v>-3507.1</v>
      </c>
      <c r="T630" s="125">
        <v>-5.7742000000000004</v>
      </c>
      <c r="U630" s="14">
        <v>0</v>
      </c>
      <c r="V630" s="30">
        <v>0</v>
      </c>
      <c r="W630" s="138">
        <v>213.85400000000001</v>
      </c>
      <c r="X630" s="13">
        <v>0.97557000000000005</v>
      </c>
      <c r="Y630" s="14">
        <v>-2.5991999999999999E-3</v>
      </c>
      <c r="Z630" s="30">
        <v>3.3328999999999999E-6</v>
      </c>
      <c r="AA630" s="77">
        <v>0.15790000000000001</v>
      </c>
      <c r="AB630" s="5">
        <v>-5.8394999999999999E-5</v>
      </c>
      <c r="AC630" s="15">
        <v>-2.1345E-7</v>
      </c>
      <c r="AD630" s="146">
        <v>66.384</v>
      </c>
      <c r="AE630" s="147">
        <v>0.38</v>
      </c>
      <c r="AF630" s="150">
        <v>51.268999999999998</v>
      </c>
      <c r="AG630" s="152">
        <v>1.2222</v>
      </c>
    </row>
    <row r="631" spans="1:33" x14ac:dyDescent="0.2">
      <c r="A631" s="27">
        <v>12</v>
      </c>
      <c r="B631" s="69">
        <v>8.2300813174999998</v>
      </c>
      <c r="C631" s="28">
        <f t="shared" si="38"/>
        <v>0.44093120130152696</v>
      </c>
      <c r="D631" s="52">
        <v>170.33799999999999</v>
      </c>
      <c r="E631" s="47">
        <v>641.17999999999995</v>
      </c>
      <c r="F631" s="45" t="str" cm="1">
        <f t="array" aca="1" ref="F631" ca="1">LEFT(INDEX($F$292:$F$645, MATCH(MIN(IF(ABS($B$292:$B$645-B631)&lt;&gt;0, ABS($B$292:$B$645-B631))), IF(ABS($B$292:$B$645-B631)&lt;&gt;0, ABS($B$292:$B$645-B631)), 0)),5)</f>
        <v>18.34</v>
      </c>
      <c r="G631" s="36" t="str" cm="1">
        <f t="array" aca="1" ref="G631" ca="1">LEFT(INDEX($G$292:$G$645, MATCH(MIN(IF(ABS($B$292:$B$645-B631)&lt;&gt;0, ABS($B$292:$B$645-B631))), IF(ABS($B$292:$B$645-B631)&lt;&gt;0, ABS($B$292:$B$645-B631)), 0)),8)</f>
        <v>0.000695</v>
      </c>
      <c r="H631" s="46">
        <f t="shared" ca="1" si="39"/>
        <v>245.09064748201439</v>
      </c>
      <c r="I631" s="54">
        <f t="shared" ca="1" si="40"/>
        <v>0.23910802298051279</v>
      </c>
      <c r="J631" s="53" t="str" cm="1">
        <f t="array" aca="1" ref="J631" ca="1">LEFT(INDEX($J$292:$J$645, MATCH(MIN(IF(ABS($B$292:$B$645-B631)&lt;&gt;0, ABS($B$292:$B$645-B631))), IF(ABS($B$292:$B$645-B631)&lt;&gt;0, ABS($B$292:$B$645-B631)), 0)),5)</f>
        <v>0.519</v>
      </c>
      <c r="K631" s="75">
        <v>-5.1786000000000003</v>
      </c>
      <c r="L631" s="81">
        <v>1035.2</v>
      </c>
      <c r="M631" s="13">
        <v>8.8000000000000005E-3</v>
      </c>
      <c r="N631" s="12">
        <v>-8.4641999999999994E-6</v>
      </c>
      <c r="O631" s="93">
        <v>0.2467</v>
      </c>
      <c r="P631" s="94">
        <v>0.26719999999999999</v>
      </c>
      <c r="Q631" s="95">
        <v>0.28570000000000001</v>
      </c>
      <c r="R631" s="111">
        <v>25.616</v>
      </c>
      <c r="S631" s="118">
        <v>-3525.8</v>
      </c>
      <c r="T631" s="125">
        <v>-5.6935000000000002</v>
      </c>
      <c r="U631" s="14">
        <v>0</v>
      </c>
      <c r="V631" s="30">
        <v>0</v>
      </c>
      <c r="W631" s="138">
        <v>217.71100000000001</v>
      </c>
      <c r="X631" s="13">
        <v>0.94625999999999999</v>
      </c>
      <c r="Y631" s="14">
        <v>-2.4970000000000001E-3</v>
      </c>
      <c r="Z631" s="30">
        <v>3.1920999999999999E-6</v>
      </c>
      <c r="AA631" s="77">
        <v>0.158</v>
      </c>
      <c r="AB631" s="5">
        <v>-5.8156999999999999E-5</v>
      </c>
      <c r="AC631" s="15">
        <v>-2.0875000000000001E-7</v>
      </c>
      <c r="AD631" s="146">
        <v>67.168999999999997</v>
      </c>
      <c r="AE631" s="147">
        <v>0.38</v>
      </c>
      <c r="AF631" s="150">
        <v>51.462000000000003</v>
      </c>
      <c r="AG631" s="152">
        <v>1.2222</v>
      </c>
    </row>
    <row r="632" spans="1:33" x14ac:dyDescent="0.2">
      <c r="A632" s="27">
        <v>12</v>
      </c>
      <c r="B632" s="69">
        <v>8.2326993962500001</v>
      </c>
      <c r="C632" s="28">
        <f t="shared" si="38"/>
        <v>0.4410958091092626</v>
      </c>
      <c r="D632" s="52">
        <v>170.33799999999999</v>
      </c>
      <c r="E632" s="47">
        <v>635.70000000000005</v>
      </c>
      <c r="F632" s="45" t="str" cm="1">
        <f t="array" aca="1" ref="F632" ca="1">LEFT(INDEX($F$292:$F$645, MATCH(MIN(IF(ABS($B$292:$B$645-B632)&lt;&gt;0, ABS($B$292:$B$645-B632))), IF(ABS($B$292:$B$645-B632)&lt;&gt;0, ABS($B$292:$B$645-B632)), 0)),5)</f>
        <v>18.34</v>
      </c>
      <c r="G632" s="36" t="str" cm="1">
        <f t="array" aca="1" ref="G632" ca="1">LEFT(INDEX($G$292:$G$645, MATCH(MIN(IF(ABS($B$292:$B$645-B632)&lt;&gt;0, ABS($B$292:$B$645-B632))), IF(ABS($B$292:$B$645-B632)&lt;&gt;0, ABS($B$292:$B$645-B632)), 0)),8)</f>
        <v>0.000695</v>
      </c>
      <c r="H632" s="46">
        <f t="shared" ca="1" si="39"/>
        <v>245.09064748201439</v>
      </c>
      <c r="I632" s="54">
        <f t="shared" ca="1" si="40"/>
        <v>0.24116923419009781</v>
      </c>
      <c r="J632" s="53" t="str" cm="1">
        <f t="array" aca="1" ref="J632" ca="1">LEFT(INDEX($J$292:$J$645, MATCH(MIN(IF(ABS($B$292:$B$645-B632)&lt;&gt;0, ABS($B$292:$B$645-B632))), IF(ABS($B$292:$B$645-B632)&lt;&gt;0, ABS($B$292:$B$645-B632)), 0)),5)</f>
        <v>0.519</v>
      </c>
      <c r="K632" s="75">
        <v>-5.0955000000000004</v>
      </c>
      <c r="L632" s="81">
        <v>1015.2</v>
      </c>
      <c r="M632" s="13">
        <v>8.6999999999999994E-3</v>
      </c>
      <c r="N632" s="12">
        <v>-8.4780000000000008E-6</v>
      </c>
      <c r="O632" s="93">
        <v>0.2467</v>
      </c>
      <c r="P632" s="94">
        <v>0.26679999999999998</v>
      </c>
      <c r="Q632" s="95">
        <v>0.28570000000000001</v>
      </c>
      <c r="R632" s="111">
        <v>25.798999999999999</v>
      </c>
      <c r="S632" s="118">
        <v>-3510.8</v>
      </c>
      <c r="T632" s="125">
        <v>-5.7579000000000002</v>
      </c>
      <c r="U632" s="14">
        <v>0</v>
      </c>
      <c r="V632" s="30">
        <v>0</v>
      </c>
      <c r="W632" s="138">
        <v>214.73099999999999</v>
      </c>
      <c r="X632" s="13">
        <v>0.96887999999999996</v>
      </c>
      <c r="Y632" s="14">
        <v>-2.5761999999999998E-3</v>
      </c>
      <c r="Z632" s="30">
        <v>3.3015000000000001E-6</v>
      </c>
      <c r="AA632" s="77">
        <v>0.15790000000000001</v>
      </c>
      <c r="AB632" s="5">
        <v>-5.8347999999999998E-5</v>
      </c>
      <c r="AC632" s="15">
        <v>-2.125E-7</v>
      </c>
      <c r="AD632" s="146">
        <v>66.540999999999997</v>
      </c>
      <c r="AE632" s="147">
        <v>0.38</v>
      </c>
      <c r="AF632" s="150">
        <v>51.308</v>
      </c>
      <c r="AG632" s="152">
        <v>1.2222</v>
      </c>
    </row>
    <row r="633" spans="1:33" x14ac:dyDescent="0.2">
      <c r="A633" s="27">
        <v>12</v>
      </c>
      <c r="B633" s="69">
        <v>8.9114953200000002</v>
      </c>
      <c r="C633" s="28">
        <f t="shared" si="38"/>
        <v>0.48377409329317383</v>
      </c>
      <c r="D633" s="52">
        <v>170.33799999999999</v>
      </c>
      <c r="E633" s="47">
        <v>641.17999999999995</v>
      </c>
      <c r="F633" s="45" t="str" cm="1">
        <f t="array" ref="F633">LEFT(INDEX($F$292:$F$645, MATCH(MIN(IF(ABS($B$292:$B$645-B633)&lt;&gt;0, ABS($B$292:$B$645-B633))), IF(ABS($B$292:$B$645-B633)&lt;&gt;0, ABS($B$292:$B$645-B633)), 0)),5)</f>
        <v>18.34</v>
      </c>
      <c r="G633" s="36" t="str" cm="1">
        <f t="array" ref="G633">LEFT(INDEX($G$292:$G$645, MATCH(MIN(IF(ABS($B$292:$B$645-B633)&lt;&gt;0, ABS($B$292:$B$645-B633))), IF(ABS($B$292:$B$645-B633)&lt;&gt;0, ABS($B$292:$B$645-B633)), 0)),8)</f>
        <v>0.000684</v>
      </c>
      <c r="H633" s="46">
        <f t="shared" si="39"/>
        <v>249.03216374269002</v>
      </c>
      <c r="I633" s="54">
        <f t="shared" si="40"/>
        <v>0.23532357945132484</v>
      </c>
      <c r="J633" s="53" t="str" cm="1">
        <f t="array" ref="J633">LEFT(INDEX($J$292:$J$645, MATCH(MIN(IF(ABS($B$292:$B$645-B633)&lt;&gt;0, ABS($B$292:$B$645-B633))), IF(ABS($B$292:$B$645-B633)&lt;&gt;0, ABS($B$292:$B$645-B633)), 0)),5)</f>
        <v>0.432</v>
      </c>
      <c r="K633" s="75">
        <v>-5.1786000000000003</v>
      </c>
      <c r="L633" s="81">
        <v>1035.2</v>
      </c>
      <c r="M633" s="13">
        <v>8.8000000000000005E-3</v>
      </c>
      <c r="N633" s="12">
        <v>-8.4641999999999994E-6</v>
      </c>
      <c r="O633" s="93">
        <v>0.2467</v>
      </c>
      <c r="P633" s="94">
        <v>0.27029999999999998</v>
      </c>
      <c r="Q633" s="95">
        <v>0.28570000000000001</v>
      </c>
      <c r="R633" s="111">
        <v>25.616</v>
      </c>
      <c r="S633" s="118">
        <v>-3525.8</v>
      </c>
      <c r="T633" s="125">
        <v>-5.6935000000000002</v>
      </c>
      <c r="U633" s="14">
        <v>0</v>
      </c>
      <c r="V633" s="30">
        <v>0</v>
      </c>
      <c r="W633" s="138">
        <v>219.29400000000001</v>
      </c>
      <c r="X633" s="13">
        <v>0.93440000000000001</v>
      </c>
      <c r="Y633" s="14">
        <v>-2.4621000000000001E-3</v>
      </c>
      <c r="Z633" s="30">
        <v>3.1489999999999998E-6</v>
      </c>
      <c r="AA633" s="77">
        <v>0.158</v>
      </c>
      <c r="AB633" s="5">
        <v>-5.8156999999999999E-5</v>
      </c>
      <c r="AC633" s="15">
        <v>-2.0875000000000001E-7</v>
      </c>
      <c r="AD633" s="146">
        <v>67.168999999999997</v>
      </c>
      <c r="AE633" s="147">
        <v>0.38</v>
      </c>
      <c r="AF633" s="150">
        <v>51.462000000000003</v>
      </c>
      <c r="AG633" s="152">
        <v>1.2222</v>
      </c>
    </row>
    <row r="634" spans="1:33" x14ac:dyDescent="0.2">
      <c r="A634" s="27">
        <v>12</v>
      </c>
      <c r="B634" s="69">
        <v>7.1460681599999996</v>
      </c>
      <c r="C634" s="28">
        <f t="shared" si="38"/>
        <v>0.37277548619454765</v>
      </c>
      <c r="D634" s="52">
        <v>170.33799999999999</v>
      </c>
      <c r="E634" s="47">
        <v>634.33000000000004</v>
      </c>
      <c r="F634" s="45" t="str" cm="1">
        <f t="array" aca="1" ref="F634" ca="1">LEFT(INDEX($F$292:$F$645, MATCH(MIN(IF(ABS($B$292:$B$645-B634)&lt;&gt;0, ABS($B$292:$B$645-B634))), IF(ABS($B$292:$B$645-B634)&lt;&gt;0, ABS($B$292:$B$645-B634)), 0)),5)</f>
        <v>18.34</v>
      </c>
      <c r="G634" s="36" t="str" cm="1">
        <f t="array" aca="1" ref="G634" ca="1">LEFT(INDEX($G$292:$G$645, MATCH(MIN(IF(ABS($B$292:$B$645-B634)&lt;&gt;0, ABS($B$292:$B$645-B634))), IF(ABS($B$292:$B$645-B634)&lt;&gt;0, ABS($B$292:$B$645-B634)), 0)),8)</f>
        <v>0.000695</v>
      </c>
      <c r="H634" s="46">
        <f t="shared" ca="1" si="39"/>
        <v>245.09064748201439</v>
      </c>
      <c r="I634" s="54">
        <f t="shared" ca="1" si="40"/>
        <v>0.24169010164211871</v>
      </c>
      <c r="J634" s="53" t="str" cm="1">
        <f t="array" aca="1" ref="J634" ca="1">LEFT(INDEX($J$292:$J$645, MATCH(MIN(IF(ABS($B$292:$B$645-B634)&lt;&gt;0, ABS($B$292:$B$645-B634))), IF(ABS($B$292:$B$645-B634)&lt;&gt;0, ABS($B$292:$B$645-B634)), 0)),5)</f>
        <v>0.519</v>
      </c>
      <c r="K634" s="75">
        <v>-5.0728999999999997</v>
      </c>
      <c r="L634" s="81">
        <v>1009.9</v>
      </c>
      <c r="M634" s="13">
        <v>8.6999999999999994E-3</v>
      </c>
      <c r="N634" s="12">
        <v>-8.4788999999999994E-6</v>
      </c>
      <c r="O634" s="93">
        <v>0.2467</v>
      </c>
      <c r="P634" s="94">
        <v>0.26169999999999999</v>
      </c>
      <c r="Q634" s="95">
        <v>0.28570000000000001</v>
      </c>
      <c r="R634" s="111">
        <v>25.844999999999999</v>
      </c>
      <c r="S634" s="118">
        <v>-3507.1</v>
      </c>
      <c r="T634" s="125">
        <v>-5.7742000000000004</v>
      </c>
      <c r="U634" s="14">
        <v>0</v>
      </c>
      <c r="V634" s="30">
        <v>0</v>
      </c>
      <c r="W634" s="138">
        <v>211.27500000000001</v>
      </c>
      <c r="X634" s="13">
        <v>0.99507999999999996</v>
      </c>
      <c r="Y634" s="14">
        <v>-2.6570999999999999E-3</v>
      </c>
      <c r="Z634" s="30">
        <v>3.4047000000000002E-6</v>
      </c>
      <c r="AA634" s="77">
        <v>0.15790000000000001</v>
      </c>
      <c r="AB634" s="5">
        <v>-5.8394999999999999E-5</v>
      </c>
      <c r="AC634" s="15">
        <v>-2.1345E-7</v>
      </c>
      <c r="AD634" s="146">
        <v>66.384</v>
      </c>
      <c r="AE634" s="147">
        <v>0.38</v>
      </c>
      <c r="AF634" s="150">
        <v>51.268999999999998</v>
      </c>
      <c r="AG634" s="152">
        <v>1.2222</v>
      </c>
    </row>
    <row r="635" spans="1:33" x14ac:dyDescent="0.2">
      <c r="A635" s="27">
        <v>12</v>
      </c>
      <c r="B635" s="69">
        <v>7.3458816899999997</v>
      </c>
      <c r="C635" s="28">
        <f t="shared" si="38"/>
        <v>0.38533846472573752</v>
      </c>
      <c r="D635" s="52">
        <v>170.33799999999999</v>
      </c>
      <c r="E635" s="47">
        <v>650.77</v>
      </c>
      <c r="F635" s="45" t="str" cm="1">
        <f t="array" ref="F635">LEFT(INDEX($F$292:$F$645, MATCH(MIN(IF(ABS($B$292:$B$645-B635)&lt;&gt;0, ABS($B$292:$B$645-B635))), IF(ABS($B$292:$B$645-B635)&lt;&gt;0, ABS($B$292:$B$645-B635)), 0)),5)</f>
        <v>18.29</v>
      </c>
      <c r="G635" s="36" t="str" cm="1">
        <f t="array" ref="G635">LEFT(INDEX($G$292:$G$645, MATCH(MIN(IF(ABS($B$292:$B$645-B635)&lt;&gt;0, ABS($B$292:$B$645-B635))), IF(ABS($B$292:$B$645-B635)&lt;&gt;0, ABS($B$292:$B$645-B635)), 0)),8)</f>
        <v>0.000683</v>
      </c>
      <c r="H635" s="46">
        <f t="shared" si="39"/>
        <v>249.39677891654466</v>
      </c>
      <c r="I635" s="54">
        <f t="shared" si="40"/>
        <v>0.23088560928261995</v>
      </c>
      <c r="J635" s="53" t="str" cm="1">
        <f t="array" ref="J635">LEFT(INDEX($J$292:$J$645, MATCH(MIN(IF(ABS($B$292:$B$645-B635)&lt;&gt;0, ABS($B$292:$B$645-B635))), IF(ABS($B$292:$B$645-B635)&lt;&gt;0, ABS($B$292:$B$645-B635)), 0)),5)</f>
        <v>0.462</v>
      </c>
      <c r="K635" s="75">
        <v>-5.3000999999999996</v>
      </c>
      <c r="L635" s="81">
        <v>1066.9000000000001</v>
      </c>
      <c r="M635" s="13">
        <v>8.8999999999999999E-3</v>
      </c>
      <c r="N635" s="12">
        <v>-8.4060000000000005E-6</v>
      </c>
      <c r="O635" s="93">
        <v>0.2467</v>
      </c>
      <c r="P635" s="94">
        <v>0.26079999999999998</v>
      </c>
      <c r="Q635" s="95">
        <v>0.28570000000000001</v>
      </c>
      <c r="R635" s="111">
        <v>25.305</v>
      </c>
      <c r="S635" s="118">
        <v>-3552.3</v>
      </c>
      <c r="T635" s="125">
        <v>-5.5842999999999998</v>
      </c>
      <c r="U635" s="14">
        <v>0</v>
      </c>
      <c r="V635" s="30">
        <v>0</v>
      </c>
      <c r="W635" s="138">
        <v>219.16800000000001</v>
      </c>
      <c r="X635" s="13">
        <v>0.93525000000000003</v>
      </c>
      <c r="Y635" s="14">
        <v>-2.4434999999999999E-3</v>
      </c>
      <c r="Z635" s="30">
        <v>3.1074000000000001E-6</v>
      </c>
      <c r="AA635" s="77">
        <v>0.15820000000000001</v>
      </c>
      <c r="AB635" s="5">
        <v>-5.7812999999999997E-5</v>
      </c>
      <c r="AC635" s="15">
        <v>-2.0244E-7</v>
      </c>
      <c r="AD635" s="146">
        <v>68.27</v>
      </c>
      <c r="AE635" s="147">
        <v>0.38</v>
      </c>
      <c r="AF635" s="150">
        <v>51.73</v>
      </c>
      <c r="AG635" s="152">
        <v>1.2222</v>
      </c>
    </row>
    <row r="636" spans="1:33" x14ac:dyDescent="0.2">
      <c r="A636" s="27">
        <v>12</v>
      </c>
      <c r="B636" s="69">
        <v>7.7453470062500003</v>
      </c>
      <c r="C636" s="28">
        <f t="shared" si="38"/>
        <v>0.41045425239038535</v>
      </c>
      <c r="D636" s="52">
        <v>170.33799999999999</v>
      </c>
      <c r="E636" s="47">
        <v>648.03</v>
      </c>
      <c r="F636" s="45" t="str" cm="1">
        <f t="array" ref="F636">LEFT(INDEX($F$292:$F$645, MATCH(MIN(IF(ABS($B$292:$B$645-B636)&lt;&gt;0, ABS($B$292:$B$645-B636))), IF(ABS($B$292:$B$645-B636)&lt;&gt;0, ABS($B$292:$B$645-B636)), 0)),5)</f>
        <v>18.34</v>
      </c>
      <c r="G636" s="36" t="str" cm="1">
        <f t="array" ref="G636">LEFT(INDEX($G$292:$G$645, MATCH(MIN(IF(ABS($B$292:$B$645-B636)&lt;&gt;0, ABS($B$292:$B$645-B636))), IF(ABS($B$292:$B$645-B636)&lt;&gt;0, ABS($B$292:$B$645-B636)), 0)),8)</f>
        <v>0.000684</v>
      </c>
      <c r="H636" s="46">
        <f t="shared" si="39"/>
        <v>249.03216374269002</v>
      </c>
      <c r="I636" s="54">
        <f t="shared" si="40"/>
        <v>0.2328360919596322</v>
      </c>
      <c r="J636" s="53" t="str" cm="1">
        <f t="array" ref="J636">LEFT(INDEX($J$292:$J$645, MATCH(MIN(IF(ABS($B$292:$B$645-B636)&lt;&gt;0, ABS($B$292:$B$645-B636))), IF(ABS($B$292:$B$645-B636)&lt;&gt;0, ABS($B$292:$B$645-B636)), 0)),5)</f>
        <v>0.432</v>
      </c>
      <c r="K636" s="75">
        <v>-5.2682000000000002</v>
      </c>
      <c r="L636" s="81">
        <v>1058.2</v>
      </c>
      <c r="M636" s="13">
        <v>8.8999999999999999E-3</v>
      </c>
      <c r="N636" s="12">
        <v>-8.4264999999999997E-6</v>
      </c>
      <c r="O636" s="93">
        <v>0.2467</v>
      </c>
      <c r="P636" s="94">
        <v>0.26329999999999998</v>
      </c>
      <c r="Q636" s="95">
        <v>0.28570000000000001</v>
      </c>
      <c r="R636" s="111">
        <v>25.393000000000001</v>
      </c>
      <c r="S636" s="118">
        <v>-3544.7</v>
      </c>
      <c r="T636" s="125">
        <v>-5.6151</v>
      </c>
      <c r="U636" s="14">
        <v>0</v>
      </c>
      <c r="V636" s="30">
        <v>0</v>
      </c>
      <c r="W636" s="138">
        <v>219.13900000000001</v>
      </c>
      <c r="X636" s="13">
        <v>0.93547000000000002</v>
      </c>
      <c r="Y636" s="14">
        <v>-2.4501000000000002E-3</v>
      </c>
      <c r="Z636" s="30">
        <v>3.1207999999999998E-6</v>
      </c>
      <c r="AA636" s="77">
        <v>0.15820000000000001</v>
      </c>
      <c r="AB636" s="5">
        <v>-5.7912999999999999E-5</v>
      </c>
      <c r="AC636" s="15">
        <v>-2.0421E-7</v>
      </c>
      <c r="AD636" s="146">
        <v>67.954999999999998</v>
      </c>
      <c r="AE636" s="147">
        <v>0.38</v>
      </c>
      <c r="AF636" s="150">
        <v>51.654000000000003</v>
      </c>
      <c r="AG636" s="152">
        <v>1.2222</v>
      </c>
    </row>
    <row r="637" spans="1:33" x14ac:dyDescent="0.2">
      <c r="A637" s="27">
        <v>12</v>
      </c>
      <c r="B637" s="69">
        <v>6.0852815512499996</v>
      </c>
      <c r="C637" s="28">
        <f t="shared" si="38"/>
        <v>0.30608010579713418</v>
      </c>
      <c r="D637" s="52">
        <v>170.33799999999999</v>
      </c>
      <c r="E637" s="47">
        <v>638.89</v>
      </c>
      <c r="F637" s="45" t="str" cm="1">
        <f t="array" ref="F637">LEFT(INDEX($F$292:$F$645, MATCH(MIN(IF(ABS($B$292:$B$645-B637)&lt;&gt;0, ABS($B$292:$B$645-B637))), IF(ABS($B$292:$B$645-B637)&lt;&gt;0, ABS($B$292:$B$645-B637)), 0)),5)</f>
        <v>18.17</v>
      </c>
      <c r="G637" s="36" t="str" cm="1">
        <f t="array" ref="G637">LEFT(INDEX($G$292:$G$645, MATCH(MIN(IF(ABS($B$292:$B$645-B637)&lt;&gt;0, ABS($B$292:$B$645-B637))), IF(ABS($B$292:$B$645-B637)&lt;&gt;0, ABS($B$292:$B$645-B637)), 0)),8)</f>
        <v>0.000689</v>
      </c>
      <c r="H637" s="46">
        <f t="shared" si="39"/>
        <v>247.22496371552973</v>
      </c>
      <c r="I637" s="54">
        <f t="shared" si="40"/>
        <v>0.23568830793264542</v>
      </c>
      <c r="J637" s="53" t="str" cm="1">
        <f t="array" ref="J637">LEFT(INDEX($J$292:$J$645, MATCH(MIN(IF(ABS($B$292:$B$645-B637)&lt;&gt;0, ABS($B$292:$B$645-B637))), IF(ABS($B$292:$B$645-B637)&lt;&gt;0, ABS($B$292:$B$645-B637)), 0)),5)</f>
        <v>0.491</v>
      </c>
      <c r="K637" s="75">
        <v>-5.4504999999999999</v>
      </c>
      <c r="L637" s="81">
        <v>1070</v>
      </c>
      <c r="M637" s="13">
        <v>9.4999999999999998E-3</v>
      </c>
      <c r="N637" s="12">
        <v>-9.0914000000000007E-6</v>
      </c>
      <c r="O637" s="93">
        <v>0.24709999999999999</v>
      </c>
      <c r="P637" s="94">
        <v>0.26279999999999998</v>
      </c>
      <c r="Q637" s="95">
        <v>0.28570000000000001</v>
      </c>
      <c r="R637" s="111">
        <v>25.901</v>
      </c>
      <c r="S637" s="118">
        <v>-3578.4</v>
      </c>
      <c r="T637" s="125">
        <v>-5.7622999999999998</v>
      </c>
      <c r="U637" s="14">
        <v>0</v>
      </c>
      <c r="V637" s="30">
        <v>0</v>
      </c>
      <c r="W637" s="138">
        <v>230.15199999999999</v>
      </c>
      <c r="X637" s="13">
        <v>0.88939999999999997</v>
      </c>
      <c r="Y637" s="14">
        <v>-2.405E-3</v>
      </c>
      <c r="Z637" s="30">
        <v>3.1953999999999999E-6</v>
      </c>
      <c r="AA637" s="77">
        <v>0.16159999999999999</v>
      </c>
      <c r="AB637" s="5">
        <v>-6.7725999999999995E-5</v>
      </c>
      <c r="AC637" s="15">
        <v>-2.0354000000000001E-7</v>
      </c>
      <c r="AD637" s="146">
        <v>67.727999999999994</v>
      </c>
      <c r="AE637" s="147">
        <v>0.38</v>
      </c>
      <c r="AF637" s="150">
        <v>51.875999999999998</v>
      </c>
      <c r="AG637" s="152">
        <v>1.2222</v>
      </c>
    </row>
    <row r="638" spans="1:33" x14ac:dyDescent="0.2">
      <c r="A638" s="27">
        <v>12</v>
      </c>
      <c r="B638" s="69">
        <v>5.0994412349999996</v>
      </c>
      <c r="C638" s="28">
        <f t="shared" si="38"/>
        <v>0.24409686207870226</v>
      </c>
      <c r="D638" s="52">
        <v>170.33799999999999</v>
      </c>
      <c r="E638" s="59">
        <v>641.61</v>
      </c>
      <c r="F638" s="45" t="str" cm="1">
        <f t="array" ref="F638">LEFT(INDEX($F$292:$F$645, MATCH(MIN(IF(ABS($B$292:$B$645-B638)&lt;&gt;0, ABS($B$292:$B$645-B638))), IF(ABS($B$292:$B$645-B638)&lt;&gt;0, ABS($B$292:$B$645-B638)), 0)),5)</f>
        <v>18.17</v>
      </c>
      <c r="G638" s="36" t="str" cm="1">
        <f t="array" ref="G638">LEFT(INDEX($G$292:$G$645, MATCH(MIN(IF(ABS($B$292:$B$645-B638)&lt;&gt;0, ABS($B$292:$B$645-B638))), IF(ABS($B$292:$B$645-B638)&lt;&gt;0, ABS($B$292:$B$645-B638)), 0)),8)</f>
        <v>0.000689</v>
      </c>
      <c r="H638" s="46">
        <f t="shared" si="39"/>
        <v>247.22496371552973</v>
      </c>
      <c r="I638" s="54">
        <f t="shared" si="40"/>
        <v>0.2346891461403155</v>
      </c>
      <c r="J638" s="53" t="str" cm="1">
        <f t="array" ref="J638">LEFT(INDEX($J$292:$J$645, MATCH(MIN(IF(ABS($B$292:$B$645-B638)&lt;&gt;0, ABS($B$292:$B$645-B638))), IF(ABS($B$292:$B$645-B638)&lt;&gt;0, ABS($B$292:$B$645-B638)), 0)),5)</f>
        <v>0.491</v>
      </c>
      <c r="K638" s="76">
        <v>-5.4855999999999998</v>
      </c>
      <c r="L638" s="82">
        <v>1079.2</v>
      </c>
      <c r="M638" s="85">
        <v>9.5999999999999992E-3</v>
      </c>
      <c r="N638" s="4">
        <v>-9.0704000000000004E-6</v>
      </c>
      <c r="O638" s="96">
        <v>0.24709999999999999</v>
      </c>
      <c r="P638" s="97">
        <v>0.25819999999999999</v>
      </c>
      <c r="Q638" s="98">
        <v>0.28570000000000001</v>
      </c>
      <c r="R638" s="113" t="str" cm="1">
        <f t="array" ref="R638">LEFT(INDEX($R$292:$R$645, MATCH(MIN(IF(ABS($B$292:$B$645-B638)&lt;&gt;0, ABS($B$292:$B$645-B638))), IF(ABS($B$292:$B$645-B638)&lt;&gt;0, ABS($B$292:$B$645-B638)), 0)),7)</f>
        <v>25.993</v>
      </c>
      <c r="S638" s="119" cm="1">
        <f t="array" ref="S638">INDEX($S$292:$S$645, MATCH(MIN(IF(ABS($B$292:$B$645-B638)&lt;&gt;0, ABS($B$292:$B$645-B638))), IF(ABS($B$292:$B$645-B638)&lt;&gt;0, ABS($B$292:$B$645-B638)), 0))</f>
        <v>-3570.7</v>
      </c>
      <c r="T638" s="126" cm="1">
        <f t="array" ref="T638">INDEX($T$292:$T$645, MATCH(MIN(IF(ABS($B$292:$B$645-B638)&lt;&gt;0, ABS($B$292:$B$645-B638))), IF(ABS($B$292:$B$645-B638)&lt;&gt;0, ABS($B$292:$B$645-B638)), 0))</f>
        <v>-5.7945000000000002</v>
      </c>
      <c r="U638" s="37" cm="1">
        <f t="array" ref="U638">INDEX($U$292:$U$645, MATCH(MIN(IF(ABS($B$292:$B$645-B638)&lt;&gt;0, ABS($B$292:$B$645-B638))), IF(ABS($B$292:$B$645-B638)&lt;&gt;0, ABS($B$292:$B$645-B638)), 0))</f>
        <v>0</v>
      </c>
      <c r="V638" s="133" cm="1">
        <f t="array" ref="V638">INDEX($V$292:$V$645, MATCH(MIN(IF(ABS($B$292:$B$645-B638)&lt;&gt;0, ABS($B$292:$B$645-B638))), IF(ABS($B$292:$B$645-B638)&lt;&gt;0, ABS($B$292:$B$645-B638)), 0))</f>
        <v>0</v>
      </c>
      <c r="W638" s="139">
        <v>229.21600000000001</v>
      </c>
      <c r="X638" s="7">
        <v>0.89676999999999996</v>
      </c>
      <c r="Y638" s="8">
        <v>-2.4215E-3</v>
      </c>
      <c r="Z638" s="33">
        <v>3.2107999999999998E-6</v>
      </c>
      <c r="AA638" s="141">
        <v>0.16170000000000001</v>
      </c>
      <c r="AB638" s="9">
        <v>-6.7535999999999998E-5</v>
      </c>
      <c r="AC638" s="10">
        <v>-2.0181000000000001E-7</v>
      </c>
      <c r="AD638" s="146">
        <v>68.043999999999997</v>
      </c>
      <c r="AE638" s="147">
        <v>0.38</v>
      </c>
      <c r="AF638" s="150">
        <v>51.953000000000003</v>
      </c>
      <c r="AG638" s="152">
        <v>1.2222</v>
      </c>
    </row>
    <row r="639" spans="1:33" x14ac:dyDescent="0.2">
      <c r="A639" s="27">
        <v>12</v>
      </c>
      <c r="B639" s="69">
        <v>6.66604625</v>
      </c>
      <c r="C639" s="28">
        <f t="shared" si="38"/>
        <v>0.34259482250360157</v>
      </c>
      <c r="D639" s="52">
        <v>170.33799999999999</v>
      </c>
      <c r="E639" s="59">
        <v>645.29</v>
      </c>
      <c r="F639" s="45" t="str" cm="1">
        <f t="array" aca="1" ref="F639" ca="1">LEFT(INDEX($F$292:$F$645, MATCH(MIN(IF(ABS($B$292:$B$645-B639)&lt;&gt;0, ABS($B$292:$B$645-B639))), IF(ABS($B$292:$B$645-B639)&lt;&gt;0, ABS($B$292:$B$645-B639)), 0)),5)</f>
        <v>18.34</v>
      </c>
      <c r="G639" s="36" t="str" cm="1">
        <f t="array" aca="1" ref="G639" ca="1">LEFT(INDEX($G$292:$G$645, MATCH(MIN(IF(ABS($B$292:$B$645-B639)&lt;&gt;0, ABS($B$292:$B$645-B639))), IF(ABS($B$292:$B$645-B639)&lt;&gt;0, ABS($B$292:$B$645-B639)), 0)),8)</f>
        <v>0.000695</v>
      </c>
      <c r="H639" s="46">
        <f t="shared" ca="1" si="39"/>
        <v>245.09064748201439</v>
      </c>
      <c r="I639" s="54">
        <f t="shared" ca="1" si="40"/>
        <v>0.23758508914541554</v>
      </c>
      <c r="J639" s="53" t="str" cm="1">
        <f t="array" aca="1" ref="J639" ca="1">LEFT(INDEX($J$292:$J$645, MATCH(MIN(IF(ABS($B$292:$B$645-B639)&lt;&gt;0, ABS($B$292:$B$645-B639))), IF(ABS($B$292:$B$645-B639)&lt;&gt;0, ABS($B$292:$B$645-B639)), 0)),5)</f>
        <v>0.519</v>
      </c>
      <c r="K639" s="76">
        <v>-5.2340999999999998</v>
      </c>
      <c r="L639" s="82">
        <v>1049.3</v>
      </c>
      <c r="M639" s="85">
        <v>8.8999999999999999E-3</v>
      </c>
      <c r="N639" s="4">
        <v>-8.4440000000000008E-6</v>
      </c>
      <c r="O639" s="96">
        <v>0.2467</v>
      </c>
      <c r="P639" s="97">
        <v>0.25800000000000001</v>
      </c>
      <c r="Q639" s="98">
        <v>0.28570000000000001</v>
      </c>
      <c r="R639" s="113" t="str" cm="1">
        <f t="array" ref="R639">LEFT(INDEX($R$292:$R$645, MATCH(MIN(IF(ABS($B$292:$B$645-B639)&lt;&gt;0, ABS($B$292:$B$645-B639))), IF(ABS($B$292:$B$645-B639)&lt;&gt;0, ABS($B$292:$B$645-B639)), 0)),7)</f>
        <v>25.393</v>
      </c>
      <c r="S639" s="119" cm="1">
        <f t="array" ref="S639">INDEX($S$292:$S$645, MATCH(MIN(IF(ABS($B$292:$B$645-B639)&lt;&gt;0, ABS($B$292:$B$645-B639))), IF(ABS($B$292:$B$645-B639)&lt;&gt;0, ABS($B$292:$B$645-B639)), 0))</f>
        <v>-3544.7</v>
      </c>
      <c r="T639" s="126" cm="1">
        <f t="array" ref="T639">INDEX($T$292:$T$645, MATCH(MIN(IF(ABS($B$292:$B$645-B639)&lt;&gt;0, ABS($B$292:$B$645-B639))), IF(ABS($B$292:$B$645-B639)&lt;&gt;0, ABS($B$292:$B$645-B639)), 0))</f>
        <v>-5.6151</v>
      </c>
      <c r="U639" s="37" cm="1">
        <f t="array" ref="U639">INDEX($U$292:$U$645, MATCH(MIN(IF(ABS($B$292:$B$645-B639)&lt;&gt;0, ABS($B$292:$B$645-B639))), IF(ABS($B$292:$B$645-B639)&lt;&gt;0, ABS($B$292:$B$645-B639)), 0))</f>
        <v>0</v>
      </c>
      <c r="V639" s="133" cm="1">
        <f t="array" ref="V639">INDEX($V$292:$V$645, MATCH(MIN(IF(ABS($B$292:$B$645-B639)&lt;&gt;0, ABS($B$292:$B$645-B639))), IF(ABS($B$292:$B$645-B639)&lt;&gt;0, ABS($B$292:$B$645-B639)), 0))</f>
        <v>0</v>
      </c>
      <c r="W639" s="139">
        <v>215.017</v>
      </c>
      <c r="X639" s="7">
        <v>0.96640999999999999</v>
      </c>
      <c r="Y639" s="8">
        <v>-2.5468999999999999E-3</v>
      </c>
      <c r="Z639" s="33">
        <v>3.2455999999999999E-6</v>
      </c>
      <c r="AA639" s="141">
        <v>0.15809999999999999</v>
      </c>
      <c r="AB639" s="9">
        <v>-5.8012E-5</v>
      </c>
      <c r="AC639" s="10">
        <v>-2.0601E-7</v>
      </c>
      <c r="AD639" s="146">
        <v>67.641000000000005</v>
      </c>
      <c r="AE639" s="147">
        <v>0.38</v>
      </c>
      <c r="AF639" s="150">
        <v>51.576999999999998</v>
      </c>
      <c r="AG639" s="152">
        <v>1.2222</v>
      </c>
    </row>
    <row r="640" spans="1:33" x14ac:dyDescent="0.2">
      <c r="A640" s="27">
        <v>12</v>
      </c>
      <c r="B640" s="69">
        <v>6.0858084525000002</v>
      </c>
      <c r="C640" s="28">
        <f t="shared" si="38"/>
        <v>0.3061132339296076</v>
      </c>
      <c r="D640" s="52">
        <v>170.33799999999999</v>
      </c>
      <c r="E640" s="59">
        <v>641.61</v>
      </c>
      <c r="F640" s="45" t="str" cm="1">
        <f t="array" aca="1" ref="F640" ca="1">LEFT(INDEX($F$292:$F$645, MATCH(MIN(IF(ABS($B$292:$B$645-B640)&lt;&gt;0, ABS($B$292:$B$645-B640))), IF(ABS($B$292:$B$645-B640)&lt;&gt;0, ABS($B$292:$B$645-B640)), 0)),5)</f>
        <v>18.34</v>
      </c>
      <c r="G640" s="36" t="str" cm="1">
        <f t="array" aca="1" ref="G640" ca="1">LEFT(INDEX($G$292:$G$645, MATCH(MIN(IF(ABS($B$292:$B$645-B640)&lt;&gt;0, ABS($B$292:$B$645-B640))), IF(ABS($B$292:$B$645-B640)&lt;&gt;0, ABS($B$292:$B$645-B640)), 0)),8)</f>
        <v>0.000695</v>
      </c>
      <c r="H640" s="46">
        <f t="shared" ca="1" si="39"/>
        <v>245.09064748201439</v>
      </c>
      <c r="I640" s="54">
        <f t="shared" ca="1" si="40"/>
        <v>0.23894777540039147</v>
      </c>
      <c r="J640" s="53" t="str" cm="1">
        <f t="array" aca="1" ref="J640" ca="1">LEFT(INDEX($J$292:$J$645, MATCH(MIN(IF(ABS($B$292:$B$645-B640)&lt;&gt;0, ABS($B$292:$B$645-B640))), IF(ABS($B$292:$B$645-B640)&lt;&gt;0, ABS($B$292:$B$645-B640)), 0)),5)</f>
        <v>0.519</v>
      </c>
      <c r="K640" s="76">
        <v>-5.4855999999999998</v>
      </c>
      <c r="L640" s="82">
        <v>1079.2</v>
      </c>
      <c r="M640" s="85">
        <v>9.5999999999999992E-3</v>
      </c>
      <c r="N640" s="4">
        <v>-9.0704000000000004E-6</v>
      </c>
      <c r="O640" s="96">
        <v>0.24709999999999999</v>
      </c>
      <c r="P640" s="97">
        <v>0.2631</v>
      </c>
      <c r="Q640" s="98">
        <v>0.28570000000000001</v>
      </c>
      <c r="R640" s="113" t="str" cm="1">
        <f t="array" ref="R640">LEFT(INDEX($R$292:$R$645, MATCH(MIN(IF(ABS($B$292:$B$645-B640)&lt;&gt;0, ABS($B$292:$B$645-B640))), IF(ABS($B$292:$B$645-B640)&lt;&gt;0, ABS($B$292:$B$645-B640)), 0)),7)</f>
        <v>25.947</v>
      </c>
      <c r="S640" s="119" cm="1">
        <f t="array" ref="S640">INDEX($S$292:$S$645, MATCH(MIN(IF(ABS($B$292:$B$645-B640)&lt;&gt;0, ABS($B$292:$B$645-B640))), IF(ABS($B$292:$B$645-B640)&lt;&gt;0, ABS($B$292:$B$645-B640)), 0))</f>
        <v>-3574.6</v>
      </c>
      <c r="T640" s="126" cm="1">
        <f t="array" ref="T640">INDEX($T$292:$T$645, MATCH(MIN(IF(ABS($B$292:$B$645-B640)&lt;&gt;0, ABS($B$292:$B$645-B640))), IF(ABS($B$292:$B$645-B640)&lt;&gt;0, ABS($B$292:$B$645-B640)), 0))</f>
        <v>-5.7784000000000004</v>
      </c>
      <c r="U640" s="37" cm="1">
        <f t="array" ref="U640">INDEX($U$292:$U$645, MATCH(MIN(IF(ABS($B$292:$B$645-B640)&lt;&gt;0, ABS($B$292:$B$645-B640))), IF(ABS($B$292:$B$645-B640)&lt;&gt;0, ABS($B$292:$B$645-B640)), 0))</f>
        <v>0</v>
      </c>
      <c r="V640" s="133" cm="1">
        <f t="array" ref="V640">INDEX($V$292:$V$645, MATCH(MIN(IF(ABS($B$292:$B$645-B640)&lt;&gt;0, ABS($B$292:$B$645-B640))), IF(ABS($B$292:$B$645-B640)&lt;&gt;0, ABS($B$292:$B$645-B640)), 0))</f>
        <v>0</v>
      </c>
      <c r="W640" s="139">
        <v>231.5</v>
      </c>
      <c r="X640" s="7">
        <v>0.87936999999999999</v>
      </c>
      <c r="Y640" s="8">
        <v>-2.3685999999999998E-3</v>
      </c>
      <c r="Z640" s="33">
        <v>3.1429E-6</v>
      </c>
      <c r="AA640" s="141">
        <v>0.16170000000000001</v>
      </c>
      <c r="AB640" s="9">
        <v>-6.7535999999999998E-5</v>
      </c>
      <c r="AC640" s="10">
        <v>-2.0181000000000001E-7</v>
      </c>
      <c r="AD640" s="146">
        <v>68.043999999999997</v>
      </c>
      <c r="AE640" s="147">
        <v>0.38</v>
      </c>
      <c r="AF640" s="150">
        <v>51.953000000000003</v>
      </c>
      <c r="AG640" s="152">
        <v>1.2222</v>
      </c>
    </row>
    <row r="641" spans="1:33" x14ac:dyDescent="0.2">
      <c r="A641" s="27">
        <v>12</v>
      </c>
      <c r="B641" s="69">
        <v>6.0884111325000001</v>
      </c>
      <c r="C641" s="28">
        <f t="shared" si="38"/>
        <v>0.30627687356383831</v>
      </c>
      <c r="D641" s="52">
        <v>170.33799999999999</v>
      </c>
      <c r="E641" s="59">
        <v>645.70000000000005</v>
      </c>
      <c r="F641" s="45" t="str" cm="1">
        <f t="array" ref="F641">LEFT(INDEX($F$292:$F$645, MATCH(MIN(IF(ABS($B$292:$B$645-B641)&lt;&gt;0, ABS($B$292:$B$645-B641))), IF(ABS($B$292:$B$645-B641)&lt;&gt;0, ABS($B$292:$B$645-B641)), 0)),5)</f>
        <v>18.17</v>
      </c>
      <c r="G641" s="36" t="str" cm="1">
        <f t="array" ref="G641">LEFT(INDEX($G$292:$G$645, MATCH(MIN(IF(ABS($B$292:$B$645-B641)&lt;&gt;0, ABS($B$292:$B$645-B641))), IF(ABS($B$292:$B$645-B641)&lt;&gt;0, ABS($B$292:$B$645-B641)), 0)),8)</f>
        <v>0.000689</v>
      </c>
      <c r="H641" s="46">
        <f t="shared" si="39"/>
        <v>247.22496371552973</v>
      </c>
      <c r="I641" s="54">
        <f t="shared" si="40"/>
        <v>0.23320257558477284</v>
      </c>
      <c r="J641" s="53" t="str" cm="1">
        <f t="array" ref="J641">LEFT(INDEX($J$292:$J$645, MATCH(MIN(IF(ABS($B$292:$B$645-B641)&lt;&gt;0, ABS($B$292:$B$645-B641))), IF(ABS($B$292:$B$645-B641)&lt;&gt;0, ABS($B$292:$B$645-B641)), 0)),5)</f>
        <v>0.491</v>
      </c>
      <c r="K641" s="76">
        <v>-5.5336999999999996</v>
      </c>
      <c r="L641" s="82">
        <v>1092.4000000000001</v>
      </c>
      <c r="M641" s="85">
        <v>9.5999999999999992E-3</v>
      </c>
      <c r="N641" s="4">
        <v>-9.0329999999999997E-6</v>
      </c>
      <c r="O641" s="96">
        <v>0.24709999999999999</v>
      </c>
      <c r="P641" s="97">
        <v>0.26340000000000002</v>
      </c>
      <c r="Q641" s="98">
        <v>0.28570000000000001</v>
      </c>
      <c r="R641" s="113" t="str" cm="1">
        <f t="array" ref="R641">LEFT(INDEX($R$292:$R$645, MATCH(MIN(IF(ABS($B$292:$B$645-B641)&lt;&gt;0, ABS($B$292:$B$645-B641))), IF(ABS($B$292:$B$645-B641)&lt;&gt;0, ABS($B$292:$B$645-B641)), 0)),7)</f>
        <v>26.132</v>
      </c>
      <c r="S641" s="119" cm="1">
        <f t="array" ref="S641">INDEX($S$292:$S$645, MATCH(MIN(IF(ABS($B$292:$B$645-B641)&lt;&gt;0, ABS($B$292:$B$645-B641))), IF(ABS($B$292:$B$645-B641)&lt;&gt;0, ABS($B$292:$B$645-B641)), 0))</f>
        <v>-3559.3</v>
      </c>
      <c r="T641" s="126" cm="1">
        <f t="array" ref="T641">INDEX($T$292:$T$645, MATCH(MIN(IF(ABS($B$292:$B$645-B641)&lt;&gt;0, ABS($B$292:$B$645-B641))), IF(ABS($B$292:$B$645-B641)&lt;&gt;0, ABS($B$292:$B$645-B641)), 0))</f>
        <v>-5.8437000000000001</v>
      </c>
      <c r="U641" s="37" cm="1">
        <f t="array" ref="U641">INDEX($U$292:$U$645, MATCH(MIN(IF(ABS($B$292:$B$645-B641)&lt;&gt;0, ABS($B$292:$B$645-B641))), IF(ABS($B$292:$B$645-B641)&lt;&gt;0, ABS($B$292:$B$645-B641)), 0))</f>
        <v>0</v>
      </c>
      <c r="V641" s="133" cm="1">
        <f t="array" ref="V641">INDEX($V$292:$V$645, MATCH(MIN(IF(ABS($B$292:$B$645-B641)&lt;&gt;0, ABS($B$292:$B$645-B641))), IF(ABS($B$292:$B$645-B641)&lt;&gt;0, ABS($B$292:$B$645-B641)), 0))</f>
        <v>0</v>
      </c>
      <c r="W641" s="139">
        <v>233.45599999999999</v>
      </c>
      <c r="X641" s="7">
        <v>0.86490999999999996</v>
      </c>
      <c r="Y641" s="8">
        <v>-2.3161000000000002E-3</v>
      </c>
      <c r="Z641" s="33">
        <v>3.0674000000000001E-6</v>
      </c>
      <c r="AA641" s="141">
        <v>0.16170000000000001</v>
      </c>
      <c r="AB641" s="9">
        <v>-6.7249999999999995E-5</v>
      </c>
      <c r="AC641" s="10">
        <v>-1.9924999999999999E-7</v>
      </c>
      <c r="AD641" s="146">
        <v>68.519000000000005</v>
      </c>
      <c r="AE641" s="147">
        <v>0.38</v>
      </c>
      <c r="AF641" s="150">
        <v>52.069000000000003</v>
      </c>
      <c r="AG641" s="152">
        <v>1.2222</v>
      </c>
    </row>
    <row r="642" spans="1:33" x14ac:dyDescent="0.2">
      <c r="A642" s="27">
        <v>12</v>
      </c>
      <c r="B642" s="69">
        <v>7.1518934700000001</v>
      </c>
      <c r="C642" s="28">
        <f t="shared" si="38"/>
        <v>0.37314174389725441</v>
      </c>
      <c r="D642" s="52">
        <v>170.33799999999999</v>
      </c>
      <c r="E642" s="59">
        <v>635.70000000000005</v>
      </c>
      <c r="F642" s="45" t="str" cm="1">
        <f t="array" aca="1" ref="F642" ca="1">LEFT(INDEX($F$292:$F$645, MATCH(MIN(IF(ABS($B$292:$B$645-B642)&lt;&gt;0, ABS($B$292:$B$645-B642))), IF(ABS($B$292:$B$645-B642)&lt;&gt;0, ABS($B$292:$B$645-B642)), 0)),5)</f>
        <v>18.34</v>
      </c>
      <c r="G642" s="36" t="str" cm="1">
        <f t="array" aca="1" ref="G642" ca="1">LEFT(INDEX($G$292:$G$645, MATCH(MIN(IF(ABS($B$292:$B$645-B642)&lt;&gt;0, ABS($B$292:$B$645-B642))), IF(ABS($B$292:$B$645-B642)&lt;&gt;0, ABS($B$292:$B$645-B642)), 0)),8)</f>
        <v>0.000695</v>
      </c>
      <c r="H642" s="46">
        <f t="shared" ca="1" si="39"/>
        <v>245.09064748201439</v>
      </c>
      <c r="I642" s="54">
        <f t="shared" ca="1" si="40"/>
        <v>0.24116923419009781</v>
      </c>
      <c r="J642" s="53" t="str" cm="1">
        <f t="array" aca="1" ref="J642" ca="1">LEFT(INDEX($J$292:$J$645, MATCH(MIN(IF(ABS($B$292:$B$645-B642)&lt;&gt;0, ABS($B$292:$B$645-B642))), IF(ABS($B$292:$B$645-B642)&lt;&gt;0, ABS($B$292:$B$645-B642)), 0)),5)</f>
        <v>0.519</v>
      </c>
      <c r="K642" s="76">
        <v>-5.0955000000000004</v>
      </c>
      <c r="L642" s="82">
        <v>1015.2</v>
      </c>
      <c r="M642" s="85">
        <v>8.6999999999999994E-3</v>
      </c>
      <c r="N642" s="4">
        <v>-8.4780000000000008E-6</v>
      </c>
      <c r="O642" s="96">
        <v>0.2467</v>
      </c>
      <c r="P642" s="97">
        <v>0.2621</v>
      </c>
      <c r="Q642" s="98">
        <v>0.28570000000000001</v>
      </c>
      <c r="R642" s="113" t="str" cm="1">
        <f t="array" ref="R642">LEFT(INDEX($R$292:$R$645, MATCH(MIN(IF(ABS($B$292:$B$645-B642)&lt;&gt;0, ABS($B$292:$B$645-B642))), IF(ABS($B$292:$B$645-B642)&lt;&gt;0, ABS($B$292:$B$645-B642)), 0)),7)</f>
        <v>25.845</v>
      </c>
      <c r="S642" s="119" cm="1">
        <f t="array" ref="S642">INDEX($S$292:$S$645, MATCH(MIN(IF(ABS($B$292:$B$645-B642)&lt;&gt;0, ABS($B$292:$B$645-B642))), IF(ABS($B$292:$B$645-B642)&lt;&gt;0, ABS($B$292:$B$645-B642)), 0))</f>
        <v>-3507.1</v>
      </c>
      <c r="T642" s="126" cm="1">
        <f t="array" ref="T642">INDEX($T$292:$T$645, MATCH(MIN(IF(ABS($B$292:$B$645-B642)&lt;&gt;0, ABS($B$292:$B$645-B642))), IF(ABS($B$292:$B$645-B642)&lt;&gt;0, ABS($B$292:$B$645-B642)), 0))</f>
        <v>-5.7742000000000004</v>
      </c>
      <c r="U642" s="37" cm="1">
        <f t="array" ref="U642">INDEX($U$292:$U$645, MATCH(MIN(IF(ABS($B$292:$B$645-B642)&lt;&gt;0, ABS($B$292:$B$645-B642))), IF(ABS($B$292:$B$645-B642)&lt;&gt;0, ABS($B$292:$B$645-B642)), 0))</f>
        <v>0</v>
      </c>
      <c r="V642" s="133" cm="1">
        <f t="array" ref="V642">INDEX($V$292:$V$645, MATCH(MIN(IF(ABS($B$292:$B$645-B642)&lt;&gt;0, ABS($B$292:$B$645-B642))), IF(ABS($B$292:$B$645-B642)&lt;&gt;0, ABS($B$292:$B$645-B642)), 0))</f>
        <v>0</v>
      </c>
      <c r="W642" s="139">
        <v>212.21</v>
      </c>
      <c r="X642" s="7">
        <v>0.98792999999999997</v>
      </c>
      <c r="Y642" s="8">
        <v>-2.6326000000000001E-3</v>
      </c>
      <c r="Z642" s="33">
        <v>3.3714E-6</v>
      </c>
      <c r="AA642" s="141">
        <v>0.15790000000000001</v>
      </c>
      <c r="AB642" s="9">
        <v>-5.8347999999999998E-5</v>
      </c>
      <c r="AC642" s="10">
        <v>-2.125E-7</v>
      </c>
      <c r="AD642" s="146">
        <v>66.540999999999997</v>
      </c>
      <c r="AE642" s="147">
        <v>0.38</v>
      </c>
      <c r="AF642" s="150">
        <v>51.308</v>
      </c>
      <c r="AG642" s="152">
        <v>1.2222</v>
      </c>
    </row>
    <row r="643" spans="1:33" x14ac:dyDescent="0.2">
      <c r="A643" s="27">
        <v>12</v>
      </c>
      <c r="B643" s="69">
        <v>6.7655947625000001</v>
      </c>
      <c r="C643" s="28">
        <f t="shared" si="38"/>
        <v>0.34885378717606091</v>
      </c>
      <c r="D643" s="52">
        <v>170.33799999999999</v>
      </c>
      <c r="E643" s="59">
        <v>644.34</v>
      </c>
      <c r="F643" s="45" t="str" cm="1">
        <f t="array" ref="F643">LEFT(INDEX($F$292:$F$645, MATCH(MIN(IF(ABS($B$292:$B$645-B643)&lt;&gt;0, ABS($B$292:$B$645-B643))), IF(ABS($B$292:$B$645-B643)&lt;&gt;0, ABS($B$292:$B$645-B643)), 0)),5)</f>
        <v>18.34</v>
      </c>
      <c r="G643" s="36" t="str" cm="1">
        <f t="array" ref="G643">LEFT(INDEX($G$292:$G$645, MATCH(MIN(IF(ABS($B$292:$B$645-B643)&lt;&gt;0, ABS($B$292:$B$645-B643))), IF(ABS($B$292:$B$645-B643)&lt;&gt;0, ABS($B$292:$B$645-B643)), 0)),8)</f>
        <v>0.000684</v>
      </c>
      <c r="H643" s="46">
        <f t="shared" si="39"/>
        <v>249.03216374269002</v>
      </c>
      <c r="I643" s="54">
        <f t="shared" si="40"/>
        <v>0.23416949541018783</v>
      </c>
      <c r="J643" s="53" t="str" cm="1">
        <f t="array" ref="J643">LEFT(INDEX($J$292:$J$645, MATCH(MIN(IF(ABS($B$292:$B$645-B643)&lt;&gt;0, ABS($B$292:$B$645-B643))), IF(ABS($B$292:$B$645-B643)&lt;&gt;0, ABS($B$292:$B$645-B643)), 0)),5)</f>
        <v>0.432</v>
      </c>
      <c r="K643" s="76">
        <v>-5.5182000000000002</v>
      </c>
      <c r="L643" s="82">
        <v>1088.0999999999999</v>
      </c>
      <c r="M643" s="85">
        <v>9.5999999999999992E-3</v>
      </c>
      <c r="N643" s="4">
        <v>-9.0461999999999999E-6</v>
      </c>
      <c r="O643" s="96">
        <v>0.24709999999999999</v>
      </c>
      <c r="P643" s="97">
        <v>0.2656</v>
      </c>
      <c r="Q643" s="98">
        <v>0.28570000000000001</v>
      </c>
      <c r="R643" s="113" t="str" cm="1">
        <f t="array" ref="R643">LEFT(INDEX($R$292:$R$645, MATCH(MIN(IF(ABS($B$292:$B$645-B643)&lt;&gt;0, ABS($B$292:$B$645-B643))), IF(ABS($B$292:$B$645-B643)&lt;&gt;0, ABS($B$292:$B$645-B643)), 0)),7)</f>
        <v>24.916</v>
      </c>
      <c r="S643" s="119" cm="1">
        <f t="array" ref="S643">INDEX($S$292:$S$645, MATCH(MIN(IF(ABS($B$292:$B$645-B643)&lt;&gt;0, ABS($B$292:$B$645-B643))), IF(ABS($B$292:$B$645-B643)&lt;&gt;0, ABS($B$292:$B$645-B643)), 0))</f>
        <v>-3514.8</v>
      </c>
      <c r="T643" s="126" cm="1">
        <f t="array" ref="T643">INDEX($T$292:$T$645, MATCH(MIN(IF(ABS($B$292:$B$645-B643)&lt;&gt;0, ABS($B$292:$B$645-B643))), IF(ABS($B$292:$B$645-B643)&lt;&gt;0, ABS($B$292:$B$645-B643)), 0))</f>
        <v>-5.4760999999999997</v>
      </c>
      <c r="U643" s="37" cm="1">
        <f t="array" ref="U643">INDEX($U$292:$U$645, MATCH(MIN(IF(ABS($B$292:$B$645-B643)&lt;&gt;0, ABS($B$292:$B$645-B643))), IF(ABS($B$292:$B$645-B643)&lt;&gt;0, ABS($B$292:$B$645-B643)), 0))</f>
        <v>0</v>
      </c>
      <c r="V643" s="133" cm="1">
        <f t="array" ref="V643">INDEX($V$292:$V$645, MATCH(MIN(IF(ABS($B$292:$B$645-B643)&lt;&gt;0, ABS($B$292:$B$645-B643))), IF(ABS($B$292:$B$645-B643)&lt;&gt;0, ABS($B$292:$B$645-B643)), 0))</f>
        <v>0</v>
      </c>
      <c r="W643" s="139">
        <v>233.88900000000001</v>
      </c>
      <c r="X643" s="7">
        <v>0.86150000000000004</v>
      </c>
      <c r="Y643" s="8">
        <v>-2.3086999999999999E-3</v>
      </c>
      <c r="Z643" s="33">
        <v>3.0606E-6</v>
      </c>
      <c r="AA643" s="141">
        <v>0.16170000000000001</v>
      </c>
      <c r="AB643" s="9">
        <v>-6.7345E-5</v>
      </c>
      <c r="AC643" s="10">
        <v>-2.001E-7</v>
      </c>
      <c r="AD643" s="146">
        <v>68.36</v>
      </c>
      <c r="AE643" s="147">
        <v>0.38</v>
      </c>
      <c r="AF643" s="150">
        <v>52.03</v>
      </c>
      <c r="AG643" s="152">
        <v>1.2222</v>
      </c>
    </row>
    <row r="644" spans="1:33" x14ac:dyDescent="0.2">
      <c r="A644" s="27">
        <v>12</v>
      </c>
      <c r="B644" s="69">
        <v>6.6626866250000001</v>
      </c>
      <c r="C644" s="28">
        <f t="shared" si="38"/>
        <v>0.3423835910782429</v>
      </c>
      <c r="D644" s="52">
        <v>170.33799999999999</v>
      </c>
      <c r="E644" s="59">
        <v>645.29</v>
      </c>
      <c r="F644" s="45" t="str" cm="1">
        <f t="array" aca="1" ref="F644" ca="1">LEFT(INDEX($F$292:$F$645, MATCH(MIN(IF(ABS($B$292:$B$645-B644)&lt;&gt;0, ABS($B$292:$B$645-B644))), IF(ABS($B$292:$B$645-B644)&lt;&gt;0, ABS($B$292:$B$645-B644)), 0)),5)</f>
        <v>18.34</v>
      </c>
      <c r="G644" s="36" t="str" cm="1">
        <f t="array" aca="1" ref="G644" ca="1">LEFT(INDEX($G$292:$G$645, MATCH(MIN(IF(ABS($B$292:$B$645-B644)&lt;&gt;0, ABS($B$292:$B$645-B644))), IF(ABS($B$292:$B$645-B644)&lt;&gt;0, ABS($B$292:$B$645-B644)), 0)),8)</f>
        <v>0.000695</v>
      </c>
      <c r="H644" s="46">
        <f t="shared" ca="1" si="39"/>
        <v>245.09064748201439</v>
      </c>
      <c r="I644" s="54">
        <f t="shared" ca="1" si="40"/>
        <v>0.23758508914541554</v>
      </c>
      <c r="J644" s="53" t="str" cm="1">
        <f t="array" aca="1" ref="J644" ca="1">LEFT(INDEX($J$292:$J$645, MATCH(MIN(IF(ABS($B$292:$B$645-B644)&lt;&gt;0, ABS($B$292:$B$645-B644))), IF(ABS($B$292:$B$645-B644)&lt;&gt;0, ABS($B$292:$B$645-B644)), 0)),5)</f>
        <v>0.519</v>
      </c>
      <c r="K644" s="76">
        <v>-5.2340999999999998</v>
      </c>
      <c r="L644" s="82">
        <v>1049.3</v>
      </c>
      <c r="M644" s="85">
        <v>8.8999999999999999E-3</v>
      </c>
      <c r="N644" s="4">
        <v>-8.4440000000000008E-6</v>
      </c>
      <c r="O644" s="96">
        <v>0.2467</v>
      </c>
      <c r="P644" s="97">
        <v>0.25800000000000001</v>
      </c>
      <c r="Q644" s="98">
        <v>0.28570000000000001</v>
      </c>
      <c r="R644" s="113" t="str" cm="1">
        <f t="array" ref="R644">LEFT(INDEX($R$292:$R$645, MATCH(MIN(IF(ABS($B$292:$B$645-B644)&lt;&gt;0, ABS($B$292:$B$645-B644))), IF(ABS($B$292:$B$645-B644)&lt;&gt;0, ABS($B$292:$B$645-B644)), 0)),7)</f>
        <v>25.305</v>
      </c>
      <c r="S644" s="119" cm="1">
        <f t="array" ref="S644">INDEX($S$292:$S$645, MATCH(MIN(IF(ABS($B$292:$B$645-B644)&lt;&gt;0, ABS($B$292:$B$645-B644))), IF(ABS($B$292:$B$645-B644)&lt;&gt;0, ABS($B$292:$B$645-B644)), 0))</f>
        <v>-3552.3</v>
      </c>
      <c r="T644" s="126" cm="1">
        <f t="array" ref="T644">INDEX($T$292:$T$645, MATCH(MIN(IF(ABS($B$292:$B$645-B644)&lt;&gt;0, ABS($B$292:$B$645-B644))), IF(ABS($B$292:$B$645-B644)&lt;&gt;0, ABS($B$292:$B$645-B644)), 0))</f>
        <v>-5.5842999999999998</v>
      </c>
      <c r="U644" s="37" cm="1">
        <f t="array" ref="U644">INDEX($U$292:$U$645, MATCH(MIN(IF(ABS($B$292:$B$645-B644)&lt;&gt;0, ABS($B$292:$B$645-B644))), IF(ABS($B$292:$B$645-B644)&lt;&gt;0, ABS($B$292:$B$645-B644)), 0))</f>
        <v>0</v>
      </c>
      <c r="V644" s="133" cm="1">
        <f t="array" ref="V644">INDEX($V$292:$V$645, MATCH(MIN(IF(ABS($B$292:$B$645-B644)&lt;&gt;0, ABS($B$292:$B$645-B644))), IF(ABS($B$292:$B$645-B644)&lt;&gt;0, ABS($B$292:$B$645-B644)), 0))</f>
        <v>0</v>
      </c>
      <c r="W644" s="139">
        <v>214.97399999999999</v>
      </c>
      <c r="X644" s="7">
        <v>0.96672999999999998</v>
      </c>
      <c r="Y644" s="8">
        <v>-2.5477999999999998E-3</v>
      </c>
      <c r="Z644" s="33">
        <v>3.2467000000000002E-6</v>
      </c>
      <c r="AA644" s="141">
        <v>0.15809999999999999</v>
      </c>
      <c r="AB644" s="9">
        <v>-5.8012E-5</v>
      </c>
      <c r="AC644" s="10">
        <v>-2.0601E-7</v>
      </c>
      <c r="AD644" s="146">
        <v>67.641000000000005</v>
      </c>
      <c r="AE644" s="147">
        <v>0.38</v>
      </c>
      <c r="AF644" s="150">
        <v>51.576999999999998</v>
      </c>
      <c r="AG644" s="152">
        <v>1.2222</v>
      </c>
    </row>
    <row r="645" spans="1:33" x14ac:dyDescent="0.2">
      <c r="A645" s="27">
        <v>12</v>
      </c>
      <c r="B645" s="69">
        <v>7.8249398499999998</v>
      </c>
      <c r="C645" s="28">
        <f t="shared" si="38"/>
        <v>0.41545853406874617</v>
      </c>
      <c r="D645" s="52">
        <v>170.33799999999999</v>
      </c>
      <c r="E645" s="59">
        <v>634.33000000000004</v>
      </c>
      <c r="F645" s="45" t="str" cm="1">
        <f t="array" aca="1" ref="F645" ca="1">LEFT(INDEX($F$292:$F$645, MATCH(MIN(IF(ABS($B$292:$B$645-B645)&lt;&gt;0, ABS($B$292:$B$645-B645))), IF(ABS($B$292:$B$645-B645)&lt;&gt;0, ABS($B$292:$B$645-B645)), 0)),5)</f>
        <v>18.34</v>
      </c>
      <c r="G645" s="36" t="str" cm="1">
        <f t="array" aca="1" ref="G645" ca="1">LEFT(INDEX($G$292:$G$645, MATCH(MIN(IF(ABS($B$292:$B$645-B645)&lt;&gt;0, ABS($B$292:$B$645-B645))), IF(ABS($B$292:$B$645-B645)&lt;&gt;0, ABS($B$292:$B$645-B645)), 0)),8)</f>
        <v>0.000695</v>
      </c>
      <c r="H645" s="46">
        <f t="shared" ca="1" si="39"/>
        <v>245.09064748201439</v>
      </c>
      <c r="I645" s="54">
        <f t="shared" ca="1" si="40"/>
        <v>0.24169010164211871</v>
      </c>
      <c r="J645" s="53" t="str" cm="1">
        <f t="array" aca="1" ref="J645" ca="1">LEFT(INDEX($J$292:$J$645, MATCH(MIN(IF(ABS($B$292:$B$645-B645)&lt;&gt;0, ABS($B$292:$B$645-B645))), IF(ABS($B$292:$B$645-B645)&lt;&gt;0, ABS($B$292:$B$645-B645)), 0)),5)</f>
        <v>0.519</v>
      </c>
      <c r="K645" s="76">
        <v>-5.0728999999999997</v>
      </c>
      <c r="L645" s="82">
        <v>1009.9</v>
      </c>
      <c r="M645" s="85">
        <v>8.6999999999999994E-3</v>
      </c>
      <c r="N645" s="4">
        <v>-8.4788999999999994E-6</v>
      </c>
      <c r="O645" s="96">
        <v>0.2467</v>
      </c>
      <c r="P645" s="97">
        <v>0.26429999999999998</v>
      </c>
      <c r="Q645" s="98">
        <v>0.28570000000000001</v>
      </c>
      <c r="R645" s="113" t="str" cm="1">
        <f t="array" ref="R645">LEFT(INDEX($R$292:$R$645, MATCH(MIN(IF(ABS($B$292:$B$645-B645)&lt;&gt;0, ABS($B$292:$B$645-B645))), IF(ABS($B$292:$B$645-B645)&lt;&gt;0, ABS($B$292:$B$645-B645)), 0)),7)</f>
        <v>25.845</v>
      </c>
      <c r="S645" s="119" cm="1">
        <f t="array" ref="S645">INDEX($S$292:$S$645, MATCH(MIN(IF(ABS($B$292:$B$645-B645)&lt;&gt;0, ABS($B$292:$B$645-B645))), IF(ABS($B$292:$B$645-B645)&lt;&gt;0, ABS($B$292:$B$645-B645)), 0))</f>
        <v>-3507.1</v>
      </c>
      <c r="T645" s="126" cm="1">
        <f t="array" ref="T645">INDEX($T$292:$T$645, MATCH(MIN(IF(ABS($B$292:$B$645-B645)&lt;&gt;0, ABS($B$292:$B$645-B645))), IF(ABS($B$292:$B$645-B645)&lt;&gt;0, ABS($B$292:$B$645-B645)), 0))</f>
        <v>-5.7742000000000004</v>
      </c>
      <c r="U645" s="37" cm="1">
        <f t="array" ref="U645">INDEX($U$292:$U$645, MATCH(MIN(IF(ABS($B$292:$B$645-B645)&lt;&gt;0, ABS($B$292:$B$645-B645))), IF(ABS($B$292:$B$645-B645)&lt;&gt;0, ABS($B$292:$B$645-B645)), 0))</f>
        <v>0</v>
      </c>
      <c r="V645" s="133" cm="1">
        <f t="array" ref="V645">INDEX($V$292:$V$645, MATCH(MIN(IF(ABS($B$292:$B$645-B645)&lt;&gt;0, ABS($B$292:$B$645-B645))), IF(ABS($B$292:$B$645-B645)&lt;&gt;0, ABS($B$292:$B$645-B645)), 0))</f>
        <v>0</v>
      </c>
      <c r="W645" s="139">
        <v>212.685</v>
      </c>
      <c r="X645" s="7">
        <v>0.98441000000000001</v>
      </c>
      <c r="Y645" s="8">
        <v>-2.6254E-3</v>
      </c>
      <c r="Z645" s="33">
        <v>3.3654E-6</v>
      </c>
      <c r="AA645" s="141">
        <v>0.15790000000000001</v>
      </c>
      <c r="AB645" s="9">
        <v>-5.8394999999999999E-5</v>
      </c>
      <c r="AC645" s="10">
        <v>-2.1345E-7</v>
      </c>
      <c r="AD645" s="146">
        <v>66.384</v>
      </c>
      <c r="AE645" s="147">
        <v>0.38</v>
      </c>
      <c r="AF645" s="150">
        <v>51.268999999999998</v>
      </c>
      <c r="AG645" s="152">
        <v>1.2222</v>
      </c>
    </row>
    <row r="646" spans="1:33" x14ac:dyDescent="0.2">
      <c r="A646" s="27">
        <v>13</v>
      </c>
      <c r="B646" s="69">
        <v>4.4656304550000003</v>
      </c>
      <c r="C646" s="28">
        <f>(B646-MIN($B$646:$B$650))/(MAX($B$646:$B$650)-MIN($B$646:$B$650))</f>
        <v>0.58320093303964982</v>
      </c>
      <c r="D646" s="29">
        <v>184.36500000000001</v>
      </c>
      <c r="E646" s="47">
        <v>653.35</v>
      </c>
      <c r="F646" s="44">
        <v>16.66</v>
      </c>
      <c r="G646" s="11">
        <v>7.515E-4</v>
      </c>
      <c r="H646" s="44">
        <f>1/LEFT(G646,8)*D646/1000</f>
        <v>245.49267643142474</v>
      </c>
      <c r="I646" s="52">
        <f>LEFT(F646,5)*100000/(H646*8.314/(D646/1000)*E646)</f>
        <v>0.23033451382365885</v>
      </c>
      <c r="J646" s="52">
        <v>0.55800000000000005</v>
      </c>
      <c r="K646" s="75">
        <v>-5.0503999999999998</v>
      </c>
      <c r="L646" s="81">
        <v>969.74</v>
      </c>
      <c r="M646" s="13">
        <v>9.1999999999999998E-3</v>
      </c>
      <c r="N646" s="12">
        <v>-9.0496000000000006E-6</v>
      </c>
      <c r="O646" s="93">
        <v>0.24529999999999999</v>
      </c>
      <c r="P646" s="94">
        <v>0.26279999999999998</v>
      </c>
      <c r="Q646" s="95">
        <v>0.28570000000000001</v>
      </c>
      <c r="R646" s="111">
        <v>27.204000000000001</v>
      </c>
      <c r="S646" s="118">
        <v>-3861.3</v>
      </c>
      <c r="T646" s="125">
        <v>-6.109</v>
      </c>
      <c r="U646" s="14">
        <v>0</v>
      </c>
      <c r="V646" s="30">
        <v>0</v>
      </c>
      <c r="W646" s="138">
        <v>236.18299999999999</v>
      </c>
      <c r="X646" s="13">
        <v>1.0909</v>
      </c>
      <c r="Y646" s="14">
        <v>-2.8958E-3</v>
      </c>
      <c r="Z646" s="30">
        <v>3.6061999999999999E-6</v>
      </c>
      <c r="AA646" s="77">
        <v>0.15709999999999999</v>
      </c>
      <c r="AB646" s="5">
        <v>-5.4147999999999997E-5</v>
      </c>
      <c r="AC646" s="15">
        <v>-2.0436000000000001E-7</v>
      </c>
      <c r="AD646" s="146">
        <v>72.409000000000006</v>
      </c>
      <c r="AE646" s="147">
        <v>0.38</v>
      </c>
      <c r="AF646" s="150">
        <v>52.048999999999999</v>
      </c>
      <c r="AG646" s="152">
        <v>1.2222</v>
      </c>
    </row>
    <row r="647" spans="1:33" x14ac:dyDescent="0.2">
      <c r="A647" s="27">
        <v>13</v>
      </c>
      <c r="B647" s="69">
        <v>6.3054949950000001</v>
      </c>
      <c r="C647" s="28">
        <f>(B647-MIN($B$646:$B$650))/(MAX($B$646:$B$650)-MIN($B$646:$B$650))</f>
        <v>1</v>
      </c>
      <c r="D647" s="29">
        <v>184.36500000000001</v>
      </c>
      <c r="E647" s="47">
        <v>663.4</v>
      </c>
      <c r="F647" s="44">
        <v>16.7</v>
      </c>
      <c r="G647" s="11">
        <v>7.5250000000000002E-4</v>
      </c>
      <c r="H647" s="44">
        <f>1/LEFT(G647,8)*D647/1000</f>
        <v>245.16622340425533</v>
      </c>
      <c r="I647" s="52">
        <f t="shared" ref="I647:I686" si="41">LEFT(F647,5)*100000/(H647*8.314/(D647/1000)*E647)</f>
        <v>0.22769255181517653</v>
      </c>
      <c r="J647" s="52">
        <v>0.52900000000000003</v>
      </c>
      <c r="K647" s="75">
        <v>-4.8357000000000001</v>
      </c>
      <c r="L647" s="81">
        <v>955.44</v>
      </c>
      <c r="M647" s="13">
        <v>8.5000000000000006E-3</v>
      </c>
      <c r="N647" s="12">
        <v>-8.3172000000000006E-6</v>
      </c>
      <c r="O647" s="93">
        <v>0.245</v>
      </c>
      <c r="P647" s="94">
        <v>0.26600000000000001</v>
      </c>
      <c r="Q647" s="95">
        <v>0.28570000000000001</v>
      </c>
      <c r="R647" s="111">
        <v>27.094999999999999</v>
      </c>
      <c r="S647" s="118">
        <v>-3865</v>
      </c>
      <c r="T647" s="125">
        <v>-6.0853999999999999</v>
      </c>
      <c r="U647" s="14">
        <v>0</v>
      </c>
      <c r="V647" s="30">
        <v>0</v>
      </c>
      <c r="W647" s="138">
        <v>225.393</v>
      </c>
      <c r="X647" s="13">
        <v>1.1315999999999999</v>
      </c>
      <c r="Y647" s="14">
        <v>-2.9071000000000001E-3</v>
      </c>
      <c r="Z647" s="30">
        <v>3.4769999999999999E-6</v>
      </c>
      <c r="AA647" s="77">
        <v>0.15359999999999999</v>
      </c>
      <c r="AB647" s="5">
        <v>-4.4144999999999998E-5</v>
      </c>
      <c r="AC647" s="15">
        <v>-2.0482999999999999E-7</v>
      </c>
      <c r="AD647" s="146">
        <v>72.802000000000007</v>
      </c>
      <c r="AE647" s="147">
        <v>0.38</v>
      </c>
      <c r="AF647" s="150">
        <v>51.832000000000001</v>
      </c>
      <c r="AG647" s="152">
        <v>1.2222</v>
      </c>
    </row>
    <row r="648" spans="1:33" x14ac:dyDescent="0.2">
      <c r="A648" s="27">
        <v>13</v>
      </c>
      <c r="B648" s="69">
        <v>4.1624948625</v>
      </c>
      <c r="C648" s="28">
        <f>(B648-MIN($B$646:$B$650))/(MAX($B$646:$B$650)-MIN($B$646:$B$650))</f>
        <v>0.51452922956931002</v>
      </c>
      <c r="D648" s="29">
        <v>184.36500000000001</v>
      </c>
      <c r="E648" s="47">
        <v>669.37</v>
      </c>
      <c r="F648" s="44">
        <v>16.66</v>
      </c>
      <c r="G648" s="11">
        <v>7.515E-4</v>
      </c>
      <c r="H648" s="44">
        <f t="shared" ref="H648:H686" si="42">1/LEFT(G648,8)*D648/1000</f>
        <v>245.49267643142474</v>
      </c>
      <c r="I648" s="52">
        <f t="shared" si="41"/>
        <v>0.224821928987985</v>
      </c>
      <c r="J648" s="52">
        <v>0.55800000000000005</v>
      </c>
      <c r="K648" s="75">
        <v>-5.1154999999999999</v>
      </c>
      <c r="L648" s="81">
        <v>1005.5</v>
      </c>
      <c r="M648" s="13">
        <v>9.1000000000000004E-3</v>
      </c>
      <c r="N648" s="12">
        <v>-8.6866999999999993E-6</v>
      </c>
      <c r="O648" s="93">
        <v>0.24529999999999999</v>
      </c>
      <c r="P648" s="94">
        <v>0.26029999999999998</v>
      </c>
      <c r="Q648" s="95">
        <v>0.28570000000000001</v>
      </c>
      <c r="R648" s="111">
        <v>27.106000000000002</v>
      </c>
      <c r="S648" s="118">
        <v>-3943.3</v>
      </c>
      <c r="T648" s="125">
        <v>-6.0582000000000003</v>
      </c>
      <c r="U648" s="14">
        <v>0</v>
      </c>
      <c r="V648" s="30">
        <v>0</v>
      </c>
      <c r="W648" s="138">
        <v>243.44</v>
      </c>
      <c r="X648" s="13">
        <v>1.0375000000000001</v>
      </c>
      <c r="Y648" s="14">
        <v>-2.7022000000000001E-3</v>
      </c>
      <c r="Z648" s="30">
        <v>3.3378E-6</v>
      </c>
      <c r="AA648" s="77">
        <v>0.1575</v>
      </c>
      <c r="AB648" s="5">
        <v>-5.3588999999999998E-5</v>
      </c>
      <c r="AC648" s="15">
        <v>-1.9446000000000001E-7</v>
      </c>
      <c r="AD648" s="146">
        <v>74.355999999999995</v>
      </c>
      <c r="AE648" s="147">
        <v>0.38</v>
      </c>
      <c r="AF648" s="150">
        <v>52.491999999999997</v>
      </c>
      <c r="AG648" s="152">
        <v>1.2222</v>
      </c>
    </row>
    <row r="649" spans="1:33" x14ac:dyDescent="0.2">
      <c r="A649" s="27">
        <v>13</v>
      </c>
      <c r="B649" s="69">
        <v>2.56859285625</v>
      </c>
      <c r="C649" s="28">
        <f>(B649-MIN($B$646:$B$650))/(MAX($B$646:$B$650)-MIN($B$646:$B$650))</f>
        <v>0.15345000086085819</v>
      </c>
      <c r="D649" s="29">
        <v>184.36500000000001</v>
      </c>
      <c r="E649" s="47">
        <v>668.02</v>
      </c>
      <c r="F649" s="44">
        <v>16.55</v>
      </c>
      <c r="G649" s="11">
        <v>7.5750000000000004E-4</v>
      </c>
      <c r="H649" s="44">
        <f t="shared" si="42"/>
        <v>243.54689564068693</v>
      </c>
      <c r="I649" s="52">
        <f t="shared" si="41"/>
        <v>0.22557677964249773</v>
      </c>
      <c r="J649" s="52">
        <v>0.58599999999999997</v>
      </c>
      <c r="K649" s="75">
        <v>-5.2967000000000004</v>
      </c>
      <c r="L649" s="81">
        <v>1030.2</v>
      </c>
      <c r="M649" s="13">
        <v>9.5999999999999992E-3</v>
      </c>
      <c r="N649" s="12">
        <v>-9.0906000000000007E-6</v>
      </c>
      <c r="O649" s="93">
        <v>0.24340000000000001</v>
      </c>
      <c r="P649" s="94">
        <v>0.26390000000000002</v>
      </c>
      <c r="Q649" s="95">
        <v>0.28570000000000001</v>
      </c>
      <c r="R649" s="111">
        <v>27.344000000000001</v>
      </c>
      <c r="S649" s="118">
        <v>-3996.4</v>
      </c>
      <c r="T649" s="125">
        <v>-6.1128999999999998</v>
      </c>
      <c r="U649" s="14">
        <v>0</v>
      </c>
      <c r="V649" s="30">
        <v>0</v>
      </c>
      <c r="W649" s="138">
        <v>220.38200000000001</v>
      </c>
      <c r="X649" s="13">
        <v>1.2333000000000001</v>
      </c>
      <c r="Y649" s="14">
        <v>-3.1591000000000002E-3</v>
      </c>
      <c r="Z649" s="30">
        <v>3.6864E-6</v>
      </c>
      <c r="AA649" s="77">
        <v>0.1547</v>
      </c>
      <c r="AB649" s="5">
        <v>-3.9294E-5</v>
      </c>
      <c r="AC649" s="15">
        <v>-2.104E-7</v>
      </c>
      <c r="AD649" s="146">
        <v>75.028000000000006</v>
      </c>
      <c r="AE649" s="147">
        <v>0.38</v>
      </c>
      <c r="AF649" s="150">
        <v>52.856999999999999</v>
      </c>
      <c r="AG649" s="152">
        <v>1.2222</v>
      </c>
    </row>
    <row r="650" spans="1:33" x14ac:dyDescent="0.2">
      <c r="A650" s="27">
        <v>13</v>
      </c>
      <c r="B650" s="69">
        <v>1.89122278125</v>
      </c>
      <c r="C650" s="28">
        <f>(B650-MIN($B$646:$B$650))/(MAX($B$646:$B$650)-MIN($B$646:$B$650))</f>
        <v>0</v>
      </c>
      <c r="D650" s="29">
        <v>184.36500000000001</v>
      </c>
      <c r="E650" s="47">
        <v>669.09</v>
      </c>
      <c r="F650" s="44">
        <v>16.55</v>
      </c>
      <c r="G650" s="11">
        <v>7.5750000000000004E-4</v>
      </c>
      <c r="H650" s="44">
        <f t="shared" si="42"/>
        <v>243.54689564068693</v>
      </c>
      <c r="I650" s="52">
        <f t="shared" si="41"/>
        <v>0.22521604019904842</v>
      </c>
      <c r="J650" s="52">
        <v>0.58599999999999997</v>
      </c>
      <c r="K650" s="75">
        <v>-5.2992999999999997</v>
      </c>
      <c r="L650" s="81">
        <v>1032.4000000000001</v>
      </c>
      <c r="M650" s="13">
        <v>9.5999999999999992E-3</v>
      </c>
      <c r="N650" s="12">
        <v>-9.064E-6</v>
      </c>
      <c r="O650" s="93">
        <v>0.24340000000000001</v>
      </c>
      <c r="P650" s="94">
        <v>0.26129999999999998</v>
      </c>
      <c r="Q650" s="95">
        <v>0.28570000000000001</v>
      </c>
      <c r="R650" s="111">
        <v>27.306999999999999</v>
      </c>
      <c r="S650" s="118">
        <v>-3999.5</v>
      </c>
      <c r="T650" s="125">
        <v>-6.1001000000000003</v>
      </c>
      <c r="U650" s="14">
        <v>0</v>
      </c>
      <c r="V650" s="30">
        <v>0</v>
      </c>
      <c r="W650" s="138">
        <v>235.952</v>
      </c>
      <c r="X650" s="13">
        <v>1.1241000000000001</v>
      </c>
      <c r="Y650" s="14">
        <v>-2.9166000000000001E-3</v>
      </c>
      <c r="Z650" s="30">
        <v>3.5175000000000002E-6</v>
      </c>
      <c r="AA650" s="77">
        <v>0.15720000000000001</v>
      </c>
      <c r="AB650" s="5">
        <v>-4.8402000000000002E-5</v>
      </c>
      <c r="AC650" s="15">
        <v>-2.0144000000000001E-7</v>
      </c>
      <c r="AD650" s="146">
        <v>75.159000000000006</v>
      </c>
      <c r="AE650" s="147">
        <v>0.38</v>
      </c>
      <c r="AF650" s="150">
        <v>52.887</v>
      </c>
      <c r="AG650" s="152">
        <v>1.2222</v>
      </c>
    </row>
    <row r="651" spans="1:33" x14ac:dyDescent="0.2">
      <c r="A651" s="27">
        <v>14</v>
      </c>
      <c r="B651" s="28">
        <v>6.2792576799999997</v>
      </c>
      <c r="C651" s="28">
        <f>(B651-MIN($B$651:$B$655))/(MAX($B$651:$B$655)-MIN($B$651:$B$655))</f>
        <v>1</v>
      </c>
      <c r="D651" s="52">
        <v>198.392</v>
      </c>
      <c r="E651" s="47">
        <v>679.98</v>
      </c>
      <c r="F651" s="44">
        <v>15.46</v>
      </c>
      <c r="G651" s="11">
        <v>8.0849999999999997E-4</v>
      </c>
      <c r="H651" s="44">
        <f t="shared" si="42"/>
        <v>245.53465346534654</v>
      </c>
      <c r="I651" s="52">
        <f t="shared" si="41"/>
        <v>0.22096052394188412</v>
      </c>
      <c r="J651" s="52">
        <v>0.56599999999999995</v>
      </c>
      <c r="K651" s="75">
        <v>-4.8601999999999999</v>
      </c>
      <c r="L651" s="81">
        <v>995.18</v>
      </c>
      <c r="M651" s="13">
        <v>8.3000000000000001E-3</v>
      </c>
      <c r="N651" s="12">
        <v>-7.9784999999999999E-6</v>
      </c>
      <c r="O651" s="93">
        <v>0.24540000000000001</v>
      </c>
      <c r="P651" s="94">
        <v>0.26550000000000001</v>
      </c>
      <c r="Q651" s="95">
        <v>0.28570000000000001</v>
      </c>
      <c r="R651" s="111">
        <v>28.26</v>
      </c>
      <c r="S651" s="118">
        <v>-4113.6000000000004</v>
      </c>
      <c r="T651" s="125">
        <v>-6.4062000000000001</v>
      </c>
      <c r="U651" s="14">
        <v>0</v>
      </c>
      <c r="V651" s="30">
        <v>0</v>
      </c>
      <c r="W651" s="138">
        <v>237.142</v>
      </c>
      <c r="X651" s="13">
        <v>1.2524999999999999</v>
      </c>
      <c r="Y651" s="14">
        <v>-3.1638999999999999E-3</v>
      </c>
      <c r="Z651" s="30">
        <v>3.6501E-6</v>
      </c>
      <c r="AA651" s="77">
        <v>0.1497</v>
      </c>
      <c r="AB651" s="5">
        <v>-3.6746999999999999E-5</v>
      </c>
      <c r="AC651" s="15">
        <v>-1.9761999999999999E-7</v>
      </c>
      <c r="AD651" s="146">
        <v>77.007999999999996</v>
      </c>
      <c r="AE651" s="147">
        <v>0.38</v>
      </c>
      <c r="AF651" s="150">
        <v>51.747999999999998</v>
      </c>
      <c r="AG651" s="152">
        <v>1.2222</v>
      </c>
    </row>
    <row r="652" spans="1:33" x14ac:dyDescent="0.2">
      <c r="A652" s="27">
        <v>14</v>
      </c>
      <c r="B652" s="28">
        <v>4.4527014062500001</v>
      </c>
      <c r="C652" s="28">
        <f>(B652-MIN($B$651:$B$655))/(MAX($B$651:$B$655)-MIN($B$651:$B$655))</f>
        <v>0.58436975826791637</v>
      </c>
      <c r="D652" s="52">
        <v>198.392</v>
      </c>
      <c r="E652" s="47">
        <v>668.89</v>
      </c>
      <c r="F652" s="44">
        <v>15.43</v>
      </c>
      <c r="G652" s="11">
        <v>8.0749999999999995E-4</v>
      </c>
      <c r="H652" s="44">
        <f t="shared" si="42"/>
        <v>245.83890954151175</v>
      </c>
      <c r="I652" s="52">
        <f t="shared" si="41"/>
        <v>0.22391064313864237</v>
      </c>
      <c r="J652" s="52">
        <v>0.59499999999999997</v>
      </c>
      <c r="K652" s="75">
        <v>-5.0473999999999997</v>
      </c>
      <c r="L652" s="81">
        <v>1004.5</v>
      </c>
      <c r="M652" s="13">
        <v>8.9999999999999993E-3</v>
      </c>
      <c r="N652" s="12">
        <v>-8.6520999999999997E-6</v>
      </c>
      <c r="O652" s="93">
        <v>0.2457</v>
      </c>
      <c r="P652" s="94">
        <v>0.26219999999999999</v>
      </c>
      <c r="Q652" s="95">
        <v>0.28570000000000001</v>
      </c>
      <c r="R652" s="111">
        <v>28.399000000000001</v>
      </c>
      <c r="S652" s="118">
        <v>-4104.3999999999996</v>
      </c>
      <c r="T652" s="125">
        <v>-6.4413999999999998</v>
      </c>
      <c r="U652" s="14">
        <v>0</v>
      </c>
      <c r="V652" s="30">
        <v>0</v>
      </c>
      <c r="W652" s="138">
        <v>248.18600000000001</v>
      </c>
      <c r="X652" s="13">
        <v>1.2123999999999999</v>
      </c>
      <c r="Y652" s="14">
        <v>-3.1664000000000002E-3</v>
      </c>
      <c r="Z652" s="30">
        <v>3.8018000000000002E-6</v>
      </c>
      <c r="AA652" s="77">
        <v>0.1532</v>
      </c>
      <c r="AB652" s="5">
        <v>-4.6461999999999997E-5</v>
      </c>
      <c r="AC652" s="15">
        <v>-1.9765E-7</v>
      </c>
      <c r="AD652" s="146">
        <v>76.442999999999998</v>
      </c>
      <c r="AE652" s="147">
        <v>0.38</v>
      </c>
      <c r="AF652" s="150">
        <v>51.945</v>
      </c>
      <c r="AG652" s="152">
        <v>1.2222</v>
      </c>
    </row>
    <row r="653" spans="1:33" x14ac:dyDescent="0.2">
      <c r="A653" s="27">
        <v>14</v>
      </c>
      <c r="B653" s="28">
        <v>4.1494770450000003</v>
      </c>
      <c r="C653" s="28">
        <f>(B653-MIN($B$651:$B$655))/(MAX($B$651:$B$655)-MIN($B$651:$B$655))</f>
        <v>0.51537149285633366</v>
      </c>
      <c r="D653" s="52">
        <v>198.392</v>
      </c>
      <c r="E653" s="47">
        <v>686.04</v>
      </c>
      <c r="F653" s="44">
        <v>15.43</v>
      </c>
      <c r="G653" s="11">
        <v>8.0749999999999995E-4</v>
      </c>
      <c r="H653" s="44">
        <f t="shared" si="42"/>
        <v>245.83890954151175</v>
      </c>
      <c r="I653" s="52">
        <f t="shared" si="41"/>
        <v>0.21831320344149976</v>
      </c>
      <c r="J653" s="52">
        <v>0.59499999999999997</v>
      </c>
      <c r="K653" s="75">
        <v>-5.1096000000000004</v>
      </c>
      <c r="L653" s="81">
        <v>1041.3</v>
      </c>
      <c r="M653" s="13">
        <v>8.8000000000000005E-3</v>
      </c>
      <c r="N653" s="12">
        <v>-8.2892000000000002E-6</v>
      </c>
      <c r="O653" s="93">
        <v>0.2457</v>
      </c>
      <c r="P653" s="94">
        <v>0.25990000000000002</v>
      </c>
      <c r="Q653" s="95">
        <v>0.28570000000000001</v>
      </c>
      <c r="R653" s="111">
        <v>28.262</v>
      </c>
      <c r="S653" s="118">
        <v>-4192.8999999999996</v>
      </c>
      <c r="T653" s="125">
        <v>-6.3768000000000002</v>
      </c>
      <c r="U653" s="14">
        <v>0</v>
      </c>
      <c r="V653" s="30">
        <v>0</v>
      </c>
      <c r="W653" s="138">
        <v>256.88900000000001</v>
      </c>
      <c r="X653" s="13">
        <v>1.1487000000000001</v>
      </c>
      <c r="Y653" s="14">
        <v>-2.9429E-3</v>
      </c>
      <c r="Z653" s="30">
        <v>3.5024999999999999E-6</v>
      </c>
      <c r="AA653" s="77">
        <v>0.15359999999999999</v>
      </c>
      <c r="AB653" s="5">
        <v>-4.613E-5</v>
      </c>
      <c r="AC653" s="15">
        <v>-1.8761E-7</v>
      </c>
      <c r="AD653" s="146">
        <v>78.590999999999994</v>
      </c>
      <c r="AE653" s="147">
        <v>0.38</v>
      </c>
      <c r="AF653" s="150">
        <v>52.406999999999996</v>
      </c>
      <c r="AG653" s="152">
        <v>1.2222</v>
      </c>
    </row>
    <row r="654" spans="1:33" x14ac:dyDescent="0.2">
      <c r="A654" s="27">
        <v>14</v>
      </c>
      <c r="B654" s="28">
        <v>2.5595863599999999</v>
      </c>
      <c r="C654" s="28">
        <f>(B654-MIN($B$651:$B$655))/(MAX($B$651:$B$655)-MIN($B$651:$B$655))</f>
        <v>0.15359416399393111</v>
      </c>
      <c r="D654" s="52">
        <v>198.392</v>
      </c>
      <c r="E654" s="47">
        <v>684.08</v>
      </c>
      <c r="F654" s="44">
        <v>15.33</v>
      </c>
      <c r="G654" s="11">
        <v>8.1349999999999999E-4</v>
      </c>
      <c r="H654" s="44">
        <f t="shared" si="42"/>
        <v>244.02460024600245</v>
      </c>
      <c r="I654" s="52">
        <f t="shared" si="41"/>
        <v>0.21913703785297381</v>
      </c>
      <c r="J654" s="52">
        <v>0.622</v>
      </c>
      <c r="K654" s="75">
        <v>-5.2702999999999998</v>
      </c>
      <c r="L654" s="81">
        <v>1062.4000000000001</v>
      </c>
      <c r="M654" s="13">
        <v>9.2999999999999992E-3</v>
      </c>
      <c r="N654" s="12">
        <v>-8.6570000000000003E-6</v>
      </c>
      <c r="O654" s="93">
        <v>0.24390000000000001</v>
      </c>
      <c r="P654" s="94">
        <v>0.26369999999999999</v>
      </c>
      <c r="Q654" s="95">
        <v>0.28570000000000001</v>
      </c>
      <c r="R654" s="111">
        <v>28.524999999999999</v>
      </c>
      <c r="S654" s="118">
        <v>-4244.3</v>
      </c>
      <c r="T654" s="125">
        <v>-6.4405999999999999</v>
      </c>
      <c r="U654" s="14">
        <v>0</v>
      </c>
      <c r="V654" s="30">
        <v>0</v>
      </c>
      <c r="W654" s="138">
        <v>238.01</v>
      </c>
      <c r="X654" s="13">
        <v>1.3121</v>
      </c>
      <c r="Y654" s="14">
        <v>-3.3216000000000001E-3</v>
      </c>
      <c r="Z654" s="30">
        <v>3.7907E-6</v>
      </c>
      <c r="AA654" s="77">
        <v>0.15160000000000001</v>
      </c>
      <c r="AB654" s="5">
        <v>-3.5499E-5</v>
      </c>
      <c r="AC654" s="15">
        <v>-1.9999999999999999E-7</v>
      </c>
      <c r="AD654" s="146">
        <v>79.174999999999997</v>
      </c>
      <c r="AE654" s="147">
        <v>0.38</v>
      </c>
      <c r="AF654" s="150">
        <v>52.76</v>
      </c>
      <c r="AG654" s="152">
        <v>1.2222</v>
      </c>
    </row>
    <row r="655" spans="1:33" x14ac:dyDescent="0.2">
      <c r="A655" s="27">
        <v>14</v>
      </c>
      <c r="B655" s="28">
        <v>1.8845912425</v>
      </c>
      <c r="C655" s="28">
        <f>(B655-MIN($B$651:$B$655))/(MAX($B$651:$B$655)-MIN($B$651:$B$655))</f>
        <v>0</v>
      </c>
      <c r="D655" s="52">
        <v>198.392</v>
      </c>
      <c r="E655" s="47">
        <v>685.13</v>
      </c>
      <c r="F655" s="44">
        <v>15.33</v>
      </c>
      <c r="G655" s="11">
        <v>8.1349999999999999E-4</v>
      </c>
      <c r="H655" s="44">
        <f t="shared" si="42"/>
        <v>244.02460024600245</v>
      </c>
      <c r="I655" s="52">
        <f t="shared" si="41"/>
        <v>0.21880119810030554</v>
      </c>
      <c r="J655" s="52">
        <v>0.622</v>
      </c>
      <c r="K655" s="75">
        <v>-5.2727000000000004</v>
      </c>
      <c r="L655" s="81">
        <v>1064.5</v>
      </c>
      <c r="M655" s="13">
        <v>9.2999999999999992E-3</v>
      </c>
      <c r="N655" s="12">
        <v>-8.6326999999999995E-6</v>
      </c>
      <c r="O655" s="93">
        <v>0.24390000000000001</v>
      </c>
      <c r="P655" s="94">
        <v>0.26119999999999999</v>
      </c>
      <c r="Q655" s="95">
        <v>0.28570000000000001</v>
      </c>
      <c r="R655" s="111">
        <v>28.486999999999998</v>
      </c>
      <c r="S655" s="118">
        <v>-4247.3999999999996</v>
      </c>
      <c r="T655" s="125">
        <v>-6.4276</v>
      </c>
      <c r="U655" s="14">
        <v>0</v>
      </c>
      <c r="V655" s="30">
        <v>0</v>
      </c>
      <c r="W655" s="138">
        <v>245.34200000000001</v>
      </c>
      <c r="X655" s="13">
        <v>1.262</v>
      </c>
      <c r="Y655" s="14">
        <v>-3.2141000000000001E-3</v>
      </c>
      <c r="Z655" s="30">
        <v>3.721E-6</v>
      </c>
      <c r="AA655" s="77">
        <v>0.15279999999999999</v>
      </c>
      <c r="AB655" s="5">
        <v>-3.9629999999999998E-5</v>
      </c>
      <c r="AC655" s="15">
        <v>-1.9574E-7</v>
      </c>
      <c r="AD655" s="146">
        <v>79.308000000000007</v>
      </c>
      <c r="AE655" s="147">
        <v>0.38</v>
      </c>
      <c r="AF655" s="150">
        <v>52.789000000000001</v>
      </c>
      <c r="AG655" s="152">
        <v>1.2222</v>
      </c>
    </row>
    <row r="656" spans="1:33" x14ac:dyDescent="0.2">
      <c r="A656" s="27">
        <v>15</v>
      </c>
      <c r="B656" s="28">
        <v>4.1367451187500004</v>
      </c>
      <c r="C656" s="28">
        <f>(B656-MIN($B$656:$B$660))/(MAX($B$656:$B$660)-MIN($B$656:$B$660))</f>
        <v>0.51507162877073565</v>
      </c>
      <c r="D656" s="52">
        <v>212.41900000000001</v>
      </c>
      <c r="E656" s="47">
        <v>701.64</v>
      </c>
      <c r="F656" s="44">
        <v>14.33</v>
      </c>
      <c r="G656" s="11">
        <v>8.6350000000000001E-4</v>
      </c>
      <c r="H656" s="44">
        <f t="shared" si="42"/>
        <v>246.14020857473929</v>
      </c>
      <c r="I656" s="52">
        <f t="shared" si="41"/>
        <v>0.21199842090979618</v>
      </c>
      <c r="J656" s="52">
        <v>0.629</v>
      </c>
      <c r="K656" s="75">
        <v>-5.0890000000000004</v>
      </c>
      <c r="L656" s="81">
        <v>1072.7</v>
      </c>
      <c r="M656" s="13">
        <v>8.6E-3</v>
      </c>
      <c r="N656" s="12">
        <v>-7.9178999999999992E-6</v>
      </c>
      <c r="O656" s="93">
        <v>0.246</v>
      </c>
      <c r="P656" s="94">
        <v>0.25969999999999999</v>
      </c>
      <c r="Q656" s="95">
        <v>0.28570000000000001</v>
      </c>
      <c r="R656" s="111">
        <v>29.38</v>
      </c>
      <c r="S656" s="118">
        <v>-4435.7</v>
      </c>
      <c r="T656" s="125">
        <v>-6.6851000000000003</v>
      </c>
      <c r="U656" s="14">
        <v>0</v>
      </c>
      <c r="V656" s="30">
        <v>0</v>
      </c>
      <c r="W656" s="138">
        <v>268.87200000000001</v>
      </c>
      <c r="X656" s="13">
        <v>1.2672000000000001</v>
      </c>
      <c r="Y656" s="14">
        <v>-3.1971999999999999E-3</v>
      </c>
      <c r="Z656" s="30">
        <v>3.6743999999999999E-6</v>
      </c>
      <c r="AA656" s="77">
        <v>0.15</v>
      </c>
      <c r="AB656" s="5">
        <v>-3.9285000000000001E-5</v>
      </c>
      <c r="AC656" s="15">
        <v>-1.8185999999999999E-7</v>
      </c>
      <c r="AD656" s="146">
        <v>82.727999999999994</v>
      </c>
      <c r="AE656" s="147">
        <v>0.38</v>
      </c>
      <c r="AF656" s="150">
        <v>52.345999999999997</v>
      </c>
      <c r="AG656" s="152">
        <v>1.2222</v>
      </c>
    </row>
    <row r="657" spans="1:33" x14ac:dyDescent="0.2">
      <c r="A657" s="27">
        <v>15</v>
      </c>
      <c r="B657" s="28">
        <v>6.2622156049999997</v>
      </c>
      <c r="C657" s="28">
        <f>(B657-MIN($B$656:$B$660))/(MAX($B$656:$B$660)-MIN($B$656:$B$660))</f>
        <v>1</v>
      </c>
      <c r="D657" s="52">
        <v>212.41900000000001</v>
      </c>
      <c r="E657" s="47">
        <v>694.17</v>
      </c>
      <c r="F657" s="44">
        <v>14.36</v>
      </c>
      <c r="G657" s="11">
        <v>8.6450000000000003E-4</v>
      </c>
      <c r="H657" s="44">
        <f t="shared" si="42"/>
        <v>245.85532407407408</v>
      </c>
      <c r="I657" s="52">
        <f t="shared" si="41"/>
        <v>0.21497716008023096</v>
      </c>
      <c r="J657" s="52">
        <v>0.60099999999999998</v>
      </c>
      <c r="K657" s="75">
        <v>-4.8601000000000001</v>
      </c>
      <c r="L657" s="81">
        <v>1027.0999999999999</v>
      </c>
      <c r="M657" s="13">
        <v>8.0999999999999996E-3</v>
      </c>
      <c r="N657" s="12">
        <v>-7.6792999999999995E-6</v>
      </c>
      <c r="O657" s="93">
        <v>0.2457</v>
      </c>
      <c r="P657" s="94">
        <v>0.2651</v>
      </c>
      <c r="Q657" s="95">
        <v>0.28570000000000001</v>
      </c>
      <c r="R657" s="111">
        <v>29.437999999999999</v>
      </c>
      <c r="S657" s="118">
        <v>-4352.3999999999996</v>
      </c>
      <c r="T657" s="125">
        <v>-6.7344999999999997</v>
      </c>
      <c r="U657" s="14">
        <v>0</v>
      </c>
      <c r="V657" s="30">
        <v>0</v>
      </c>
      <c r="W657" s="138">
        <v>246.22800000000001</v>
      </c>
      <c r="X657" s="13">
        <v>1.3896999999999999</v>
      </c>
      <c r="Y657" s="14">
        <v>-3.4613999999999999E-3</v>
      </c>
      <c r="Z657" s="30">
        <v>3.8620999999999998E-6</v>
      </c>
      <c r="AA657" s="77">
        <v>0.14610000000000001</v>
      </c>
      <c r="AB657" s="5">
        <v>-2.9875000000000001E-5</v>
      </c>
      <c r="AC657" s="15">
        <v>-1.9240999999999999E-7</v>
      </c>
      <c r="AD657" s="146">
        <v>80.953999999999994</v>
      </c>
      <c r="AE657" s="147">
        <v>0.38</v>
      </c>
      <c r="AF657" s="150">
        <v>51.658999999999999</v>
      </c>
      <c r="AG657" s="152">
        <v>1.2222</v>
      </c>
    </row>
    <row r="658" spans="1:33" x14ac:dyDescent="0.2">
      <c r="A658" s="27">
        <v>15</v>
      </c>
      <c r="B658" s="28">
        <v>4.4344075375000003</v>
      </c>
      <c r="C658" s="28">
        <f>(B658-MIN($B$656:$B$660))/(MAX($B$656:$B$660)-MIN($B$656:$B$660))</f>
        <v>0.58298362888289468</v>
      </c>
      <c r="D658" s="52">
        <v>212.41900000000001</v>
      </c>
      <c r="E658" s="47">
        <v>683.39</v>
      </c>
      <c r="F658" s="44">
        <v>14.33</v>
      </c>
      <c r="G658" s="11">
        <v>8.6350000000000001E-4</v>
      </c>
      <c r="H658" s="44">
        <f t="shared" si="42"/>
        <v>246.14020857473929</v>
      </c>
      <c r="I658" s="52">
        <f t="shared" si="41"/>
        <v>0.2176598604708137</v>
      </c>
      <c r="J658" s="52">
        <v>0.629</v>
      </c>
      <c r="K658" s="75">
        <v>-5.0263</v>
      </c>
      <c r="L658" s="81">
        <v>1034.3</v>
      </c>
      <c r="M658" s="13">
        <v>8.6999999999999994E-3</v>
      </c>
      <c r="N658" s="12">
        <v>-8.276E-6</v>
      </c>
      <c r="O658" s="93">
        <v>0.246</v>
      </c>
      <c r="P658" s="94">
        <v>0.26169999999999999</v>
      </c>
      <c r="Q658" s="95">
        <v>0.28570000000000001</v>
      </c>
      <c r="R658" s="111">
        <v>29.556999999999999</v>
      </c>
      <c r="S658" s="118">
        <v>-4340.8</v>
      </c>
      <c r="T658" s="125">
        <v>-6.7641</v>
      </c>
      <c r="U658" s="14">
        <v>0</v>
      </c>
      <c r="V658" s="30">
        <v>0</v>
      </c>
      <c r="W658" s="138">
        <v>258.50700000000001</v>
      </c>
      <c r="X658" s="13">
        <v>1.3429</v>
      </c>
      <c r="Y658" s="14">
        <v>-3.4545999999999999E-3</v>
      </c>
      <c r="Z658" s="30">
        <v>4.0075000000000002E-6</v>
      </c>
      <c r="AA658" s="77">
        <v>0.14960000000000001</v>
      </c>
      <c r="AB658" s="5">
        <v>-3.9379999999999999E-5</v>
      </c>
      <c r="AC658" s="15">
        <v>-1.9208000000000001E-7</v>
      </c>
      <c r="AD658" s="146">
        <v>80.376000000000005</v>
      </c>
      <c r="AE658" s="147">
        <v>0.38</v>
      </c>
      <c r="AF658" s="150">
        <v>51.866</v>
      </c>
      <c r="AG658" s="152">
        <v>1.2222</v>
      </c>
    </row>
    <row r="659" spans="1:33" x14ac:dyDescent="0.2">
      <c r="A659" s="27">
        <v>15</v>
      </c>
      <c r="B659" s="28">
        <v>2.5541315999999998</v>
      </c>
      <c r="C659" s="28">
        <f>(B659-MIN($B$656:$B$660))/(MAX($B$656:$B$660)-MIN($B$656:$B$660))</f>
        <v>0.1539966569479633</v>
      </c>
      <c r="D659" s="52">
        <v>212.41900000000001</v>
      </c>
      <c r="E659" s="47">
        <v>698.98</v>
      </c>
      <c r="F659" s="44">
        <v>14.24</v>
      </c>
      <c r="G659" s="11">
        <v>8.6950000000000005E-4</v>
      </c>
      <c r="H659" s="44">
        <f t="shared" si="42"/>
        <v>244.44073647871119</v>
      </c>
      <c r="I659" s="52">
        <f t="shared" si="41"/>
        <v>0.21293889505704222</v>
      </c>
      <c r="J659" s="52">
        <v>0.65400000000000003</v>
      </c>
      <c r="K659" s="75">
        <v>-5.2298</v>
      </c>
      <c r="L659" s="81">
        <v>1090.0999999999999</v>
      </c>
      <c r="M659" s="13">
        <v>8.9999999999999993E-3</v>
      </c>
      <c r="N659" s="12">
        <v>-8.2544000000000001E-6</v>
      </c>
      <c r="O659" s="93">
        <v>0.24429999999999999</v>
      </c>
      <c r="P659" s="94">
        <v>0.26350000000000001</v>
      </c>
      <c r="Q659" s="95">
        <v>0.28570000000000001</v>
      </c>
      <c r="R659" s="111">
        <v>29.67</v>
      </c>
      <c r="S659" s="118">
        <v>-4484.3999999999996</v>
      </c>
      <c r="T659" s="125">
        <v>-6.7591000000000001</v>
      </c>
      <c r="U659" s="14">
        <v>0</v>
      </c>
      <c r="V659" s="30">
        <v>0</v>
      </c>
      <c r="W659" s="138">
        <v>243.17099999999999</v>
      </c>
      <c r="X659" s="13">
        <v>1.4743999999999999</v>
      </c>
      <c r="Y659" s="14">
        <v>-3.6657999999999999E-3</v>
      </c>
      <c r="Z659" s="30">
        <v>4.0226999999999996E-6</v>
      </c>
      <c r="AA659" s="77">
        <v>0.14729999999999999</v>
      </c>
      <c r="AB659" s="5">
        <v>-2.6859000000000002E-5</v>
      </c>
      <c r="AC659" s="15">
        <v>-1.9565999999999999E-7</v>
      </c>
      <c r="AD659" s="146">
        <v>83.197999999999993</v>
      </c>
      <c r="AE659" s="147">
        <v>0.38</v>
      </c>
      <c r="AF659" s="150">
        <v>52.677999999999997</v>
      </c>
      <c r="AG659" s="152">
        <v>1.2222</v>
      </c>
    </row>
    <row r="660" spans="1:33" x14ac:dyDescent="0.2">
      <c r="A660" s="27">
        <v>15</v>
      </c>
      <c r="B660" s="28">
        <v>1.879154905</v>
      </c>
      <c r="C660" s="28">
        <f>(B660-MIN($B$656:$B$660))/(MAX($B$656:$B$660)-MIN($B$656:$B$660))</f>
        <v>0</v>
      </c>
      <c r="D660" s="52">
        <v>212.41900000000001</v>
      </c>
      <c r="E660" s="47">
        <v>700.41</v>
      </c>
      <c r="F660" s="44">
        <v>14.24</v>
      </c>
      <c r="G660" s="11">
        <v>8.6950000000000005E-4</v>
      </c>
      <c r="H660" s="44">
        <f t="shared" si="42"/>
        <v>244.44073647871119</v>
      </c>
      <c r="I660" s="52">
        <f t="shared" si="41"/>
        <v>0.21250414595304376</v>
      </c>
      <c r="J660" s="52">
        <v>0.65400000000000003</v>
      </c>
      <c r="K660" s="75">
        <v>-5.2329999999999997</v>
      </c>
      <c r="L660" s="81">
        <v>1092.8</v>
      </c>
      <c r="M660" s="13">
        <v>8.9999999999999993E-3</v>
      </c>
      <c r="N660" s="12">
        <v>-8.2239999999999995E-6</v>
      </c>
      <c r="O660" s="93">
        <v>0.24429999999999999</v>
      </c>
      <c r="P660" s="94">
        <v>0.26119999999999999</v>
      </c>
      <c r="Q660" s="95">
        <v>0.28570000000000001</v>
      </c>
      <c r="R660" s="111">
        <v>29.617000000000001</v>
      </c>
      <c r="S660" s="118">
        <v>-4488.7</v>
      </c>
      <c r="T660" s="125">
        <v>-6.7408000000000001</v>
      </c>
      <c r="U660" s="14">
        <v>0</v>
      </c>
      <c r="V660" s="30">
        <v>0</v>
      </c>
      <c r="W660" s="138">
        <v>260.00099999999998</v>
      </c>
      <c r="X660" s="13">
        <v>1.3602000000000001</v>
      </c>
      <c r="Y660" s="14">
        <v>-3.4204999999999999E-3</v>
      </c>
      <c r="Z660" s="30">
        <v>3.8556E-6</v>
      </c>
      <c r="AA660" s="77">
        <v>0.14960000000000001</v>
      </c>
      <c r="AB660" s="5">
        <v>-3.4638000000000003E-5</v>
      </c>
      <c r="AC660" s="15">
        <v>-1.882E-7</v>
      </c>
      <c r="AD660" s="146">
        <v>83.384</v>
      </c>
      <c r="AE660" s="147">
        <v>0.38</v>
      </c>
      <c r="AF660" s="150">
        <v>52.716000000000001</v>
      </c>
      <c r="AG660" s="152">
        <v>1.2222</v>
      </c>
    </row>
    <row r="661" spans="1:33" x14ac:dyDescent="0.2">
      <c r="A661" s="27">
        <v>16</v>
      </c>
      <c r="B661" s="28">
        <v>6.2432993999999997</v>
      </c>
      <c r="C661" s="28">
        <f>(B661-MIN($B$661:$B$666))/(MAX($B$661:$B$666)-MIN($B$661:$B$666))</f>
        <v>0.24724039613265875</v>
      </c>
      <c r="D661" s="29">
        <v>226.446</v>
      </c>
      <c r="E661" s="47">
        <v>708.68</v>
      </c>
      <c r="F661" s="44">
        <v>13.37</v>
      </c>
      <c r="G661" s="11">
        <v>9.2049999999999999E-4</v>
      </c>
      <c r="H661" s="44">
        <f t="shared" si="42"/>
        <v>246.13695652173914</v>
      </c>
      <c r="I661" s="52">
        <f t="shared" si="41"/>
        <v>0.20876564803794034</v>
      </c>
      <c r="J661" s="52">
        <v>0.63200000000000001</v>
      </c>
      <c r="K661" s="75">
        <v>-4.8470000000000004</v>
      </c>
      <c r="L661" s="81">
        <v>1057.2</v>
      </c>
      <c r="M661" s="13">
        <v>7.9000000000000008E-3</v>
      </c>
      <c r="N661" s="12">
        <v>-7.3648000000000002E-6</v>
      </c>
      <c r="O661" s="93">
        <v>0.246</v>
      </c>
      <c r="P661" s="94">
        <v>0.26479999999999998</v>
      </c>
      <c r="Q661" s="95">
        <v>0.28570000000000001</v>
      </c>
      <c r="R661" s="111">
        <v>30.724</v>
      </c>
      <c r="S661" s="118">
        <v>-4603.2</v>
      </c>
      <c r="T661" s="125">
        <v>-7.0960999999999999</v>
      </c>
      <c r="U661" s="14">
        <v>0</v>
      </c>
      <c r="V661" s="30">
        <v>0</v>
      </c>
      <c r="W661" s="138">
        <v>254.52099999999999</v>
      </c>
      <c r="X661" s="13">
        <v>1.5282</v>
      </c>
      <c r="Y661" s="14">
        <v>-3.7512000000000001E-3</v>
      </c>
      <c r="Z661" s="30">
        <v>4.0535000000000002E-6</v>
      </c>
      <c r="AA661" s="77">
        <v>0.14269999999999999</v>
      </c>
      <c r="AB661" s="5">
        <v>-2.3496E-5</v>
      </c>
      <c r="AC661" s="15">
        <v>-1.8734000000000001E-7</v>
      </c>
      <c r="AD661" s="146">
        <v>84.951999999999998</v>
      </c>
      <c r="AE661" s="147">
        <v>0.38</v>
      </c>
      <c r="AF661" s="150">
        <v>51.616</v>
      </c>
      <c r="AG661" s="152">
        <v>1.2222</v>
      </c>
    </row>
    <row r="662" spans="1:33" x14ac:dyDescent="0.2">
      <c r="A662" s="27">
        <v>16</v>
      </c>
      <c r="B662" s="28">
        <v>4.4220571837499998</v>
      </c>
      <c r="C662" s="28">
        <f t="shared" ref="C662:C666" si="43">(B662-MIN($B$661:$B$666))/(MAX($B$661:$B$666)-MIN($B$661:$B$666))</f>
        <v>0.14421576342572731</v>
      </c>
      <c r="D662" s="29">
        <v>226.446</v>
      </c>
      <c r="E662" s="47">
        <v>695.62</v>
      </c>
      <c r="F662" s="44">
        <v>13.34</v>
      </c>
      <c r="G662" s="11">
        <v>9.1949999999999996E-4</v>
      </c>
      <c r="H662" s="44">
        <f t="shared" si="42"/>
        <v>246.40478781284006</v>
      </c>
      <c r="I662" s="52">
        <f t="shared" si="41"/>
        <v>0.21197725343077126</v>
      </c>
      <c r="J662" s="52">
        <v>0.65900000000000003</v>
      </c>
      <c r="K662" s="75">
        <v>-4.9813999999999998</v>
      </c>
      <c r="L662" s="81">
        <v>1056.5</v>
      </c>
      <c r="M662" s="13">
        <v>8.3999999999999995E-3</v>
      </c>
      <c r="N662" s="12">
        <v>-7.9353000000000001E-6</v>
      </c>
      <c r="O662" s="93">
        <v>0.24629999999999999</v>
      </c>
      <c r="P662" s="94">
        <v>0.26129999999999998</v>
      </c>
      <c r="Q662" s="95">
        <v>0.28570000000000001</v>
      </c>
      <c r="R662" s="111">
        <v>30.922999999999998</v>
      </c>
      <c r="S662" s="118">
        <v>-4581</v>
      </c>
      <c r="T662" s="125">
        <v>-7.1548999999999996</v>
      </c>
      <c r="U662" s="14">
        <v>0</v>
      </c>
      <c r="V662" s="30">
        <v>0</v>
      </c>
      <c r="W662" s="138">
        <v>266.096</v>
      </c>
      <c r="X662" s="13">
        <v>1.4887999999999999</v>
      </c>
      <c r="Y662" s="14">
        <v>-3.7813E-3</v>
      </c>
      <c r="Z662" s="30">
        <v>4.2498000000000004E-6</v>
      </c>
      <c r="AA662" s="77">
        <v>0.14610000000000001</v>
      </c>
      <c r="AB662" s="5">
        <v>-3.2787999999999998E-5</v>
      </c>
      <c r="AC662" s="15">
        <v>-1.8813E-7</v>
      </c>
      <c r="AD662" s="146">
        <v>84.015000000000001</v>
      </c>
      <c r="AE662" s="147">
        <v>0.38</v>
      </c>
      <c r="AF662" s="150">
        <v>51.758000000000003</v>
      </c>
      <c r="AG662" s="152">
        <v>1.2222</v>
      </c>
    </row>
    <row r="663" spans="1:33" x14ac:dyDescent="0.2">
      <c r="A663" s="27">
        <v>16</v>
      </c>
      <c r="B663" s="28">
        <v>4.1249991149999996</v>
      </c>
      <c r="C663" s="28">
        <f t="shared" si="43"/>
        <v>0.12741168423596722</v>
      </c>
      <c r="D663" s="29">
        <v>226.446</v>
      </c>
      <c r="E663" s="47">
        <v>716.26</v>
      </c>
      <c r="F663" s="44">
        <v>13.34</v>
      </c>
      <c r="G663" s="11">
        <v>9.1949999999999996E-4</v>
      </c>
      <c r="H663" s="44">
        <f t="shared" si="42"/>
        <v>246.40478781284006</v>
      </c>
      <c r="I663" s="52">
        <f t="shared" si="41"/>
        <v>0.20586884236382474</v>
      </c>
      <c r="J663" s="52">
        <v>0.65900000000000003</v>
      </c>
      <c r="K663" s="75">
        <v>-5.0530999999999997</v>
      </c>
      <c r="L663" s="81">
        <v>1099.8</v>
      </c>
      <c r="M663" s="13">
        <v>8.3000000000000001E-3</v>
      </c>
      <c r="N663" s="12">
        <v>-7.5630999999999996E-6</v>
      </c>
      <c r="O663" s="93">
        <v>0.24629999999999999</v>
      </c>
      <c r="P663" s="94">
        <v>0.25950000000000001</v>
      </c>
      <c r="Q663" s="95">
        <v>0.28570000000000001</v>
      </c>
      <c r="R663" s="111">
        <v>30.646999999999998</v>
      </c>
      <c r="S663" s="118">
        <v>-4686</v>
      </c>
      <c r="T663" s="125">
        <v>-7.0415999999999999</v>
      </c>
      <c r="U663" s="14">
        <v>0</v>
      </c>
      <c r="V663" s="30">
        <v>0</v>
      </c>
      <c r="W663" s="138">
        <v>279.36700000000002</v>
      </c>
      <c r="X663" s="13">
        <v>1.3919999999999999</v>
      </c>
      <c r="Y663" s="14">
        <v>-3.4616999999999998E-3</v>
      </c>
      <c r="Z663" s="30">
        <v>3.8496999999999998E-6</v>
      </c>
      <c r="AA663" s="77">
        <v>0.14660000000000001</v>
      </c>
      <c r="AB663" s="5">
        <v>-3.2954000000000003E-5</v>
      </c>
      <c r="AC663" s="15">
        <v>-1.7697999999999999E-7</v>
      </c>
      <c r="AD663" s="146">
        <v>86.745999999999995</v>
      </c>
      <c r="AE663" s="147">
        <v>0.38</v>
      </c>
      <c r="AF663" s="150">
        <v>52.290999999999997</v>
      </c>
      <c r="AG663" s="152">
        <v>1.2222</v>
      </c>
    </row>
    <row r="664" spans="1:33" x14ac:dyDescent="0.2">
      <c r="A664" s="27">
        <v>16</v>
      </c>
      <c r="B664" s="28">
        <v>1.8726490499999999</v>
      </c>
      <c r="C664" s="28">
        <f t="shared" si="43"/>
        <v>0</v>
      </c>
      <c r="D664" s="29">
        <v>226.446</v>
      </c>
      <c r="E664" s="47">
        <v>713.56</v>
      </c>
      <c r="F664" s="44">
        <v>13.26</v>
      </c>
      <c r="G664" s="11">
        <v>9.255E-4</v>
      </c>
      <c r="H664" s="44">
        <f t="shared" si="42"/>
        <v>244.80648648648648</v>
      </c>
      <c r="I664" s="52">
        <f t="shared" si="41"/>
        <v>0.20674962943009231</v>
      </c>
      <c r="J664" s="52">
        <v>0.68300000000000005</v>
      </c>
      <c r="K664" s="75">
        <v>-5.1757999999999997</v>
      </c>
      <c r="L664" s="81">
        <v>1114.5999999999999</v>
      </c>
      <c r="M664" s="13">
        <v>8.6999999999999994E-3</v>
      </c>
      <c r="N664" s="12">
        <v>-7.8567000000000005E-6</v>
      </c>
      <c r="O664" s="93">
        <v>0.2447</v>
      </c>
      <c r="P664" s="94">
        <v>0.26119999999999999</v>
      </c>
      <c r="Q664" s="95">
        <v>0.28570000000000001</v>
      </c>
      <c r="R664" s="111">
        <v>30.94</v>
      </c>
      <c r="S664" s="118">
        <v>-4733.3</v>
      </c>
      <c r="T664" s="125">
        <v>-7.1173999999999999</v>
      </c>
      <c r="U664" s="14">
        <v>0</v>
      </c>
      <c r="V664" s="30">
        <v>0</v>
      </c>
      <c r="W664" s="138">
        <v>269.55599999999998</v>
      </c>
      <c r="X664" s="13">
        <v>1.4898</v>
      </c>
      <c r="Y664" s="14">
        <v>-3.6995000000000001E-3</v>
      </c>
      <c r="Z664" s="30">
        <v>4.0493000000000003E-6</v>
      </c>
      <c r="AA664" s="77">
        <v>0.14630000000000001</v>
      </c>
      <c r="AB664" s="5">
        <v>-2.8776E-5</v>
      </c>
      <c r="AC664" s="15">
        <v>-1.8337000000000001E-7</v>
      </c>
      <c r="AD664" s="146">
        <v>87.18</v>
      </c>
      <c r="AE664" s="147">
        <v>0.38</v>
      </c>
      <c r="AF664" s="150">
        <v>52.612000000000002</v>
      </c>
      <c r="AG664" s="152">
        <v>1.2222</v>
      </c>
    </row>
    <row r="665" spans="1:33" x14ac:dyDescent="0.2">
      <c r="A665" s="27">
        <v>16</v>
      </c>
      <c r="B665" s="28">
        <v>2.546125875</v>
      </c>
      <c r="C665" s="28">
        <f t="shared" si="43"/>
        <v>3.80974600265531E-2</v>
      </c>
      <c r="D665" s="29">
        <v>226.446</v>
      </c>
      <c r="E665" s="47">
        <v>713.05</v>
      </c>
      <c r="F665" s="44">
        <v>13.26</v>
      </c>
      <c r="G665" s="11">
        <v>9.255E-4</v>
      </c>
      <c r="H665" s="44">
        <f t="shared" si="42"/>
        <v>244.80648648648648</v>
      </c>
      <c r="I665" s="52">
        <f t="shared" si="41"/>
        <v>0.20689750448935793</v>
      </c>
      <c r="J665" s="52">
        <v>0.68300000000000005</v>
      </c>
      <c r="K665" s="75">
        <v>-5.1745999999999999</v>
      </c>
      <c r="L665" s="81">
        <v>1113.5999999999999</v>
      </c>
      <c r="M665" s="13">
        <v>8.6999999999999994E-3</v>
      </c>
      <c r="N665" s="12">
        <v>-7.8667000000000004E-6</v>
      </c>
      <c r="O665" s="93">
        <v>0.2447</v>
      </c>
      <c r="P665" s="94">
        <v>0.26340000000000002</v>
      </c>
      <c r="Q665" s="95">
        <v>0.28570000000000001</v>
      </c>
      <c r="R665" s="111">
        <v>30.96</v>
      </c>
      <c r="S665" s="118">
        <v>-4731.8</v>
      </c>
      <c r="T665" s="125">
        <v>-7.1242999999999999</v>
      </c>
      <c r="U665" s="14">
        <v>0</v>
      </c>
      <c r="V665" s="30">
        <v>0</v>
      </c>
      <c r="W665" s="138">
        <v>258.86799999999999</v>
      </c>
      <c r="X665" s="13">
        <v>1.5606</v>
      </c>
      <c r="Y665" s="14">
        <v>-3.8430999999999999E-3</v>
      </c>
      <c r="Z665" s="30">
        <v>4.1357000000000001E-6</v>
      </c>
      <c r="AA665" s="77">
        <v>0.14480000000000001</v>
      </c>
      <c r="AB665" s="5">
        <v>-2.3873999999999999E-5</v>
      </c>
      <c r="AC665" s="15">
        <v>-1.8773E-7</v>
      </c>
      <c r="AD665" s="146">
        <v>87.111000000000004</v>
      </c>
      <c r="AE665" s="147">
        <v>0.38</v>
      </c>
      <c r="AF665" s="150">
        <v>52.598999999999997</v>
      </c>
      <c r="AG665" s="152">
        <v>1.2222</v>
      </c>
    </row>
    <row r="666" spans="1:33" x14ac:dyDescent="0.2">
      <c r="A666" s="27">
        <v>16</v>
      </c>
      <c r="B666" s="28">
        <v>19.550384640000001</v>
      </c>
      <c r="C666" s="28">
        <f t="shared" si="43"/>
        <v>1</v>
      </c>
      <c r="D666" s="29">
        <v>226.446</v>
      </c>
      <c r="E666" s="43">
        <v>692</v>
      </c>
      <c r="F666" s="43">
        <v>15.7</v>
      </c>
      <c r="G666" s="43">
        <v>8.92E-4</v>
      </c>
      <c r="H666" s="44">
        <f t="shared" si="42"/>
        <v>253.86322869955154</v>
      </c>
      <c r="I666" s="52">
        <f>LEFT(F666,5)*100000/(H666*8.314/(D666/1000)*LEFT(E666,6))</f>
        <v>0.24341559122366202</v>
      </c>
      <c r="J666" s="43">
        <v>0.54800000000000004</v>
      </c>
      <c r="K666" s="153" t="s">
        <v>33</v>
      </c>
      <c r="L666" s="81">
        <v>1303.7</v>
      </c>
      <c r="M666" s="13">
        <v>6.7999999999999996E-3</v>
      </c>
      <c r="N666" s="12">
        <v>-3.6934999999999999E-6</v>
      </c>
      <c r="O666" s="102">
        <v>0.39140000000000003</v>
      </c>
      <c r="P666" s="94">
        <v>0.40189999999999998</v>
      </c>
      <c r="Q666" s="95">
        <v>0.4909</v>
      </c>
      <c r="R666" s="111">
        <v>48.519500000000001</v>
      </c>
      <c r="S666" s="118">
        <v>-5223.6000000000004</v>
      </c>
      <c r="T666" s="125">
        <v>-13.326000000000001</v>
      </c>
      <c r="U666" s="14">
        <v>2.6197E-9</v>
      </c>
      <c r="V666" s="30">
        <v>2.2396000000000001E-6</v>
      </c>
      <c r="W666" s="155" t="str" cm="1">
        <f t="array" ref="W666">LEFT(INDEX($W$661:$W$666, MATCH(MIN(IF(ABS($B$661:$B$666-B666)&lt;&gt;0, ABS($B$661:$B$666-B666))), IF(ABS($B$661:$B$666-B666)&lt;&gt;0, ABS($B$661:$B$666-B666)), 0)),7)</f>
        <v>254.521</v>
      </c>
      <c r="X666" s="156" cm="1">
        <f t="array" ref="X666">INDEX($X$661:$X$666, MATCH(MIN(IF(ABS($B$661:$B$666-B666)&lt;&gt;0, ABS($B$661:$B$666-B666))), IF(ABS($B$661:$B$666-B666)&lt;&gt;0, ABS($B$661:$B$666-B666)), 0))</f>
        <v>1.5282</v>
      </c>
      <c r="Y666" s="64" cm="1">
        <f t="array" ref="Y666">INDEX($Y$661:$Y$666, MATCH(MIN(IF(ABS($B$661:$B$666-B666)&lt;&gt;0, ABS($B$661:$B$666-B666))), IF(ABS($B$661:$B$666-B666)&lt;&gt;0, ABS($B$661:$B$666-B666)), 0))</f>
        <v>-3.7512000000000001E-3</v>
      </c>
      <c r="Z666" s="157" cm="1">
        <f t="array" ref="Z666">INDEX($Z$661:$Z$666, MATCH(MIN(IF(ABS($B$661:$B$666-B666)&lt;&gt;0, ABS($B$661:$B$666-B666))), IF(ABS($B$661:$B$666-B666)&lt;&gt;0, ABS($B$661:$B$666-B666)), 0))</f>
        <v>4.0535000000000002E-6</v>
      </c>
      <c r="AA666" s="158" t="str" cm="1">
        <f t="array" ref="AA666">LEFT(INDEX($AA$661:$AA$666, MATCH(MIN(IF(ABS($B$661:$B$666-B666)&lt;&gt;0, ABS($B$661:$B$666-B666))), IF(ABS($B$661:$B$666-B666)&lt;&gt;0, ABS($B$661:$B$666-B666)), 0)),6)</f>
        <v>0.1427</v>
      </c>
      <c r="AB666" s="64" cm="1">
        <f t="array" ref="AB666">INDEX($AB$661:$AB$666, MATCH(MIN(IF(ABS($B$661:$B$666-B666)&lt;&gt;0, ABS($B$661:$B$666-B666))), IF(ABS($B$661:$B$666-B666)&lt;&gt;0, ABS($B$661:$B$666-B666)), 0))</f>
        <v>-2.3496E-5</v>
      </c>
      <c r="AC666" s="133" cm="1">
        <f t="array" ref="AC666">INDEX($AC$661:$AC$666, MATCH(MIN(IF(ABS($B$661:$B$666-B666)&lt;&gt;0, ABS($B$661:$B$666-B666))), IF(ABS($B$661:$B$666-B666)&lt;&gt;0, ABS($B$661:$B$666-B666)), 0))</f>
        <v>-1.8734000000000001E-7</v>
      </c>
      <c r="AD666" s="159" t="str" cm="1">
        <f t="array" ref="AD666">LEFT(INDEX($AD$661:$AD$666, MATCH(MIN(IF(ABS($B$661:$B$666-B666)&lt;&gt;0, ABS($B$661:$B$666-B666))), IF(ABS($B$661:$B$666-B666)&lt;&gt;0, ABS($B$661:$B$666-B666)), 0)),6)</f>
        <v>84.952</v>
      </c>
      <c r="AE666" s="160" cm="1">
        <f t="array" ref="AE666">INDEX($AE$661:$AE$666, MATCH(MIN(IF(ABS($B$661:$B$666-B666)&lt;&gt;0, ABS($B$661:$B$666-B666))), IF(ABS($B$661:$B$666-B666)&lt;&gt;0, ABS($B$661:$B$666-B666)), 0))</f>
        <v>0.38</v>
      </c>
      <c r="AF666" s="154">
        <v>48.723599999999998</v>
      </c>
      <c r="AG666" s="152">
        <v>1.2726999999999999</v>
      </c>
    </row>
    <row r="667" spans="1:33" x14ac:dyDescent="0.2">
      <c r="A667" s="27">
        <v>17</v>
      </c>
      <c r="B667" s="28">
        <v>4.1155918299999996</v>
      </c>
      <c r="C667" s="28">
        <f>(B667-MIN($B$667:$B$671))/(MAX($B$667:$B$671)-MIN($B$667:$B$671))</f>
        <v>0.51554638953144127</v>
      </c>
      <c r="D667" s="29">
        <v>240.47300000000001</v>
      </c>
      <c r="E667" s="47">
        <v>729.97</v>
      </c>
      <c r="F667" s="44">
        <v>12.45</v>
      </c>
      <c r="G667" s="11">
        <v>9.7550000000000002E-4</v>
      </c>
      <c r="H667" s="44">
        <f t="shared" si="42"/>
        <v>246.63897435897437</v>
      </c>
      <c r="I667" s="52">
        <f t="shared" si="41"/>
        <v>0.20001332746615491</v>
      </c>
      <c r="J667" s="52">
        <v>0.68500000000000005</v>
      </c>
      <c r="K667" s="75">
        <v>-5.0004999999999997</v>
      </c>
      <c r="L667" s="81">
        <v>1122.4000000000001</v>
      </c>
      <c r="M667" s="13">
        <v>8.0000000000000002E-3</v>
      </c>
      <c r="N667" s="12">
        <v>-7.2162999999999998E-6</v>
      </c>
      <c r="O667" s="93">
        <v>0.2465</v>
      </c>
      <c r="P667" s="94">
        <v>0.25950000000000001</v>
      </c>
      <c r="Q667" s="95">
        <v>0.28570000000000001</v>
      </c>
      <c r="R667" s="111">
        <v>31.471</v>
      </c>
      <c r="S667" s="118">
        <v>-4892</v>
      </c>
      <c r="T667" s="125">
        <v>-7.2640000000000002</v>
      </c>
      <c r="U667" s="14">
        <v>0</v>
      </c>
      <c r="V667" s="30">
        <v>0</v>
      </c>
      <c r="W667" s="138">
        <v>288.23700000000002</v>
      </c>
      <c r="X667" s="13">
        <v>1.5228999999999999</v>
      </c>
      <c r="Y667" s="14">
        <v>-3.7353999999999998E-3</v>
      </c>
      <c r="Z667" s="30">
        <v>4.0280000000000002E-6</v>
      </c>
      <c r="AA667" s="77">
        <v>0.1434</v>
      </c>
      <c r="AB667" s="5">
        <v>-2.7066000000000001E-5</v>
      </c>
      <c r="AC667" s="15">
        <v>-1.7275999999999999E-7</v>
      </c>
      <c r="AD667" s="146">
        <v>90.623999999999995</v>
      </c>
      <c r="AE667" s="147">
        <v>0.38</v>
      </c>
      <c r="AF667" s="150">
        <v>52.222000000000001</v>
      </c>
      <c r="AG667" s="152">
        <v>1.2222</v>
      </c>
    </row>
    <row r="668" spans="1:33" x14ac:dyDescent="0.2">
      <c r="A668" s="27">
        <v>17</v>
      </c>
      <c r="B668" s="28">
        <v>4.4119684612499999</v>
      </c>
      <c r="C668" s="28">
        <f>(B668-MIN($B$667:$B$671))/(MAX($B$667:$B$671)-MIN($B$667:$B$671))</f>
        <v>0.58357067898657511</v>
      </c>
      <c r="D668" s="29">
        <v>240.47300000000001</v>
      </c>
      <c r="E668" s="47">
        <v>708.24</v>
      </c>
      <c r="F668" s="44">
        <v>12.45</v>
      </c>
      <c r="G668" s="11">
        <v>9.7550000000000002E-4</v>
      </c>
      <c r="H668" s="44">
        <f t="shared" si="42"/>
        <v>246.63897435897437</v>
      </c>
      <c r="I668" s="52">
        <f t="shared" si="41"/>
        <v>0.2061500743398694</v>
      </c>
      <c r="J668" s="52">
        <v>0.68500000000000005</v>
      </c>
      <c r="K668" s="75">
        <v>-4.9226999999999999</v>
      </c>
      <c r="L668" s="81">
        <v>1076.9000000000001</v>
      </c>
      <c r="M668" s="13">
        <v>8.0999999999999996E-3</v>
      </c>
      <c r="N668" s="12">
        <v>-7.5735000000000004E-6</v>
      </c>
      <c r="O668" s="93">
        <v>0.2465</v>
      </c>
      <c r="P668" s="94">
        <v>0.2611</v>
      </c>
      <c r="Q668" s="95">
        <v>0.28570000000000001</v>
      </c>
      <c r="R668" s="111">
        <v>31.79</v>
      </c>
      <c r="S668" s="118">
        <v>-4781.1000000000004</v>
      </c>
      <c r="T668" s="125">
        <v>-7.3921999999999999</v>
      </c>
      <c r="U668" s="14">
        <v>0</v>
      </c>
      <c r="V668" s="30">
        <v>0</v>
      </c>
      <c r="W668" s="138">
        <v>272.83800000000002</v>
      </c>
      <c r="X668" s="13">
        <v>1.6349</v>
      </c>
      <c r="Y668" s="14">
        <v>-4.0964E-3</v>
      </c>
      <c r="Z668" s="30">
        <v>4.4665000000000004E-6</v>
      </c>
      <c r="AA668" s="77">
        <v>0.1429</v>
      </c>
      <c r="AB668" s="5">
        <v>-2.6627000000000001E-5</v>
      </c>
      <c r="AC668" s="15">
        <v>-1.8409E-7</v>
      </c>
      <c r="AD668" s="146">
        <v>87.677999999999997</v>
      </c>
      <c r="AE668" s="147">
        <v>0.38</v>
      </c>
      <c r="AF668" s="150">
        <v>51.671999999999997</v>
      </c>
      <c r="AG668" s="152">
        <v>1.2222</v>
      </c>
    </row>
    <row r="669" spans="1:33" x14ac:dyDescent="0.2">
      <c r="A669" s="27">
        <v>17</v>
      </c>
      <c r="B669" s="28">
        <v>6.2263191925000001</v>
      </c>
      <c r="C669" s="28">
        <f>(B669-MIN($B$667:$B$671))/(MAX($B$667:$B$671)-MIN($B$667:$B$671))</f>
        <v>1</v>
      </c>
      <c r="D669" s="29">
        <v>240.47300000000001</v>
      </c>
      <c r="E669" s="47">
        <v>722.25</v>
      </c>
      <c r="F669" s="44">
        <v>12.48</v>
      </c>
      <c r="G669" s="11">
        <v>9.7650000000000005E-4</v>
      </c>
      <c r="H669" s="44">
        <f t="shared" si="42"/>
        <v>246.38627049180329</v>
      </c>
      <c r="I669" s="52">
        <f t="shared" si="41"/>
        <v>0.20284617946033548</v>
      </c>
      <c r="J669" s="52">
        <v>0.66</v>
      </c>
      <c r="K669" s="75">
        <v>-4.8147000000000002</v>
      </c>
      <c r="L669" s="81">
        <v>1082.5</v>
      </c>
      <c r="M669" s="13">
        <v>7.7000000000000002E-3</v>
      </c>
      <c r="N669" s="12">
        <v>-7.0530000000000001E-6</v>
      </c>
      <c r="O669" s="93">
        <v>0.24629999999999999</v>
      </c>
      <c r="P669" s="94">
        <v>0.2646</v>
      </c>
      <c r="Q669" s="95">
        <v>0.28570000000000001</v>
      </c>
      <c r="R669" s="111">
        <v>31.565999999999999</v>
      </c>
      <c r="S669" s="118">
        <v>-4810.6000000000004</v>
      </c>
      <c r="T669" s="125">
        <v>-7.3230000000000004</v>
      </c>
      <c r="U669" s="14">
        <v>0</v>
      </c>
      <c r="V669" s="30">
        <v>0</v>
      </c>
      <c r="W669" s="138">
        <v>261.04199999999997</v>
      </c>
      <c r="X669" s="13">
        <v>1.6739999999999999</v>
      </c>
      <c r="Y669" s="14">
        <v>-4.0527999999999996E-3</v>
      </c>
      <c r="Z669" s="30">
        <v>4.2497000000000002E-6</v>
      </c>
      <c r="AA669" s="77">
        <v>0.13950000000000001</v>
      </c>
      <c r="AB669" s="5">
        <v>-1.7524999999999999E-5</v>
      </c>
      <c r="AC669" s="15">
        <v>-1.8301E-7</v>
      </c>
      <c r="AD669" s="146">
        <v>88.816000000000003</v>
      </c>
      <c r="AE669" s="147">
        <v>0.38</v>
      </c>
      <c r="AF669" s="150">
        <v>51.567</v>
      </c>
      <c r="AG669" s="152">
        <v>1.2222</v>
      </c>
    </row>
    <row r="670" spans="1:33" x14ac:dyDescent="0.2">
      <c r="A670" s="27">
        <v>17</v>
      </c>
      <c r="B670" s="28">
        <v>2.5403118125000002</v>
      </c>
      <c r="C670" s="28">
        <f>(B670-MIN($B$667:$B$671))/(MAX($B$667:$B$671)-MIN($B$667:$B$671))</f>
        <v>0.15398851828038862</v>
      </c>
      <c r="D670" s="29">
        <v>240.47300000000001</v>
      </c>
      <c r="E670" s="47">
        <v>726.23</v>
      </c>
      <c r="F670" s="44">
        <v>12.38</v>
      </c>
      <c r="G670" s="11">
        <v>9.8149999999999995E-4</v>
      </c>
      <c r="H670" s="44">
        <f t="shared" si="42"/>
        <v>245.13047910295617</v>
      </c>
      <c r="I670" s="52">
        <f t="shared" si="41"/>
        <v>0.20114324238332928</v>
      </c>
      <c r="J670" s="52">
        <v>0.70799999999999996</v>
      </c>
      <c r="K670" s="77">
        <v>-5.1029</v>
      </c>
      <c r="L670" s="83">
        <v>1132.8</v>
      </c>
      <c r="M670" s="86">
        <v>8.3000000000000001E-3</v>
      </c>
      <c r="N670" s="88">
        <v>-7.4877999999999997E-6</v>
      </c>
      <c r="O670" s="77">
        <v>0.245</v>
      </c>
      <c r="P670" s="86">
        <v>0.26319999999999999</v>
      </c>
      <c r="Q670" s="109">
        <v>0.28570000000000001</v>
      </c>
      <c r="R670" s="77">
        <v>31.8</v>
      </c>
      <c r="S670" s="83">
        <v>-4933.7</v>
      </c>
      <c r="T670" s="86">
        <v>-7.3532000000000002</v>
      </c>
      <c r="U670" s="14">
        <v>0</v>
      </c>
      <c r="V670" s="30">
        <v>0</v>
      </c>
      <c r="W670" s="138">
        <v>265.36399999999998</v>
      </c>
      <c r="X670" s="13">
        <v>1.7040999999999999</v>
      </c>
      <c r="Y670" s="14">
        <v>-4.1397999999999999E-3</v>
      </c>
      <c r="Z670" s="30">
        <v>4.3278999999999997E-6</v>
      </c>
      <c r="AA670" s="77">
        <v>0.14149999999999999</v>
      </c>
      <c r="AB670" s="5">
        <v>-1.8057999999999999E-5</v>
      </c>
      <c r="AC670" s="15">
        <v>-1.8328000000000001E-7</v>
      </c>
      <c r="AD670" s="146">
        <v>90.873000000000005</v>
      </c>
      <c r="AE670" s="147">
        <v>0.38</v>
      </c>
      <c r="AF670" s="150">
        <v>52.499000000000002</v>
      </c>
      <c r="AG670" s="152">
        <v>1.2222</v>
      </c>
    </row>
    <row r="671" spans="1:33" x14ac:dyDescent="0.2">
      <c r="A671" s="27">
        <v>17</v>
      </c>
      <c r="B671" s="28">
        <v>1.869395605</v>
      </c>
      <c r="C671" s="28">
        <f>(B671-MIN($B$667:$B$671))/(MAX($B$667:$B$671)-MIN($B$667:$B$671))</f>
        <v>0</v>
      </c>
      <c r="D671" s="29">
        <v>240.47300000000001</v>
      </c>
      <c r="E671" s="47">
        <v>727.5</v>
      </c>
      <c r="F671" s="44">
        <v>12.38</v>
      </c>
      <c r="G671" s="11">
        <v>9.8149999999999995E-4</v>
      </c>
      <c r="H671" s="44">
        <f t="shared" si="42"/>
        <v>245.13047910295617</v>
      </c>
      <c r="I671" s="52">
        <f t="shared" si="41"/>
        <v>0.20079210572652265</v>
      </c>
      <c r="J671" s="52">
        <v>0.70799999999999996</v>
      </c>
      <c r="K671" s="75">
        <v>-5.1062000000000003</v>
      </c>
      <c r="L671" s="81">
        <v>1135.3</v>
      </c>
      <c r="M671" s="13">
        <v>8.3000000000000001E-3</v>
      </c>
      <c r="N671" s="12">
        <v>-7.4654999999999999E-6</v>
      </c>
      <c r="O671" s="93">
        <v>0.245</v>
      </c>
      <c r="P671" s="94">
        <v>0.26119999999999999</v>
      </c>
      <c r="Q671" s="95">
        <v>0.28570000000000001</v>
      </c>
      <c r="R671" s="111">
        <v>31.748999999999999</v>
      </c>
      <c r="S671" s="118">
        <v>-4937.5</v>
      </c>
      <c r="T671" s="125">
        <v>-7.3357999999999999</v>
      </c>
      <c r="U671" s="14">
        <v>0</v>
      </c>
      <c r="V671" s="30">
        <v>0</v>
      </c>
      <c r="W671" s="138">
        <v>280.93799999999999</v>
      </c>
      <c r="X671" s="13">
        <v>1.6014999999999999</v>
      </c>
      <c r="Y671" s="14">
        <v>-3.9280000000000001E-3</v>
      </c>
      <c r="Z671" s="30">
        <v>4.1904999999999999E-6</v>
      </c>
      <c r="AA671" s="77">
        <v>0.14330000000000001</v>
      </c>
      <c r="AB671" s="5">
        <v>-2.4111E-5</v>
      </c>
      <c r="AC671" s="15">
        <v>-1.7770999999999999E-7</v>
      </c>
      <c r="AD671" s="146">
        <v>91.046999999999997</v>
      </c>
      <c r="AE671" s="147">
        <v>0.38</v>
      </c>
      <c r="AF671" s="150">
        <v>52.531999999999996</v>
      </c>
      <c r="AG671" s="152">
        <v>1.2222</v>
      </c>
    </row>
    <row r="672" spans="1:33" x14ac:dyDescent="0.2">
      <c r="A672" s="27">
        <v>18</v>
      </c>
      <c r="B672" s="28">
        <v>6.2196526275000004</v>
      </c>
      <c r="C672" s="28">
        <f>(B672-MIN($B$672:$B$676))/(MAX($B$672:$B$676)-MIN($B$672:$B$676))</f>
        <v>1</v>
      </c>
      <c r="D672" s="29">
        <v>254.5</v>
      </c>
      <c r="E672" s="47">
        <v>734.97</v>
      </c>
      <c r="F672" s="44">
        <v>11.67</v>
      </c>
      <c r="G672" s="11">
        <v>1.0325E-3</v>
      </c>
      <c r="H672" s="44">
        <f t="shared" si="42"/>
        <v>246.60852713178295</v>
      </c>
      <c r="I672" s="52">
        <f t="shared" si="41"/>
        <v>0.19709287324624886</v>
      </c>
      <c r="J672" s="52">
        <v>0.68300000000000005</v>
      </c>
      <c r="K672" s="75">
        <v>-4.7621000000000002</v>
      </c>
      <c r="L672" s="81">
        <v>1103.0999999999999</v>
      </c>
      <c r="M672" s="13">
        <v>7.4000000000000003E-3</v>
      </c>
      <c r="N672" s="12">
        <v>-6.7376999999999999E-6</v>
      </c>
      <c r="O672" s="93">
        <v>0.2465</v>
      </c>
      <c r="P672" s="94">
        <v>0.26440000000000002</v>
      </c>
      <c r="Q672" s="95">
        <v>0.28570000000000001</v>
      </c>
      <c r="R672" s="111">
        <v>32.564999999999998</v>
      </c>
      <c r="S672" s="118">
        <v>-5023</v>
      </c>
      <c r="T672" s="125">
        <v>-7.6016000000000004</v>
      </c>
      <c r="U672" s="14">
        <v>0</v>
      </c>
      <c r="V672" s="30">
        <v>0</v>
      </c>
      <c r="W672" s="138">
        <v>265.68799999999999</v>
      </c>
      <c r="X672" s="13">
        <v>1.8268</v>
      </c>
      <c r="Y672" s="14">
        <v>-4.3648999999999997E-3</v>
      </c>
      <c r="Z672" s="30">
        <v>4.4495000000000003E-6</v>
      </c>
      <c r="AA672" s="77">
        <v>0.13639999999999999</v>
      </c>
      <c r="AB672" s="5">
        <v>-1.1918E-5</v>
      </c>
      <c r="AC672" s="15">
        <v>-1.7924000000000001E-7</v>
      </c>
      <c r="AD672" s="146">
        <v>92.522000000000006</v>
      </c>
      <c r="AE672" s="147">
        <v>0.38</v>
      </c>
      <c r="AF672" s="150">
        <v>51.491</v>
      </c>
      <c r="AG672" s="152">
        <v>1.2222</v>
      </c>
    </row>
    <row r="673" spans="1:33" x14ac:dyDescent="0.2">
      <c r="A673" s="27">
        <v>18</v>
      </c>
      <c r="B673" s="28">
        <v>4.1065720199999998</v>
      </c>
      <c r="C673" s="28">
        <f>(B673-MIN($B$672:$B$676))/(MAX($B$672:$B$676)-MIN($B$672:$B$676))</f>
        <v>0.51454725087975606</v>
      </c>
      <c r="D673" s="29">
        <v>254.5</v>
      </c>
      <c r="E673" s="47">
        <v>742.82</v>
      </c>
      <c r="F673" s="44">
        <v>11.65</v>
      </c>
      <c r="G673" s="11">
        <v>1.0315000000000001E-3</v>
      </c>
      <c r="H673" s="44">
        <f t="shared" si="42"/>
        <v>246.84772065955383</v>
      </c>
      <c r="I673" s="52">
        <f t="shared" si="41"/>
        <v>0.19448718128991327</v>
      </c>
      <c r="J673" s="52">
        <v>0.70599999999999996</v>
      </c>
      <c r="K673" s="75">
        <v>-4.9298000000000002</v>
      </c>
      <c r="L673" s="81">
        <v>1140.5999999999999</v>
      </c>
      <c r="M673" s="13">
        <v>7.7000000000000002E-3</v>
      </c>
      <c r="N673" s="12">
        <v>-6.8704000000000003E-6</v>
      </c>
      <c r="O673" s="93">
        <v>0.2467</v>
      </c>
      <c r="P673" s="94">
        <v>0.25940000000000002</v>
      </c>
      <c r="Q673" s="95">
        <v>0.28570000000000001</v>
      </c>
      <c r="R673" s="111">
        <v>32.445</v>
      </c>
      <c r="S673" s="118">
        <v>-5101.8999999999996</v>
      </c>
      <c r="T673" s="125">
        <v>-7.5362</v>
      </c>
      <c r="U673" s="14">
        <v>0</v>
      </c>
      <c r="V673" s="30">
        <v>0</v>
      </c>
      <c r="W673" s="138">
        <v>295.41899999999998</v>
      </c>
      <c r="X673" s="13">
        <v>1.6591</v>
      </c>
      <c r="Y673" s="14">
        <v>-4.0160999999999999E-3</v>
      </c>
      <c r="Z673" s="30">
        <v>4.2073999999999997E-6</v>
      </c>
      <c r="AA673" s="77">
        <v>0.14030000000000001</v>
      </c>
      <c r="AB673" s="5">
        <v>-2.1571999999999999E-5</v>
      </c>
      <c r="AC673" s="15">
        <v>-1.6904000000000001E-7</v>
      </c>
      <c r="AD673" s="146">
        <v>94.335999999999999</v>
      </c>
      <c r="AE673" s="147">
        <v>0.38</v>
      </c>
      <c r="AF673" s="150">
        <v>52.12</v>
      </c>
      <c r="AG673" s="152">
        <v>1.2222</v>
      </c>
    </row>
    <row r="674" spans="1:33" x14ac:dyDescent="0.2">
      <c r="A674" s="27">
        <v>18</v>
      </c>
      <c r="B674" s="28">
        <v>4.4042393249999998</v>
      </c>
      <c r="C674" s="28">
        <f>(B674-MIN($B$672:$B$676))/(MAX($B$672:$B$676)-MIN($B$672:$B$676))</f>
        <v>0.58293243742804735</v>
      </c>
      <c r="D674" s="29">
        <v>254.5</v>
      </c>
      <c r="E674" s="47">
        <v>720.01</v>
      </c>
      <c r="F674" s="44">
        <v>11.65</v>
      </c>
      <c r="G674" s="11">
        <v>1.0315000000000001E-3</v>
      </c>
      <c r="H674" s="44">
        <f t="shared" si="42"/>
        <v>246.84772065955383</v>
      </c>
      <c r="I674" s="52">
        <f t="shared" si="41"/>
        <v>0.2006485576669399</v>
      </c>
      <c r="J674" s="52">
        <v>0.70599999999999996</v>
      </c>
      <c r="K674" s="75">
        <v>-4.8429000000000002</v>
      </c>
      <c r="L674" s="81">
        <v>1092.3</v>
      </c>
      <c r="M674" s="13">
        <v>7.7999999999999996E-3</v>
      </c>
      <c r="N674" s="12">
        <v>-7.2084999999999997E-6</v>
      </c>
      <c r="O674" s="93">
        <v>0.2467</v>
      </c>
      <c r="P674" s="94">
        <v>0.26090000000000002</v>
      </c>
      <c r="Q674" s="95">
        <v>0.28570000000000001</v>
      </c>
      <c r="R674" s="111">
        <v>32.813000000000002</v>
      </c>
      <c r="S674" s="118">
        <v>-4985.5</v>
      </c>
      <c r="T674" s="125">
        <v>-7.6811999999999996</v>
      </c>
      <c r="U674" s="14">
        <v>0</v>
      </c>
      <c r="V674" s="30">
        <v>0</v>
      </c>
      <c r="W674" s="138">
        <v>277.65800000000002</v>
      </c>
      <c r="X674" s="13">
        <v>1.7881</v>
      </c>
      <c r="Y674" s="14">
        <v>-4.4222000000000003E-3</v>
      </c>
      <c r="Z674" s="30">
        <v>4.6869E-6</v>
      </c>
      <c r="AA674" s="77">
        <v>0.13969999999999999</v>
      </c>
      <c r="AB674" s="5">
        <v>-2.0851000000000001E-5</v>
      </c>
      <c r="AC674" s="15">
        <v>-1.8057999999999999E-7</v>
      </c>
      <c r="AD674" s="146">
        <v>91.173000000000002</v>
      </c>
      <c r="AE674" s="147">
        <v>0.38</v>
      </c>
      <c r="AF674" s="150">
        <v>51.554000000000002</v>
      </c>
      <c r="AG674" s="152">
        <v>1.2222</v>
      </c>
    </row>
    <row r="675" spans="1:33" x14ac:dyDescent="0.2">
      <c r="A675" s="27">
        <v>18</v>
      </c>
      <c r="B675" s="28">
        <v>2.5350380000000001</v>
      </c>
      <c r="C675" s="28">
        <f>(B675-MIN($B$672:$B$676))/(MAX($B$672:$B$676)-MIN($B$672:$B$676))</f>
        <v>0.1535077772140607</v>
      </c>
      <c r="D675" s="29">
        <v>254.5</v>
      </c>
      <c r="E675" s="47">
        <v>739.33</v>
      </c>
      <c r="F675" s="44">
        <v>11.59</v>
      </c>
      <c r="G675" s="11">
        <v>1.0375E-3</v>
      </c>
      <c r="H675" s="44">
        <f t="shared" si="42"/>
        <v>245.41947926711669</v>
      </c>
      <c r="I675" s="52">
        <f t="shared" si="41"/>
        <v>0.19553019938886407</v>
      </c>
      <c r="J675" s="52">
        <v>0.72699999999999998</v>
      </c>
      <c r="K675" s="77">
        <v>-5.0151000000000003</v>
      </c>
      <c r="L675" s="83">
        <v>1148.9000000000001</v>
      </c>
      <c r="M675" s="86">
        <v>8.0000000000000002E-3</v>
      </c>
      <c r="N675" s="88">
        <v>-7.0982000000000001E-6</v>
      </c>
      <c r="O675" s="77">
        <v>0.24529999999999999</v>
      </c>
      <c r="P675" s="86">
        <v>0.26319999999999999</v>
      </c>
      <c r="Q675" s="109">
        <v>0.28570000000000001</v>
      </c>
      <c r="R675" s="77">
        <v>32.756999999999998</v>
      </c>
      <c r="S675" s="83">
        <v>-5141.3</v>
      </c>
      <c r="T675" s="86">
        <v>-7.6212</v>
      </c>
      <c r="U675" s="14">
        <v>0</v>
      </c>
      <c r="V675" s="30">
        <v>0</v>
      </c>
      <c r="W675" s="138">
        <v>279.59800000000001</v>
      </c>
      <c r="X675" s="13">
        <v>1.79</v>
      </c>
      <c r="Y675" s="14">
        <v>-4.3093000000000003E-3</v>
      </c>
      <c r="Z675" s="30">
        <v>4.4256999999999998E-6</v>
      </c>
      <c r="AA675" s="77">
        <v>0.13919999999999999</v>
      </c>
      <c r="AB675" s="5">
        <v>-1.5556000000000001E-5</v>
      </c>
      <c r="AC675" s="15">
        <v>-1.7664E-7</v>
      </c>
      <c r="AD675" s="146">
        <v>94.566000000000003</v>
      </c>
      <c r="AE675" s="147">
        <v>0.38</v>
      </c>
      <c r="AF675" s="150">
        <v>52.378999999999998</v>
      </c>
      <c r="AG675" s="152">
        <v>1.2222</v>
      </c>
    </row>
    <row r="676" spans="1:33" x14ac:dyDescent="0.2">
      <c r="A676" s="27">
        <v>18</v>
      </c>
      <c r="B676" s="28">
        <v>1.8668487524999999</v>
      </c>
      <c r="C676" s="28">
        <f>(B676-MIN($B$672:$B$676))/(MAX($B$672:$B$676)-MIN($B$672:$B$676))</f>
        <v>0</v>
      </c>
      <c r="D676" s="29">
        <v>254.5</v>
      </c>
      <c r="E676" s="47">
        <v>740.59</v>
      </c>
      <c r="F676" s="44">
        <v>11.59</v>
      </c>
      <c r="G676" s="11">
        <v>1.0375E-3</v>
      </c>
      <c r="H676" s="44">
        <f t="shared" si="42"/>
        <v>245.41947926711669</v>
      </c>
      <c r="I676" s="52">
        <f t="shared" si="41"/>
        <v>0.19519753482246435</v>
      </c>
      <c r="J676" s="52">
        <v>0.72699999999999998</v>
      </c>
      <c r="K676" s="75">
        <v>-5.0187999999999997</v>
      </c>
      <c r="L676" s="81">
        <v>1151.4000000000001</v>
      </c>
      <c r="M676" s="13">
        <v>8.0000000000000002E-3</v>
      </c>
      <c r="N676" s="12">
        <v>-7.0782999999999996E-6</v>
      </c>
      <c r="O676" s="93">
        <v>0.24529999999999999</v>
      </c>
      <c r="P676" s="94">
        <v>0.26119999999999999</v>
      </c>
      <c r="Q676" s="95">
        <v>0.28570000000000001</v>
      </c>
      <c r="R676" s="111">
        <v>32.704999999999998</v>
      </c>
      <c r="S676" s="118">
        <v>-5145</v>
      </c>
      <c r="T676" s="125">
        <v>-7.6035000000000004</v>
      </c>
      <c r="U676" s="14">
        <v>0</v>
      </c>
      <c r="V676" s="30">
        <v>0</v>
      </c>
      <c r="W676" s="138">
        <v>289.92500000000001</v>
      </c>
      <c r="X676" s="13">
        <v>1.7231000000000001</v>
      </c>
      <c r="Y676" s="14">
        <v>-4.1736999999999998E-3</v>
      </c>
      <c r="Z676" s="30">
        <v>4.34E-6</v>
      </c>
      <c r="AA676" s="77">
        <v>0.1404</v>
      </c>
      <c r="AB676" s="5">
        <v>-1.9378999999999999E-5</v>
      </c>
      <c r="AC676" s="15">
        <v>-1.73E-7</v>
      </c>
      <c r="AD676" s="146">
        <v>94.742999999999995</v>
      </c>
      <c r="AE676" s="147">
        <v>0.38</v>
      </c>
      <c r="AF676" s="150">
        <v>52.411000000000001</v>
      </c>
      <c r="AG676" s="152">
        <v>1.2222</v>
      </c>
    </row>
    <row r="677" spans="1:33" x14ac:dyDescent="0.2">
      <c r="A677" s="27">
        <v>19</v>
      </c>
      <c r="B677" s="28">
        <v>6.2127255000000003</v>
      </c>
      <c r="C677" s="28">
        <f>(B677-MIN($B$677:$B$681))/(MAX($B$677:$B$681)-MIN($B$677:$B$681))</f>
        <v>1</v>
      </c>
      <c r="D677" s="52">
        <v>268.52699999999999</v>
      </c>
      <c r="E677" s="47">
        <v>746.87</v>
      </c>
      <c r="F677" s="44">
        <v>10.94</v>
      </c>
      <c r="G677" s="11">
        <v>1.0885000000000001E-3</v>
      </c>
      <c r="H677" s="44">
        <f t="shared" si="42"/>
        <v>246.8079044117647</v>
      </c>
      <c r="I677" s="52">
        <f t="shared" si="41"/>
        <v>0.19168634741645027</v>
      </c>
      <c r="J677" s="52">
        <v>0.70099999999999996</v>
      </c>
      <c r="K677" s="75">
        <v>-4.6879999999999997</v>
      </c>
      <c r="L677" s="81">
        <v>1118.7</v>
      </c>
      <c r="M677" s="13">
        <v>7.1000000000000004E-3</v>
      </c>
      <c r="N677" s="12">
        <v>-6.4134000000000003E-6</v>
      </c>
      <c r="O677" s="93">
        <v>0.2467</v>
      </c>
      <c r="P677" s="94">
        <v>0.26419999999999999</v>
      </c>
      <c r="Q677" s="95">
        <v>0.28570000000000001</v>
      </c>
      <c r="R677" s="111">
        <v>33.49</v>
      </c>
      <c r="S677" s="118">
        <v>-5219.3</v>
      </c>
      <c r="T677" s="125">
        <v>-7.8613</v>
      </c>
      <c r="U677" s="14">
        <v>0</v>
      </c>
      <c r="V677" s="30">
        <v>0</v>
      </c>
      <c r="W677" s="138">
        <v>44.454000000000001</v>
      </c>
      <c r="X677" s="13">
        <v>3.8260000000000001</v>
      </c>
      <c r="Y677" s="14">
        <v>-8.4211000000000008E-3</v>
      </c>
      <c r="Z677" s="30">
        <v>7.2092000000000004E-6</v>
      </c>
      <c r="AA677" s="77">
        <v>0.13339999999999999</v>
      </c>
      <c r="AB677" s="5">
        <v>-6.6480999999999999E-6</v>
      </c>
      <c r="AC677" s="15">
        <v>-1.7589E-7</v>
      </c>
      <c r="AD677" s="146">
        <v>96.046000000000006</v>
      </c>
      <c r="AE677" s="147">
        <v>0.38</v>
      </c>
      <c r="AF677" s="150">
        <v>51.37</v>
      </c>
      <c r="AG677" s="152">
        <v>1.2222</v>
      </c>
    </row>
    <row r="678" spans="1:33" x14ac:dyDescent="0.2">
      <c r="A678" s="27">
        <v>19</v>
      </c>
      <c r="B678" s="28">
        <v>4.3933853950000001</v>
      </c>
      <c r="C678" s="28">
        <f>(B678-MIN($B$677:$B$681))/(MAX($B$677:$B$681)-MIN($B$677:$B$681))</f>
        <v>0.58172717323738121</v>
      </c>
      <c r="D678" s="52">
        <v>268.52699999999999</v>
      </c>
      <c r="E678" s="47">
        <v>730.99</v>
      </c>
      <c r="F678" s="44">
        <v>10.92</v>
      </c>
      <c r="G678" s="11">
        <v>1.0874999999999999E-3</v>
      </c>
      <c r="H678" s="44">
        <f t="shared" si="42"/>
        <v>247.03495860165592</v>
      </c>
      <c r="I678" s="52">
        <f t="shared" si="41"/>
        <v>0.19531280916025373</v>
      </c>
      <c r="J678" s="52">
        <v>0.72199999999999998</v>
      </c>
      <c r="K678" s="75">
        <v>-4.7404999999999999</v>
      </c>
      <c r="L678" s="81">
        <v>1102.5999999999999</v>
      </c>
      <c r="M678" s="13">
        <v>7.4000000000000003E-3</v>
      </c>
      <c r="N678" s="12">
        <v>-6.8337999999999997E-6</v>
      </c>
      <c r="O678" s="93">
        <v>0.24690000000000001</v>
      </c>
      <c r="P678" s="94">
        <v>0.26069999999999999</v>
      </c>
      <c r="Q678" s="95">
        <v>0.28570000000000001</v>
      </c>
      <c r="R678" s="111">
        <v>33.76</v>
      </c>
      <c r="S678" s="118">
        <v>-5173.1000000000004</v>
      </c>
      <c r="T678" s="125">
        <v>-7.9507000000000003</v>
      </c>
      <c r="U678" s="14">
        <v>0</v>
      </c>
      <c r="V678" s="30">
        <v>0</v>
      </c>
      <c r="W678" s="138">
        <v>280.68599999999998</v>
      </c>
      <c r="X678" s="13">
        <v>1.9461999999999999</v>
      </c>
      <c r="Y678" s="14">
        <v>-4.7529E-3</v>
      </c>
      <c r="Z678" s="30">
        <v>4.9057000000000003E-6</v>
      </c>
      <c r="AA678" s="77">
        <v>0.1366</v>
      </c>
      <c r="AB678" s="5">
        <v>-1.5427999999999999E-5</v>
      </c>
      <c r="AC678" s="15">
        <v>-1.7746E-7</v>
      </c>
      <c r="AD678" s="146">
        <v>94.475999999999999</v>
      </c>
      <c r="AE678" s="147">
        <v>0.38</v>
      </c>
      <c r="AF678" s="150">
        <v>51.384</v>
      </c>
      <c r="AG678" s="152">
        <v>1.2222</v>
      </c>
    </row>
    <row r="679" spans="1:33" x14ac:dyDescent="0.2">
      <c r="A679" s="27">
        <v>19</v>
      </c>
      <c r="B679" s="28">
        <v>4.0995536650000002</v>
      </c>
      <c r="C679" s="28">
        <f>(B679-MIN($B$677:$B$681))/(MAX($B$677:$B$681)-MIN($B$677:$B$681))</f>
        <v>0.51417420281591586</v>
      </c>
      <c r="D679" s="52">
        <v>268.52699999999999</v>
      </c>
      <c r="E679" s="47">
        <v>754.89</v>
      </c>
      <c r="F679" s="44">
        <v>10.92</v>
      </c>
      <c r="G679" s="11">
        <v>1.0874999999999999E-3</v>
      </c>
      <c r="H679" s="44">
        <f t="shared" si="42"/>
        <v>247.03495860165592</v>
      </c>
      <c r="I679" s="52">
        <f t="shared" si="41"/>
        <v>0.1891291583781132</v>
      </c>
      <c r="J679" s="52">
        <v>0.72199999999999998</v>
      </c>
      <c r="K679" s="75">
        <v>-4.8392999999999997</v>
      </c>
      <c r="L679" s="81">
        <v>1154</v>
      </c>
      <c r="M679" s="13">
        <v>7.4000000000000003E-3</v>
      </c>
      <c r="N679" s="12">
        <v>-6.5192000000000002E-6</v>
      </c>
      <c r="O679" s="93">
        <v>0.24690000000000001</v>
      </c>
      <c r="P679" s="94">
        <v>0.25940000000000002</v>
      </c>
      <c r="Q679" s="95">
        <v>0.28570000000000001</v>
      </c>
      <c r="R679" s="111">
        <v>33.341999999999999</v>
      </c>
      <c r="S679" s="118">
        <v>-5294.8</v>
      </c>
      <c r="T679" s="125">
        <v>-7.7884000000000002</v>
      </c>
      <c r="U679" s="14">
        <v>0</v>
      </c>
      <c r="V679" s="30">
        <v>0</v>
      </c>
      <c r="W679" s="138">
        <v>301.04000000000002</v>
      </c>
      <c r="X679" s="13">
        <v>1.7985</v>
      </c>
      <c r="Y679" s="14">
        <v>-4.2982999999999997E-3</v>
      </c>
      <c r="Z679" s="30">
        <v>4.3830999999999996E-6</v>
      </c>
      <c r="AA679" s="77">
        <v>0.13730000000000001</v>
      </c>
      <c r="AB679" s="5">
        <v>-1.6441000000000001E-5</v>
      </c>
      <c r="AC679" s="15">
        <v>-1.6569E-7</v>
      </c>
      <c r="AD679" s="146">
        <v>97.856999999999999</v>
      </c>
      <c r="AE679" s="147">
        <v>0.38</v>
      </c>
      <c r="AF679" s="150">
        <v>51.966000000000001</v>
      </c>
      <c r="AG679" s="152">
        <v>1.2222</v>
      </c>
    </row>
    <row r="680" spans="1:33" x14ac:dyDescent="0.2">
      <c r="A680" s="27">
        <v>19</v>
      </c>
      <c r="B680" s="57">
        <v>1.8630762075</v>
      </c>
      <c r="C680" s="28">
        <f>(B680-MIN($B$677:$B$681))/(MAX($B$677:$B$681)-MIN($B$677:$B$681))</f>
        <v>0</v>
      </c>
      <c r="D680" s="52">
        <v>268.52699999999999</v>
      </c>
      <c r="E680" s="48">
        <v>752.9</v>
      </c>
      <c r="F680" s="48">
        <v>10.86</v>
      </c>
      <c r="G680" s="35">
        <v>1.0935000000000001E-3</v>
      </c>
      <c r="H680" s="44">
        <f t="shared" si="42"/>
        <v>245.67886550777672</v>
      </c>
      <c r="I680" s="52">
        <f t="shared" si="41"/>
        <v>0.18962808964506514</v>
      </c>
      <c r="J680" s="55">
        <v>0.74099999999999999</v>
      </c>
      <c r="K680" s="76">
        <v>-4.9119000000000002</v>
      </c>
      <c r="L680" s="82">
        <v>1162.8</v>
      </c>
      <c r="M680" s="85">
        <v>7.6E-3</v>
      </c>
      <c r="N680" s="4">
        <v>-6.6885999999999998E-6</v>
      </c>
      <c r="O680" s="99" t="str" cm="1">
        <f t="array" ref="O680">LEFT(INDEX($O$677:$O$680, MATCH(MIN(IF(ABS($B$677:$B$680-B680)&lt;&gt;0, ABS($B$677:$B$680-B680))), IF(ABS($B$677:$B$680-B680)&lt;&gt;0, ABS($B$677:$B$680-B680)), 0)),6)</f>
        <v>0.2469</v>
      </c>
      <c r="P680" s="106" cm="1">
        <f t="array" ref="P680">INDEX($P$677:$P$680, MATCH(MIN(IF(ABS($B$677:$B$680-B680)&lt;&gt;0, ABS($B$677:$B$680-B680))), IF(ABS($B$677:$B$680-B680)&lt;&gt;0, ABS($B$677:$B$680-B680)), 0))</f>
        <v>0.25940000000000002</v>
      </c>
      <c r="Q680" s="107" cm="1">
        <f t="array" ref="Q680">INDEX($Q$677:$Q$680, MATCH(MIN(IF(ABS($B$677:$B$680-B680)&lt;&gt;0, ABS($B$677:$B$680-B680))), IF(ABS($B$677:$B$680-B680)&lt;&gt;0, ABS($B$677:$B$680-B680)), 0))</f>
        <v>0.28570000000000001</v>
      </c>
      <c r="R680" s="114">
        <v>33.579000000000001</v>
      </c>
      <c r="S680" s="120">
        <v>-5334.4</v>
      </c>
      <c r="T680" s="127">
        <v>-7.85</v>
      </c>
      <c r="U680" s="14">
        <v>0</v>
      </c>
      <c r="V680" s="14">
        <v>0</v>
      </c>
      <c r="W680" s="139">
        <v>299.72000000000003</v>
      </c>
      <c r="X680" s="7">
        <v>1.8324</v>
      </c>
      <c r="Y680" s="8">
        <v>-4.3907E-3</v>
      </c>
      <c r="Z680" s="33">
        <v>4.4677999999999998E-6</v>
      </c>
      <c r="AA680" s="141">
        <v>0.13769999999999999</v>
      </c>
      <c r="AB680" s="9">
        <v>-1.5642E-5</v>
      </c>
      <c r="AC680" s="10">
        <v>-1.6821E-7</v>
      </c>
      <c r="AD680" s="146">
        <v>98.241</v>
      </c>
      <c r="AE680" s="147">
        <v>0.38</v>
      </c>
      <c r="AF680" s="150">
        <v>52.231000000000002</v>
      </c>
      <c r="AG680" s="152">
        <v>1.2222</v>
      </c>
    </row>
    <row r="681" spans="1:33" x14ac:dyDescent="0.2">
      <c r="A681" s="27">
        <v>19</v>
      </c>
      <c r="B681" s="57">
        <v>2.530353705</v>
      </c>
      <c r="C681" s="28">
        <f>(B681-MIN($B$677:$B$681))/(MAX($B$677:$B$681)-MIN($B$677:$B$681))</f>
        <v>0.15340949410578253</v>
      </c>
      <c r="D681" s="52">
        <v>268.52699999999999</v>
      </c>
      <c r="E681" s="48">
        <v>751.64</v>
      </c>
      <c r="F681" s="48">
        <v>10.86</v>
      </c>
      <c r="G681" s="35">
        <v>1.0935000000000001E-3</v>
      </c>
      <c r="H681" s="44">
        <f t="shared" si="42"/>
        <v>245.67886550777672</v>
      </c>
      <c r="I681" s="52">
        <f t="shared" si="41"/>
        <v>0.18994596973786596</v>
      </c>
      <c r="J681" s="55">
        <v>0.74099999999999999</v>
      </c>
      <c r="K681" s="76">
        <v>-4.9077999999999999</v>
      </c>
      <c r="L681" s="82">
        <v>1160.3</v>
      </c>
      <c r="M681" s="85">
        <v>7.6E-3</v>
      </c>
      <c r="N681" s="4">
        <v>-6.7061E-6</v>
      </c>
      <c r="O681" s="99" t="str" cm="1">
        <f t="array" ref="O681">LEFT(INDEX($O$677:$O$681, MATCH(MIN(IF(ABS($B$677:$B$681-B681)&lt;&gt;0, ABS($B$677:$B$681-B681))), IF(ABS($B$677:$B$681-B681)&lt;&gt;0, ABS($B$677:$B$681-B681)), 0)),6)</f>
        <v>0.2469</v>
      </c>
      <c r="P681" s="106" cm="1">
        <f t="array" ref="P681">INDEX($P$677:$P$681, MATCH(MIN(IF(ABS($B$677:$B$681-B681)&lt;&gt;0, ABS($B$677:$B$681-B681))), IF(ABS($B$677:$B$681-B681)&lt;&gt;0, ABS($B$677:$B$681-B681)), 0))</f>
        <v>0.25940000000000002</v>
      </c>
      <c r="Q681" s="107" cm="1">
        <f t="array" ref="Q681">INDEX($Q$677:$Q$681, MATCH(MIN(IF(ABS($B$677:$B$681-B681)&lt;&gt;0, ABS($B$677:$B$681-B681))), IF(ABS($B$677:$B$681-B681)&lt;&gt;0, ABS($B$677:$B$681-B681)), 0))</f>
        <v>0.28570000000000001</v>
      </c>
      <c r="R681" s="114">
        <v>33.631999999999998</v>
      </c>
      <c r="S681" s="120">
        <v>-5330.8</v>
      </c>
      <c r="T681" s="127">
        <v>-7.8680000000000003</v>
      </c>
      <c r="U681" s="14">
        <v>0</v>
      </c>
      <c r="V681" s="14">
        <v>0</v>
      </c>
      <c r="W681" s="139">
        <v>296.291</v>
      </c>
      <c r="X681" s="7">
        <v>1.8536999999999999</v>
      </c>
      <c r="Y681" s="8">
        <v>-4.4329E-3</v>
      </c>
      <c r="Z681" s="33">
        <v>4.4928999999999998E-6</v>
      </c>
      <c r="AA681" s="141">
        <v>0.1363</v>
      </c>
      <c r="AB681" s="9">
        <v>-1.1158999999999999E-5</v>
      </c>
      <c r="AC681" s="10">
        <v>-1.7226999999999999E-7</v>
      </c>
      <c r="AD681" s="146">
        <v>98.063000000000002</v>
      </c>
      <c r="AE681" s="147">
        <v>0.38</v>
      </c>
      <c r="AF681" s="150">
        <v>52.2</v>
      </c>
      <c r="AG681" s="152">
        <v>1.2222</v>
      </c>
    </row>
    <row r="682" spans="1:33" x14ac:dyDescent="0.2">
      <c r="A682" s="27">
        <v>20</v>
      </c>
      <c r="B682" s="28">
        <v>4.3876291724999996</v>
      </c>
      <c r="C682" s="28">
        <f>(B682-MIN($B$682:$B$686))/(MAX($B$682:$B$686)-MIN($B$682:$B$686))</f>
        <v>0.58314562023327621</v>
      </c>
      <c r="D682" s="29">
        <v>282.553</v>
      </c>
      <c r="E682" s="47">
        <v>742.46</v>
      </c>
      <c r="F682" s="44">
        <v>10.26</v>
      </c>
      <c r="G682" s="11">
        <v>1.1435E-3</v>
      </c>
      <c r="H682" s="44">
        <f t="shared" si="42"/>
        <v>247.20297462817149</v>
      </c>
      <c r="I682" s="52">
        <f t="shared" si="41"/>
        <v>0.1899811490141437</v>
      </c>
      <c r="J682" s="52">
        <v>0.73199999999999998</v>
      </c>
      <c r="K682" s="75">
        <v>-4.6204000000000001</v>
      </c>
      <c r="L682" s="81">
        <v>1110.5999999999999</v>
      </c>
      <c r="M682" s="13">
        <v>7.0000000000000001E-3</v>
      </c>
      <c r="N682" s="12">
        <v>-6.4299000000000001E-6</v>
      </c>
      <c r="O682" s="93">
        <v>0.24709999999999999</v>
      </c>
      <c r="P682" s="94">
        <v>0.26069999999999999</v>
      </c>
      <c r="Q682" s="95">
        <v>0.28570000000000001</v>
      </c>
      <c r="R682" s="111">
        <v>34.564999999999998</v>
      </c>
      <c r="S682" s="118">
        <v>-5344.9</v>
      </c>
      <c r="T682" s="125">
        <v>-8.1791999999999998</v>
      </c>
      <c r="U682" s="14">
        <v>0</v>
      </c>
      <c r="V682" s="30">
        <v>0</v>
      </c>
      <c r="W682" s="138">
        <v>283.387</v>
      </c>
      <c r="X682" s="13">
        <v>2.0973000000000002</v>
      </c>
      <c r="Y682" s="14">
        <v>-5.0539000000000001E-3</v>
      </c>
      <c r="Z682" s="30">
        <v>5.0860000000000001E-6</v>
      </c>
      <c r="AA682" s="77">
        <v>0.1336</v>
      </c>
      <c r="AB682" s="5">
        <v>-1.0409E-5</v>
      </c>
      <c r="AC682" s="15">
        <v>-1.7396999999999999E-7</v>
      </c>
      <c r="AD682" s="146">
        <v>97.742000000000004</v>
      </c>
      <c r="AE682" s="147">
        <v>0.38</v>
      </c>
      <c r="AF682" s="150">
        <v>51.176000000000002</v>
      </c>
      <c r="AG682" s="152">
        <v>1.2222</v>
      </c>
    </row>
    <row r="683" spans="1:33" x14ac:dyDescent="0.2">
      <c r="A683" s="27">
        <v>20</v>
      </c>
      <c r="B683" s="28">
        <v>4.0910042799999999</v>
      </c>
      <c r="C683" s="28">
        <f>(B683-MIN($B$682:$B$686))/(MAX($B$682:$B$686)-MIN($B$682:$B$686))</f>
        <v>0.5147106889115427</v>
      </c>
      <c r="D683" s="29">
        <v>282.553</v>
      </c>
      <c r="E683" s="47">
        <v>767.45</v>
      </c>
      <c r="F683" s="44">
        <v>10.26</v>
      </c>
      <c r="G683" s="11">
        <v>1.1435E-3</v>
      </c>
      <c r="H683" s="44">
        <f t="shared" si="42"/>
        <v>247.20297462817149</v>
      </c>
      <c r="I683" s="52">
        <f t="shared" si="41"/>
        <v>0.18379491028345968</v>
      </c>
      <c r="J683" s="52">
        <v>0.73199999999999998</v>
      </c>
      <c r="K683" s="75">
        <v>-4.7321999999999997</v>
      </c>
      <c r="L683" s="81">
        <v>1165.2</v>
      </c>
      <c r="M683" s="13">
        <v>7.0000000000000001E-3</v>
      </c>
      <c r="N683" s="12">
        <v>-6.1429000000000001E-6</v>
      </c>
      <c r="O683" s="93">
        <v>0.24709999999999999</v>
      </c>
      <c r="P683" s="94">
        <v>0.2596</v>
      </c>
      <c r="Q683" s="95">
        <v>0.28570000000000001</v>
      </c>
      <c r="R683" s="111">
        <v>34.097999999999999</v>
      </c>
      <c r="S683" s="118">
        <v>-5471.6</v>
      </c>
      <c r="T683" s="125">
        <v>-8.0006000000000004</v>
      </c>
      <c r="U683" s="14">
        <v>0</v>
      </c>
      <c r="V683" s="30">
        <v>0</v>
      </c>
      <c r="W683" s="138">
        <v>306.41399999999999</v>
      </c>
      <c r="X683" s="13">
        <v>1.9307000000000001</v>
      </c>
      <c r="Y683" s="14">
        <v>-4.5519000000000002E-3</v>
      </c>
      <c r="Z683" s="30">
        <v>4.5235E-6</v>
      </c>
      <c r="AA683" s="77">
        <v>0.1343</v>
      </c>
      <c r="AB683" s="5">
        <v>-1.171E-5</v>
      </c>
      <c r="AC683" s="15">
        <v>-1.6203E-7</v>
      </c>
      <c r="AD683" s="146">
        <v>101.34</v>
      </c>
      <c r="AE683" s="147">
        <v>0.38</v>
      </c>
      <c r="AF683" s="150">
        <v>51.773000000000003</v>
      </c>
      <c r="AG683" s="152">
        <v>1.2222</v>
      </c>
    </row>
    <row r="684" spans="1:33" x14ac:dyDescent="0.2">
      <c r="A684" s="27">
        <v>20</v>
      </c>
      <c r="B684" s="28">
        <v>6.1944460012500002</v>
      </c>
      <c r="C684" s="28">
        <f>(B684-MIN($B$682:$B$686))/(MAX($B$682:$B$686)-MIN($B$682:$B$686))</f>
        <v>1</v>
      </c>
      <c r="D684" s="29">
        <v>282.553</v>
      </c>
      <c r="E684" s="47">
        <v>759.27</v>
      </c>
      <c r="F684" s="44">
        <v>10.28</v>
      </c>
      <c r="G684" s="11">
        <v>1.1444999999999999E-3</v>
      </c>
      <c r="H684" s="44">
        <f t="shared" si="42"/>
        <v>246.98688811188811</v>
      </c>
      <c r="I684" s="52">
        <f t="shared" si="41"/>
        <v>0.18630001008875816</v>
      </c>
      <c r="J684" s="52">
        <v>0.71299999999999997</v>
      </c>
      <c r="K684" s="75">
        <v>-4.5968</v>
      </c>
      <c r="L684" s="81">
        <v>1132</v>
      </c>
      <c r="M684" s="13">
        <v>6.7999999999999996E-3</v>
      </c>
      <c r="N684" s="12">
        <v>-6.0619999999999997E-6</v>
      </c>
      <c r="O684" s="93">
        <v>0.24690000000000001</v>
      </c>
      <c r="P684" s="94">
        <v>0.26419999999999999</v>
      </c>
      <c r="Q684" s="95">
        <v>0.28570000000000001</v>
      </c>
      <c r="R684" s="111">
        <v>34.277999999999999</v>
      </c>
      <c r="S684" s="118">
        <v>-5400.5</v>
      </c>
      <c r="T684" s="125">
        <v>-8.0814000000000004</v>
      </c>
      <c r="U684" s="14">
        <v>0</v>
      </c>
      <c r="V684" s="30">
        <v>0</v>
      </c>
      <c r="W684" s="138">
        <v>-6.9489999999999998</v>
      </c>
      <c r="X684" s="13">
        <v>4.3224</v>
      </c>
      <c r="Y684" s="14">
        <v>-9.3056000000000007E-3</v>
      </c>
      <c r="Z684" s="30">
        <v>7.7085000000000008E-6</v>
      </c>
      <c r="AA684" s="77">
        <v>0.13039999999999999</v>
      </c>
      <c r="AB684" s="5">
        <v>-1.8053999999999999E-6</v>
      </c>
      <c r="AC684" s="15">
        <v>-1.7221999999999999E-7</v>
      </c>
      <c r="AD684" s="146">
        <v>99.543000000000006</v>
      </c>
      <c r="AE684" s="147">
        <v>0.38</v>
      </c>
      <c r="AF684" s="150">
        <v>51.216000000000001</v>
      </c>
      <c r="AG684" s="152">
        <v>1.2222</v>
      </c>
    </row>
    <row r="685" spans="1:33" x14ac:dyDescent="0.2">
      <c r="A685" s="27">
        <v>20</v>
      </c>
      <c r="B685" s="57">
        <v>1.8600383125</v>
      </c>
      <c r="C685" s="28">
        <f>(B685-MIN($B$682:$B$686))/(MAX($B$682:$B$686)-MIN($B$682:$B$686))</f>
        <v>0</v>
      </c>
      <c r="D685" s="29">
        <v>282.553</v>
      </c>
      <c r="E685" s="48">
        <v>764.46</v>
      </c>
      <c r="F685" s="48">
        <v>10.210000000000001</v>
      </c>
      <c r="G685" s="35">
        <v>1.1494999999999999E-3</v>
      </c>
      <c r="H685" s="44">
        <f t="shared" si="42"/>
        <v>245.91209747606612</v>
      </c>
      <c r="I685" s="52">
        <f t="shared" si="41"/>
        <v>0.18457844568128931</v>
      </c>
      <c r="J685" s="55">
        <v>0.748</v>
      </c>
      <c r="K685" s="76">
        <v>-4.7839</v>
      </c>
      <c r="L685" s="82">
        <v>1169.4000000000001</v>
      </c>
      <c r="M685" s="85">
        <v>7.1000000000000004E-3</v>
      </c>
      <c r="N685" s="4">
        <v>-6.2906999999999998E-6</v>
      </c>
      <c r="O685" s="99" t="str" cm="1">
        <f t="array" ref="O685">LEFT(INDEX($O$682:$O$685, MATCH(MIN(IF(ABS($B$682:$B$685-B685)&lt;&gt;0, ABS($B$682:$B$685-B685))), IF(ABS($B$682:$B$685-B685)&lt;&gt;0, ABS($B$682:$B$685-B685)), 0)),6)</f>
        <v>0.2471</v>
      </c>
      <c r="P685" s="106" cm="1">
        <f t="array" ref="P685">INDEX($P$682:$P$685, MATCH(MIN(IF(ABS($B$682:$B$685-B685)&lt;&gt;0, ABS($B$682:$B$685-B685))), IF(ABS($B$682:$B$685-B685)&lt;&gt;0, ABS($B$682:$B$685-B685)), 0))</f>
        <v>0.2596</v>
      </c>
      <c r="Q685" s="106" cm="1">
        <f t="array" ref="Q685">INDEX($Q$682:$Q$685, MATCH(MIN(IF(ABS($B$682:$B$685-B685)&lt;&gt;0, ABS($B$682:$B$685-B685))), IF(ABS($B$682:$B$685-B685)&lt;&gt;0, ABS($B$682:$B$685-B685)), 0))</f>
        <v>0.28570000000000001</v>
      </c>
      <c r="R685" s="114">
        <v>34.360999999999997</v>
      </c>
      <c r="S685" s="120">
        <v>-5503.3</v>
      </c>
      <c r="T685" s="127">
        <v>-8.0731999999999999</v>
      </c>
      <c r="U685" s="14">
        <v>0</v>
      </c>
      <c r="V685" s="14">
        <v>0</v>
      </c>
      <c r="W685" s="139">
        <v>307.863</v>
      </c>
      <c r="X685" s="7">
        <v>1.9444999999999999</v>
      </c>
      <c r="Y685" s="8">
        <v>-4.6090999999999997E-3</v>
      </c>
      <c r="Z685" s="33">
        <v>4.5928000000000003E-6</v>
      </c>
      <c r="AA685" s="141">
        <v>0.13500000000000001</v>
      </c>
      <c r="AB685" s="9">
        <v>-1.2007999999999999E-5</v>
      </c>
      <c r="AC685" s="10">
        <v>-1.6393000000000001E-7</v>
      </c>
      <c r="AD685" s="146">
        <v>101.52</v>
      </c>
      <c r="AE685" s="147">
        <v>0.38</v>
      </c>
      <c r="AF685" s="150">
        <v>51.973999999999997</v>
      </c>
      <c r="AG685" s="152">
        <v>1.2222</v>
      </c>
    </row>
    <row r="686" spans="1:33" x14ac:dyDescent="0.2">
      <c r="A686" s="27">
        <v>20</v>
      </c>
      <c r="B686" s="57">
        <v>2.5263</v>
      </c>
      <c r="C686" s="28">
        <f>(B686-MIN($B$682:$B$686))/(MAX($B$682:$B$686)-MIN($B$682:$B$686))</f>
        <v>0.15371458693866966</v>
      </c>
      <c r="D686" s="29">
        <v>282.553</v>
      </c>
      <c r="E686" s="48">
        <v>763.21</v>
      </c>
      <c r="F686" s="48">
        <v>10.210000000000001</v>
      </c>
      <c r="G686" s="35">
        <v>1.1494999999999999E-3</v>
      </c>
      <c r="H686" s="44">
        <f t="shared" si="42"/>
        <v>245.91209747606612</v>
      </c>
      <c r="I686" s="52">
        <f t="shared" si="41"/>
        <v>0.18488075180555605</v>
      </c>
      <c r="J686" s="55">
        <v>0.748</v>
      </c>
      <c r="K686" s="76">
        <v>-4.7793000000000001</v>
      </c>
      <c r="L686" s="82">
        <v>1166.8</v>
      </c>
      <c r="M686" s="85">
        <v>7.1000000000000004E-3</v>
      </c>
      <c r="N686" s="4">
        <v>-6.3059000000000001E-6</v>
      </c>
      <c r="O686" s="99" t="str" cm="1">
        <f t="array" ref="O686">LEFT(INDEX($O$682:$O$686, MATCH(MIN(IF(ABS($B$682:$B$686-B686)&lt;&gt;0, ABS($B$682:$B$686-B686))), IF(ABS($B$682:$B$686-B686)&lt;&gt;0, ABS($B$682:$B$686-B686)), 0)),6)</f>
        <v>0.2471</v>
      </c>
      <c r="P686" s="100" t="str" cm="1">
        <f t="array" ref="P686">LEFT(INDEX($P$682:$P$686, MATCH(MIN(IF(ABS($B$682:$B$686-B686)&lt;&gt;0, ABS($B$682:$B$686-B686))), IF(ABS($B$682:$B$686-B686)&lt;&gt;0, ABS($B$682:$B$686-B686)), 0)),6)</f>
        <v>0.2596</v>
      </c>
      <c r="Q686" s="100" t="str" cm="1">
        <f t="array" ref="Q686">LEFT(INDEX($Q$682:$Q$686, MATCH(MIN(IF(ABS($B$682:$B$686-B686)&lt;&gt;0, ABS($B$682:$B$686-B686))), IF(ABS($B$682:$B$686-B686)&lt;&gt;0, ABS($B$682:$B$686-B686)), 0)),6)</f>
        <v>0.2857</v>
      </c>
      <c r="R686" s="114">
        <v>34.414999999999999</v>
      </c>
      <c r="S686" s="120">
        <v>-5499.7</v>
      </c>
      <c r="T686" s="127">
        <v>-8.0914000000000001</v>
      </c>
      <c r="U686" s="14">
        <v>0</v>
      </c>
      <c r="V686" s="14">
        <v>0</v>
      </c>
      <c r="W686" s="139">
        <v>298.108</v>
      </c>
      <c r="X686" s="7">
        <v>2.0064000000000002</v>
      </c>
      <c r="Y686" s="8">
        <v>-4.7308999999999997E-3</v>
      </c>
      <c r="Z686" s="33">
        <v>4.6677000000000002E-6</v>
      </c>
      <c r="AA686" s="141">
        <v>0.13400000000000001</v>
      </c>
      <c r="AB686" s="9">
        <v>-8.8652999999999996E-6</v>
      </c>
      <c r="AC686" s="10">
        <v>-1.6687000000000001E-7</v>
      </c>
      <c r="AD686" s="146">
        <v>101.34</v>
      </c>
      <c r="AE686" s="147">
        <v>0.38</v>
      </c>
      <c r="AF686" s="150">
        <v>51.944000000000003</v>
      </c>
      <c r="AG686" s="152">
        <v>1.2222</v>
      </c>
    </row>
  </sheetData>
  <pageMargins left="0.7" right="0.7" top="0.75" bottom="0.75" header="0.3" footer="0.3"/>
  <pageSetup paperSize="9" orientation="portrait" horizontalDpi="0" verticalDpi="0"/>
  <ignoredErrors>
    <ignoredError sqref="H26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2024-04-25T08:13:13Z</dcterms:created>
  <dcterms:modified xsi:type="dcterms:W3CDTF">2024-05-21T11:11:44Z</dcterms:modified>
</cp:coreProperties>
</file>
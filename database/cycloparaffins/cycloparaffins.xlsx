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jacopo/Desktop/BayeSAF/database/cycloparaffins/"/>
    </mc:Choice>
  </mc:AlternateContent>
  <xr:revisionPtr revIDLastSave="0" documentId="13_ncr:1_{0CB4698F-D8CE-E04C-A24E-F7FF68D0658B}" xr6:coauthVersionLast="47" xr6:coauthVersionMax="47" xr10:uidLastSave="{00000000-0000-0000-0000-000000000000}"/>
  <bookViews>
    <workbookView xWindow="-7720" yWindow="-28800" windowWidth="51200" windowHeight="28800" xr2:uid="{FD691656-7444-A040-B55E-FDCCCFF947BE}"/>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32" i="1" l="1" a="1"/>
  <c r="Y132" i="1" s="1"/>
  <c r="Y134" i="1" a="1"/>
  <c r="Y134" i="1" s="1"/>
  <c r="X132" i="1" a="1"/>
  <c r="X132" i="1" s="1"/>
  <c r="X134" i="1" a="1"/>
  <c r="X134" i="1" s="1"/>
  <c r="W132" i="1" a="1"/>
  <c r="W132" i="1" s="1"/>
  <c r="W134" i="1" a="1"/>
  <c r="W134" i="1" s="1"/>
  <c r="T119" i="1" a="1"/>
  <c r="T119" i="1" s="1"/>
  <c r="T120" i="1" a="1"/>
  <c r="T120" i="1" s="1"/>
  <c r="T116" i="1" a="1"/>
  <c r="T116" i="1" s="1"/>
  <c r="S119" i="1" a="1"/>
  <c r="S119" i="1" s="1"/>
  <c r="S120" i="1" a="1"/>
  <c r="S120" i="1" s="1"/>
  <c r="S116" i="1" a="1"/>
  <c r="S116" i="1" s="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93" i="1"/>
  <c r="F94" i="1"/>
  <c r="F95" i="1"/>
  <c r="F96" i="1"/>
  <c r="F97" i="1"/>
  <c r="F98" i="1"/>
  <c r="F99" i="1"/>
  <c r="F100" i="1"/>
  <c r="F101" i="1"/>
  <c r="F102" i="1"/>
  <c r="F103" i="1"/>
  <c r="F104" i="1"/>
  <c r="F105" i="1"/>
  <c r="F106" i="1"/>
  <c r="F67" i="1"/>
  <c r="F68" i="1"/>
  <c r="F69" i="1"/>
  <c r="F70" i="1"/>
  <c r="F41" i="1"/>
  <c r="F42" i="1"/>
  <c r="F43" i="1"/>
  <c r="F44" i="1"/>
  <c r="F45" i="1"/>
  <c r="F54" i="1"/>
  <c r="K54" i="1"/>
  <c r="L54" i="1"/>
  <c r="F55" i="1"/>
  <c r="K55" i="1"/>
  <c r="L55" i="1" s="1"/>
  <c r="F56" i="1"/>
  <c r="K56" i="1"/>
  <c r="L56" i="1" s="1"/>
  <c r="F57" i="1"/>
  <c r="K57" i="1"/>
  <c r="L57" i="1"/>
  <c r="F58" i="1"/>
  <c r="K58" i="1"/>
  <c r="L58" i="1" s="1"/>
  <c r="F59" i="1"/>
  <c r="K59" i="1"/>
  <c r="L59" i="1" s="1"/>
  <c r="F60" i="1"/>
  <c r="K60" i="1"/>
  <c r="L60" i="1" s="1"/>
  <c r="F61" i="1"/>
  <c r="K61" i="1"/>
  <c r="L61" i="1"/>
  <c r="F62" i="1"/>
  <c r="K62" i="1"/>
  <c r="L62" i="1" s="1"/>
  <c r="F63" i="1"/>
  <c r="K63" i="1"/>
  <c r="L63" i="1"/>
  <c r="F64" i="1"/>
  <c r="K64" i="1"/>
  <c r="L64" i="1" s="1"/>
  <c r="F65" i="1"/>
  <c r="K65" i="1"/>
  <c r="L65" i="1" s="1"/>
  <c r="F66" i="1"/>
  <c r="K66" i="1"/>
  <c r="L66" i="1"/>
  <c r="K67" i="1"/>
  <c r="L67" i="1" s="1"/>
  <c r="R67" i="1" a="1"/>
  <c r="R67" i="1" s="1"/>
  <c r="S67" i="1" a="1"/>
  <c r="S67" i="1" s="1"/>
  <c r="T67" i="1" a="1"/>
  <c r="T67" i="1" s="1"/>
  <c r="K68" i="1"/>
  <c r="L68" i="1"/>
  <c r="K69" i="1"/>
  <c r="L69" i="1"/>
  <c r="K70" i="1"/>
  <c r="L70" i="1"/>
  <c r="F71" i="1"/>
  <c r="K71" i="1"/>
  <c r="L71" i="1" s="1"/>
  <c r="F72" i="1"/>
  <c r="K72" i="1"/>
  <c r="L72" i="1"/>
  <c r="F73" i="1"/>
  <c r="I73" i="1" a="1"/>
  <c r="I73" i="1" s="1"/>
  <c r="J73" i="1" a="1"/>
  <c r="J73" i="1" s="1"/>
  <c r="K73" i="1" s="1"/>
  <c r="F74" i="1"/>
  <c r="K74" i="1"/>
  <c r="L74" i="1" s="1"/>
  <c r="F75" i="1"/>
  <c r="F76" i="1"/>
  <c r="K76" i="1"/>
  <c r="L76" i="1" s="1"/>
  <c r="F77" i="1"/>
  <c r="V132" i="1" a="1"/>
  <c r="V132" i="1" s="1"/>
  <c r="V134" i="1" a="1"/>
  <c r="V134" i="1" s="1"/>
  <c r="U132" i="1" a="1"/>
  <c r="U132" i="1" s="1"/>
  <c r="U134" i="1" a="1"/>
  <c r="U134" i="1" s="1"/>
  <c r="R119" i="1" a="1"/>
  <c r="R119" i="1" s="1"/>
  <c r="R120" i="1" a="1"/>
  <c r="R120" i="1" s="1"/>
  <c r="R116" i="1" a="1"/>
  <c r="R116" i="1" s="1"/>
  <c r="J153" i="1" a="1"/>
  <c r="J153" i="1" s="1"/>
  <c r="K153" i="1" s="1"/>
  <c r="I153" i="1" a="1"/>
  <c r="I153" i="1" s="1"/>
  <c r="M149" i="1" a="1"/>
  <c r="M149" i="1" s="1"/>
  <c r="M147" i="1" a="1"/>
  <c r="M147" i="1" s="1"/>
  <c r="M145" i="1" a="1"/>
  <c r="M145" i="1" s="1"/>
  <c r="T41" i="1" a="1"/>
  <c r="T41" i="1" s="1"/>
  <c r="S41" i="1" a="1"/>
  <c r="S41" i="1" s="1"/>
  <c r="R41" i="1" a="1"/>
  <c r="R41" i="1" s="1"/>
  <c r="M43" i="1" a="1"/>
  <c r="M43" i="1" s="1"/>
  <c r="L32" i="1"/>
  <c r="L33" i="1"/>
  <c r="L46" i="1"/>
  <c r="L49" i="1"/>
  <c r="L157" i="1"/>
  <c r="L30" i="1"/>
  <c r="K31" i="1"/>
  <c r="L31" i="1" s="1"/>
  <c r="K32" i="1"/>
  <c r="K33" i="1"/>
  <c r="K34" i="1"/>
  <c r="L34" i="1" s="1"/>
  <c r="K35" i="1"/>
  <c r="L35" i="1" s="1"/>
  <c r="K36" i="1"/>
  <c r="L36" i="1" s="1"/>
  <c r="K37" i="1"/>
  <c r="L37" i="1" s="1"/>
  <c r="K38" i="1"/>
  <c r="L38" i="1" s="1"/>
  <c r="K39" i="1"/>
  <c r="L39" i="1" s="1"/>
  <c r="K40" i="1"/>
  <c r="L40" i="1" s="1"/>
  <c r="K41" i="1"/>
  <c r="L41" i="1" s="1"/>
  <c r="K42" i="1"/>
  <c r="L42" i="1" s="1"/>
  <c r="K43" i="1"/>
  <c r="L43" i="1" s="1"/>
  <c r="K46" i="1"/>
  <c r="K47" i="1"/>
  <c r="L47" i="1" s="1"/>
  <c r="K48" i="1"/>
  <c r="L48" i="1" s="1"/>
  <c r="K49" i="1"/>
  <c r="K50" i="1"/>
  <c r="L50" i="1" s="1"/>
  <c r="K51" i="1"/>
  <c r="L51" i="1" s="1"/>
  <c r="K52" i="1"/>
  <c r="L52" i="1" s="1"/>
  <c r="K53" i="1"/>
  <c r="L53"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4" i="1"/>
  <c r="L154" i="1" s="1"/>
  <c r="K155" i="1"/>
  <c r="L155" i="1" s="1"/>
  <c r="K156" i="1"/>
  <c r="L156" i="1" s="1"/>
  <c r="K157" i="1"/>
  <c r="K158" i="1"/>
  <c r="L158" i="1" s="1"/>
  <c r="K159" i="1"/>
  <c r="L159" i="1" s="1"/>
  <c r="K160" i="1"/>
  <c r="L160" i="1" s="1"/>
  <c r="K161" i="1"/>
  <c r="L161" i="1" s="1"/>
  <c r="K162" i="1"/>
  <c r="L162" i="1" s="1"/>
  <c r="K163" i="1"/>
  <c r="L163" i="1" s="1"/>
  <c r="K30" i="1"/>
  <c r="L73" i="1" l="1"/>
  <c r="L153" i="1"/>
  <c r="F159" i="1" l="1"/>
  <c r="F155" i="1"/>
  <c r="F156" i="1"/>
  <c r="F157" i="1"/>
  <c r="F89" i="1"/>
  <c r="F90" i="1"/>
  <c r="F53" i="1"/>
  <c r="F163" i="1"/>
  <c r="F162" i="1"/>
  <c r="F161" i="1"/>
  <c r="F160" i="1"/>
  <c r="F158" i="1"/>
  <c r="F92" i="1"/>
  <c r="F91" i="1"/>
  <c r="F88" i="1"/>
  <c r="F87" i="1"/>
  <c r="F86" i="1"/>
  <c r="F85" i="1"/>
  <c r="F84" i="1"/>
  <c r="F83" i="1"/>
  <c r="F82" i="1"/>
  <c r="F81" i="1"/>
  <c r="F80" i="1"/>
  <c r="F79" i="1"/>
  <c r="F78" i="1"/>
  <c r="F52" i="1"/>
  <c r="F51" i="1"/>
  <c r="F50" i="1"/>
  <c r="F49" i="1"/>
  <c r="F48" i="1"/>
  <c r="F47" i="1"/>
  <c r="F46" i="1"/>
  <c r="F40" i="1"/>
  <c r="F39" i="1"/>
  <c r="F38" i="1"/>
  <c r="F37" i="1"/>
  <c r="F36" i="1"/>
  <c r="F35" i="1"/>
  <c r="F34" i="1"/>
  <c r="F33" i="1"/>
  <c r="F32" i="1"/>
  <c r="F31" i="1"/>
  <c r="F30" i="1"/>
  <c r="M77" i="1" l="1" a="1"/>
  <c r="M77" i="1" s="1"/>
  <c r="M73" i="1" a="1"/>
  <c r="M73" i="1" s="1"/>
  <c r="M76" i="1" s="1" a="1"/>
  <c r="M76" i="1" s="1"/>
  <c r="R117" i="1" a="1"/>
  <c r="R117" i="1" s="1"/>
  <c r="S117" i="1" a="1"/>
  <c r="S117" i="1" s="1"/>
  <c r="T117" i="1" a="1"/>
  <c r="T117" i="1" s="1"/>
  <c r="R118" i="1" a="1"/>
  <c r="R118" i="1" s="1"/>
  <c r="S118" i="1" a="1"/>
  <c r="S118" i="1" s="1"/>
  <c r="T118" i="1" a="1"/>
  <c r="T118" i="1" s="1"/>
  <c r="I44" i="1" a="1"/>
  <c r="I44" i="1"/>
  <c r="J44" i="1" a="1"/>
  <c r="J44" i="1"/>
  <c r="K44" i="1"/>
  <c r="L44" i="1"/>
  <c r="M44" i="1" a="1"/>
  <c r="M44" i="1"/>
  <c r="I45" i="1" a="1"/>
  <c r="I45" i="1"/>
  <c r="J45" i="1" a="1"/>
  <c r="J45" i="1"/>
  <c r="K45" i="1"/>
  <c r="L45" i="1"/>
  <c r="M45" i="1" a="1"/>
  <c r="M45" i="1"/>
  <c r="I75" i="1" a="1"/>
  <c r="I75" i="1"/>
  <c r="J75" i="1" a="1"/>
  <c r="J75" i="1"/>
  <c r="K75" i="1"/>
  <c r="L75" i="1"/>
  <c r="I77" i="1" a="1"/>
  <c r="I77" i="1"/>
  <c r="J77" i="1" a="1"/>
  <c r="J77" i="1"/>
  <c r="K77" i="1"/>
  <c r="L77" i="1"/>
  <c r="U127" i="1" a="1"/>
  <c r="U127" i="1"/>
  <c r="V127" i="1" a="1"/>
  <c r="V127" i="1"/>
  <c r="W127" i="1" a="1"/>
  <c r="W127" i="1"/>
  <c r="X127" i="1" a="1"/>
  <c r="X127" i="1"/>
  <c r="Y127" i="1" a="1"/>
  <c r="Y127" i="1"/>
  <c r="U128" i="1" a="1"/>
  <c r="U128" i="1"/>
  <c r="V128" i="1" a="1"/>
  <c r="V128" i="1"/>
  <c r="W128" i="1" a="1"/>
  <c r="W128" i="1"/>
  <c r="X128" i="1" a="1"/>
  <c r="X128" i="1"/>
  <c r="Y128" i="1" a="1"/>
  <c r="Y128" i="1"/>
  <c r="U129" i="1" a="1"/>
  <c r="U129" i="1"/>
  <c r="V129" i="1" a="1"/>
  <c r="V129" i="1"/>
  <c r="W129" i="1" a="1"/>
  <c r="W129" i="1"/>
  <c r="X129" i="1" a="1"/>
  <c r="X129" i="1"/>
  <c r="Y129" i="1" a="1"/>
  <c r="Y129" i="1"/>
  <c r="U130" i="1" a="1"/>
  <c r="U130" i="1"/>
  <c r="V130" i="1" a="1"/>
  <c r="V130" i="1"/>
  <c r="W130" i="1" a="1"/>
  <c r="W130" i="1"/>
  <c r="X130" i="1" a="1"/>
  <c r="X130" i="1"/>
  <c r="Y130" i="1" a="1"/>
  <c r="Y130" i="1"/>
  <c r="U131" i="1" a="1"/>
  <c r="U131" i="1"/>
  <c r="V131" i="1" a="1"/>
  <c r="V131" i="1"/>
  <c r="W131" i="1" a="1"/>
  <c r="W131" i="1"/>
  <c r="X131" i="1" a="1"/>
  <c r="X131" i="1"/>
  <c r="Y131" i="1" a="1"/>
  <c r="Y131" i="1"/>
  <c r="U133" i="1" a="1"/>
  <c r="U133" i="1"/>
  <c r="V133" i="1" a="1"/>
  <c r="V133" i="1"/>
  <c r="W133" i="1" a="1"/>
  <c r="W133" i="1"/>
  <c r="X133" i="1" a="1"/>
  <c r="X133" i="1"/>
  <c r="Y133" i="1" a="1"/>
  <c r="Y133" i="1"/>
  <c r="U135" i="1" a="1"/>
  <c r="U135" i="1"/>
  <c r="V135" i="1" a="1"/>
  <c r="V135" i="1"/>
  <c r="W135" i="1" a="1"/>
  <c r="W135" i="1"/>
  <c r="X135" i="1" a="1"/>
  <c r="X135" i="1"/>
  <c r="Y135" i="1" a="1"/>
  <c r="Y135" i="1"/>
  <c r="M144" i="1" a="1"/>
  <c r="M144" i="1"/>
  <c r="M150" i="1" a="1"/>
  <c r="M150" i="1"/>
  <c r="M154" i="1" a="1"/>
  <c r="M15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<sst xmlns="http://schemas.openxmlformats.org/spreadsheetml/2006/main" count="517" uniqueCount="365">
  <si>
    <t>Name</t>
  </si>
  <si>
    <t>Formula</t>
  </si>
  <si>
    <t>nC</t>
  </si>
  <si>
    <t>eta_B_star</t>
  </si>
  <si>
    <t>eta_B_star_norm</t>
  </si>
  <si>
    <t>Tc [K]</t>
  </si>
  <si>
    <t>Pc [bar]</t>
  </si>
  <si>
    <t>Vc [m^3/mol]</t>
  </si>
  <si>
    <t>rhoc [kg/m^3]</t>
  </si>
  <si>
    <t>Zc</t>
  </si>
  <si>
    <t>omega</t>
  </si>
  <si>
    <t>Amu</t>
  </si>
  <si>
    <t>Bmu</t>
  </si>
  <si>
    <t>Cmu</t>
  </si>
  <si>
    <t>Dmu</t>
  </si>
  <si>
    <t>Arho</t>
  </si>
  <si>
    <t>Brho</t>
  </si>
  <si>
    <t>Crho</t>
  </si>
  <si>
    <t>Asat</t>
  </si>
  <si>
    <t>Bsat</t>
  </si>
  <si>
    <t>Csat</t>
  </si>
  <si>
    <t>Dsat</t>
  </si>
  <si>
    <t>Esat</t>
  </si>
  <si>
    <t>Ac</t>
  </si>
  <si>
    <t>Bc</t>
  </si>
  <si>
    <t>Cc</t>
  </si>
  <si>
    <t>Dc</t>
  </si>
  <si>
    <t>Ak</t>
  </si>
  <si>
    <t>Bk</t>
  </si>
  <si>
    <t>Ck</t>
  </si>
  <si>
    <t>cyclohexane</t>
  </si>
  <si>
    <t>C6H12</t>
  </si>
  <si>
    <t>1,trans-2-dimethylcyclobutane</t>
  </si>
  <si>
    <t>1,1-dimethylcyclobutane</t>
  </si>
  <si>
    <t>1,cis-2-dimethylcyclobutane</t>
  </si>
  <si>
    <t>1,cis-3-dimethylcyclobutane</t>
  </si>
  <si>
    <t>1,trans-3-dimethylcyclobutane</t>
  </si>
  <si>
    <t>ethylcyclobutane</t>
  </si>
  <si>
    <t>isopropylcyclopropane</t>
  </si>
  <si>
    <t>1-methyl-1-ethylcyclopropane</t>
  </si>
  <si>
    <t>1-methyl-cis-2-ethylcyclopropane</t>
  </si>
  <si>
    <t>methylcyclopentane</t>
  </si>
  <si>
    <t>propylcyclopropane</t>
  </si>
  <si>
    <t>1,1,2-trimethylcyclopropane</t>
  </si>
  <si>
    <t>1,cis-2,cis-3-trimethylcyclopropane</t>
  </si>
  <si>
    <t>cycloheptane</t>
  </si>
  <si>
    <t>C7H14</t>
  </si>
  <si>
    <t>1,1-dimethylcyclopentane</t>
  </si>
  <si>
    <t>ethylcyclopentane</t>
  </si>
  <si>
    <t>cyclooctane</t>
  </si>
  <si>
    <t>C8H16</t>
  </si>
  <si>
    <t>cis-1,4-dimethylcyclohexane</t>
  </si>
  <si>
    <t>1,1-dimethylcyclohexane</t>
  </si>
  <si>
    <t>cis-1,2-dimethylcyclohexane</t>
  </si>
  <si>
    <t>trans-1,2-dimethylcyclohexane</t>
  </si>
  <si>
    <t>trans-1,3-dimethylcyclohexane</t>
  </si>
  <si>
    <t>trans-1,4-dimethylcyclohexane</t>
  </si>
  <si>
    <t>cis-1,3-dimethylcyclohexane</t>
  </si>
  <si>
    <t>ethylcyclohexane</t>
  </si>
  <si>
    <t>isopropylcyclopentane</t>
  </si>
  <si>
    <t>1-methyl-1-ethylcyclopentane</t>
  </si>
  <si>
    <t>1-methyl-cis-2-ethylcyclopentane</t>
  </si>
  <si>
    <t>1-methyl-cis-3-ethylcyclopentane</t>
  </si>
  <si>
    <t>1-methyl-trans-3-ethylcyclopentane</t>
  </si>
  <si>
    <t>propylcyclopentane</t>
  </si>
  <si>
    <t>1,trans-2,cis-3-trimethylcyclopentane</t>
  </si>
  <si>
    <t>1,1,3-trimethylcyclopentane</t>
  </si>
  <si>
    <t>1,cis-2,trans-3-trimethylcyclopentane</t>
  </si>
  <si>
    <t>1,1,2-trimethylcyclopentane</t>
  </si>
  <si>
    <t>1,trans-2,cis-4-trimethylcyclopentane</t>
  </si>
  <si>
    <t>1,cis-2,cis-3-trimethylcyclopentane</t>
  </si>
  <si>
    <t>1,cis-2,cis-4-trimethylcyclopentane</t>
  </si>
  <si>
    <t>cyclononane</t>
  </si>
  <si>
    <t>C9H18</t>
  </si>
  <si>
    <t>tert-butylcyclopentane</t>
  </si>
  <si>
    <t>butylcyclopentane</t>
  </si>
  <si>
    <t>sec-butylcyclopentane</t>
  </si>
  <si>
    <t>1,cis-2-diethylcyclopentane</t>
  </si>
  <si>
    <t>1,1-diethylcyclopentane</t>
  </si>
  <si>
    <t>1,trans-3-diethylcyclopentane</t>
  </si>
  <si>
    <t>1,trans-2-diethylcyclopentane</t>
  </si>
  <si>
    <t>1,cis-3-diethylcyclopentane</t>
  </si>
  <si>
    <t>1,cis-3-dimethyl-1-ethylcyclopentane</t>
  </si>
  <si>
    <t>1,trans-3-dimethyl-1-ethylcyclopentane</t>
  </si>
  <si>
    <t>1,1-dimethyl-2-ethylcyclopentane</t>
  </si>
  <si>
    <t>1,1-dimethyl-3-ethylcyclopentane</t>
  </si>
  <si>
    <t>1,trans-2-dimethyl-cis-3-ethylcyclopentane</t>
  </si>
  <si>
    <t>1,cis-2-dimethyl-cis-4-ethylcyclopentane</t>
  </si>
  <si>
    <t>1,trans-2-dimethyl-cis-4-ethylcyclopentane</t>
  </si>
  <si>
    <t>1,trans-2-dimethyl-trans-3-ethylcyclopentane</t>
  </si>
  <si>
    <t>isobutylcyclopentane</t>
  </si>
  <si>
    <t>isopropylcyclohexane</t>
  </si>
  <si>
    <t>1-methyl-1-ethylcyclohexane</t>
  </si>
  <si>
    <t>1-methyl-1-propylcyclopentane</t>
  </si>
  <si>
    <t>1-methyl-cis-2-isopropylcyclopentane</t>
  </si>
  <si>
    <t>1-methyl-cis-2-propylcyclopentane</t>
  </si>
  <si>
    <t>1-methyl-trans-2-propylcyclopentane</t>
  </si>
  <si>
    <t>1-methyl-trans-3-ethylcyclohexane</t>
  </si>
  <si>
    <t>1-methyl-trans-3-propylcyclopentane</t>
  </si>
  <si>
    <t>propylcyclohexane</t>
  </si>
  <si>
    <t>1,1,2,2-tetramethylcyclopentane</t>
  </si>
  <si>
    <t>1,trans-2,trans-3,cis-4-tetramethylcyclopentane</t>
  </si>
  <si>
    <t>1,cis-2,trans-4-trimethylcyclohexane</t>
  </si>
  <si>
    <t>1,cis-3,cis-5-trimethylcyclohexane</t>
  </si>
  <si>
    <t>1,1,3-trimethylcyclohexane</t>
  </si>
  <si>
    <t>1,1,4-trimethylcyclohexane</t>
  </si>
  <si>
    <t>1,1,2-trimethylcyclohexane</t>
  </si>
  <si>
    <t>cyclodecane</t>
  </si>
  <si>
    <t>C10H20</t>
  </si>
  <si>
    <t>butylcyclohexane</t>
  </si>
  <si>
    <t>cycloundecane</t>
  </si>
  <si>
    <t>C11H22</t>
  </si>
  <si>
    <t>hexylcyclopentane</t>
  </si>
  <si>
    <t>cyclododecane</t>
  </si>
  <si>
    <t>C12H24</t>
  </si>
  <si>
    <t>heptylcyclopentane</t>
  </si>
  <si>
    <t>hexylcyclohexane</t>
  </si>
  <si>
    <t>W [g/mol]</t>
  </si>
  <si>
    <t>methylcyclohexane</t>
  </si>
  <si>
    <t>1,cis-2-dimethyl-1-ethylcyclopentane</t>
  </si>
  <si>
    <t>1,trans-2-dimethyl-1-ethylcyclopentane</t>
  </si>
  <si>
    <t>1-methyl-1-isopropylcyclopentane</t>
  </si>
  <si>
    <t>1-methyl-cis-2-ethylcyclohexane</t>
  </si>
  <si>
    <t>1-methyl-cis-3-ethylcyclohexane</t>
  </si>
  <si>
    <t>1-methyl-trans-4-ethylcyclohexane</t>
  </si>
  <si>
    <t>pentylcyclopentane</t>
  </si>
  <si>
    <t>pentylcyclohexane</t>
  </si>
  <si>
    <t>cis-1,2-dimethylcyclopentane</t>
  </si>
  <si>
    <t>cis-1,3-dimethylcyclopentane</t>
  </si>
  <si>
    <t>trans-1,3-dimethylcyclopentane</t>
  </si>
  <si>
    <t>trans-1,2-dimethylcyclopentane</t>
  </si>
  <si>
    <t>SMILES</t>
  </si>
  <si>
    <t>C1CCCCC1</t>
  </si>
  <si>
    <t>C1CCCCCC1</t>
  </si>
  <si>
    <t>C1CCCCCCC1</t>
  </si>
  <si>
    <t>C1CCCCCCCC1</t>
  </si>
  <si>
    <t>C1CCCCCCCCC1</t>
  </si>
  <si>
    <t>CCCCC1CCCCC1</t>
  </si>
  <si>
    <t>CCCCCC1CCCC1</t>
  </si>
  <si>
    <t>C1CCCCCCCCCC1</t>
  </si>
  <si>
    <t>CCCCCC1CCCCC1</t>
  </si>
  <si>
    <t>CCCCCCC1CCCC1</t>
  </si>
  <si>
    <t>C1CCCCCCCCCCC1</t>
  </si>
  <si>
    <t>CCCCCCCC1CCCC1</t>
  </si>
  <si>
    <t>CCCCCCC1CCCCC1</t>
  </si>
  <si>
    <t>1-methyl-trans-2-ethylcyclopropane</t>
  </si>
  <si>
    <t>1,cis-2,trans-3-trimethylcyclopropane</t>
  </si>
  <si>
    <t>CC1C(C)C1C</t>
  </si>
  <si>
    <t>1-methyl-trans-2-ethylcyclopentane</t>
  </si>
  <si>
    <t>1,cis-2,trans-4-trimethylcyclopentane</t>
  </si>
  <si>
    <t>1,trans-3-dimethyl-cis-2-ethylcyclopentane</t>
  </si>
  <si>
    <t>1,cis-3-dimethyl-cis-2-ethylcyclopentane</t>
  </si>
  <si>
    <t>1,cis-2-dimethyl-cis-3-ethylcyclopentane</t>
  </si>
  <si>
    <t>1,trans-3-dimethyl-cis-4-ethylcyclopentane</t>
  </si>
  <si>
    <t>1,cis-3-dimethyl-cis-4-ethylcyclopentane</t>
  </si>
  <si>
    <t>1,cis-3-dimethyl-trans-2-ethylcyclopentane</t>
  </si>
  <si>
    <t>1,cis-2-dimethyl-trans-3-ethylcyclopentane</t>
  </si>
  <si>
    <t>1,cis-2-dimethyl-trans-4-ethylcyclopentane</t>
  </si>
  <si>
    <t>1,cis-3-dimethyl-trans-4-ethylcyclopentane</t>
  </si>
  <si>
    <t>1,trans-3-dimethyl-trans-4-ethylcyclopentane</t>
  </si>
  <si>
    <t>1-methyl-cis-3-isopropylcyclopentane</t>
  </si>
  <si>
    <t>1-methyl-cis-3-propylcyclopentane</t>
  </si>
  <si>
    <t>1-methyl-cis-4-ethylcyclohexane</t>
  </si>
  <si>
    <t>1-methyl-trans-2-ethylcyclohexane</t>
  </si>
  <si>
    <t>1-methyl-trans-2-isopropylcyclopentane</t>
  </si>
  <si>
    <t>1-methyl-trans-3-isopropylcyclopentane</t>
  </si>
  <si>
    <t>1,cis-2,cis-3,cis-4-tetramethylcyclopentane</t>
  </si>
  <si>
    <t>1,cis-2,trans-3,trans-4-tetramethylcyclopentane</t>
  </si>
  <si>
    <t>1,cis-2,trans-3,cis-4-tetramethylcyclopentane</t>
  </si>
  <si>
    <t>1,cis-2,cis-3,trans-4-tetramethylcyclopentane</t>
  </si>
  <si>
    <t>1,1,cis-3,cis-4-tetramethylcyclopentane</t>
  </si>
  <si>
    <t>1,2,2,trans-3-tetramethylcyclopentane</t>
  </si>
  <si>
    <t>1,1,cis-2,cis-4-tetramethylcyclopentane</t>
  </si>
  <si>
    <t>1,1,3,3-tetramethylcyclopentane</t>
  </si>
  <si>
    <t>1,1,cis-3,trans-4-tetramethylcyclopentane</t>
  </si>
  <si>
    <t>1,2,2,cis-3-tetramethylcyclopentane</t>
  </si>
  <si>
    <t>1,1,cis-2,trans-3-tetramethylcyclopentane</t>
  </si>
  <si>
    <t>1,1,cis-2,cis-3-tetramethylcyclopentane</t>
  </si>
  <si>
    <t>1,trans-2,cis-3,trans-4-tetramethylcyclopentane</t>
  </si>
  <si>
    <t>1,trans-2,trans-4-trimethylcyclohexane</t>
  </si>
  <si>
    <t>1,cis-2,cis-3-trimethylcyclohexane</t>
  </si>
  <si>
    <t>1,trans-2,cis-4-trimethylcyclohexane</t>
  </si>
  <si>
    <t>1,cis-3,trans-5-trimethylcyclohexane</t>
  </si>
  <si>
    <t>1,cis-2,trans-3-trimethylcyclohexane</t>
  </si>
  <si>
    <t>1,cis-2,cis-4-trimethylcyclohexane</t>
  </si>
  <si>
    <t>1,trans-2,cis-3-trimethylcyclohexane</t>
  </si>
  <si>
    <t>CC1(C)CCC(C)(C)C1</t>
  </si>
  <si>
    <t>cis,trans-1,3,5-trimethylcyclohexane</t>
  </si>
  <si>
    <t>Avap</t>
  </si>
  <si>
    <t>Bvap</t>
  </si>
  <si>
    <t>Asigma</t>
  </si>
  <si>
    <t>Bsigma</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</si>
  <si>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</si>
  <si>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</si>
  <si>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</si>
  <si>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t>nC : number of carbon atoms of the organic compound</t>
  </si>
  <si>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</si>
  <si>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</si>
  <si>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</si>
  <si>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</si>
  <si>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</si>
  <si>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</si>
  <si>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</si>
  <si>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</si>
  <si>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</si>
  <si>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t>Polynomial expressions describing thermophysical properties of the organic compounds [5]</t>
  </si>
  <si>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</si>
  <si>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</si>
  <si>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</si>
  <si>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</si>
  <si>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Liquid-phase thermal conductivity :     Cp = Ak + Bk*T + Ck*T^2</t>
    </r>
    <r>
      <rPr>
        <sz val="12"/>
        <color rgb="FF000000"/>
        <rFont val="Times New Roman"/>
        <family val="1"/>
      </rPr>
      <t xml:space="preserve">    [W/m/K]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</si>
  <si>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</si>
  <si>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</si>
  <si>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</si>
  <si>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t>REFERENCES</t>
  </si>
  <si>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</si>
  <si>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t>[2] T. Kessler. GitHub - ecrl/padelpy: A Python wrapper for PaDEL-Descriptor software. https://github.com/ecrl/padelpy</t>
  </si>
  <si>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</si>
  <si>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</si>
  <si>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</si>
  <si>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t>CHEMICAL TOPOLOGY AND THERMOPHYSICAL PROPERTIES OF CYCLOPARAFFINS</t>
  </si>
  <si>
    <t>[6] Joback group-contribution method.</t>
  </si>
  <si>
    <r>
      <t>36.64</t>
    </r>
    <r>
      <rPr>
        <sz val="10"/>
        <rFont val="Times New Roman"/>
        <family val="1"/>
      </rPr>
      <t xml:space="preserve"> </t>
    </r>
    <r>
      <rPr>
        <i/>
        <sz val="10"/>
        <rFont val="Times New Roman"/>
        <family val="1"/>
      </rPr>
      <t>[6]</t>
    </r>
  </si>
  <si>
    <r>
      <t>0.000326</t>
    </r>
    <r>
      <rPr>
        <i/>
        <sz val="10"/>
        <rFont val="Times New Roman"/>
        <family val="1"/>
      </rPr>
      <t xml:space="preserve">  [6]</t>
    </r>
  </si>
  <si>
    <r>
      <t>0.3015</t>
    </r>
    <r>
      <rPr>
        <sz val="10"/>
        <rFont val="Times New Roman"/>
        <family val="1"/>
      </rPr>
      <t xml:space="preserve"> </t>
    </r>
    <r>
      <rPr>
        <i/>
        <sz val="10"/>
        <rFont val="Times New Roman"/>
        <family val="1"/>
      </rPr>
      <t>[7]</t>
    </r>
  </si>
  <si>
    <t>[7]  X. Chen, S. Jin, Y. Dai, J. Wu, Y. Guo, Q. Lei, and W. Fang , "Densities and Viscosities for the Ternary System of Decalin + Methylcyclohexane + Cyclopentanol and Corresponding Binaries at T = 293.15 to 343.15 K", J. Chem. Eng. Data 64 (4), pp. 1414-1424, 2019. DOI: 10.1021/acs.jced.8b01004.</t>
  </si>
  <si>
    <r>
      <t>28.54</t>
    </r>
    <r>
      <rPr>
        <sz val="10"/>
        <rFont val="Times New Roman"/>
        <family val="1"/>
      </rPr>
      <t xml:space="preserve"> </t>
    </r>
    <r>
      <rPr>
        <i/>
        <sz val="10"/>
        <rFont val="Times New Roman"/>
        <family val="1"/>
      </rPr>
      <t>[6]</t>
    </r>
  </si>
  <si>
    <r>
      <t>0.000422</t>
    </r>
    <r>
      <rPr>
        <i/>
        <sz val="10"/>
        <rFont val="Times New Roman"/>
        <family val="1"/>
      </rPr>
      <t xml:space="preserve">  [6]</t>
    </r>
  </si>
  <si>
    <r>
      <t>31.07</t>
    </r>
    <r>
      <rPr>
        <sz val="10"/>
        <rFont val="Times New Roman"/>
        <family val="1"/>
      </rPr>
      <t xml:space="preserve"> </t>
    </r>
    <r>
      <rPr>
        <i/>
        <sz val="10"/>
        <rFont val="Times New Roman"/>
        <family val="1"/>
      </rPr>
      <t>[6]</t>
    </r>
  </si>
  <si>
    <r>
      <t>0.000421</t>
    </r>
    <r>
      <rPr>
        <i/>
        <sz val="10"/>
        <rFont val="Times New Roman"/>
        <family val="1"/>
      </rPr>
      <t xml:space="preserve">  [6]</t>
    </r>
  </si>
  <si>
    <t>[8] eThermo Calculation Platform: Thermodynamics&amp;Transport Properties.</t>
  </si>
  <si>
    <r>
      <t>0.211</t>
    </r>
    <r>
      <rPr>
        <sz val="10"/>
        <rFont val="Times New Roman"/>
        <family val="1"/>
      </rPr>
      <t xml:space="preserve"> </t>
    </r>
    <r>
      <rPr>
        <i/>
        <sz val="10"/>
        <rFont val="Times New Roman"/>
        <family val="1"/>
      </rPr>
      <t>[8]</t>
    </r>
  </si>
  <si>
    <r>
      <t>0.252</t>
    </r>
    <r>
      <rPr>
        <sz val="10"/>
        <rFont val="Times New Roman"/>
        <family val="1"/>
      </rPr>
      <t xml:space="preserve"> </t>
    </r>
    <r>
      <rPr>
        <i/>
        <sz val="10"/>
        <rFont val="Times New Roman"/>
        <family val="1"/>
      </rPr>
      <t>[8]</t>
    </r>
  </si>
  <si>
    <r>
      <t>26.49</t>
    </r>
    <r>
      <rPr>
        <sz val="10"/>
        <rFont val="Times New Roman"/>
        <family val="1"/>
      </rPr>
      <t xml:space="preserve"> </t>
    </r>
    <r>
      <rPr>
        <i/>
        <sz val="10"/>
        <rFont val="Times New Roman"/>
        <family val="1"/>
      </rPr>
      <t>[6]</t>
    </r>
  </si>
  <si>
    <r>
      <t>0.000470</t>
    </r>
    <r>
      <rPr>
        <i/>
        <sz val="10"/>
        <rFont val="Times New Roman"/>
        <family val="1"/>
      </rPr>
      <t xml:space="preserve">  [6]</t>
    </r>
  </si>
  <si>
    <r>
      <t>0.355</t>
    </r>
    <r>
      <rPr>
        <sz val="10"/>
        <rFont val="Times New Roman"/>
        <family val="1"/>
      </rPr>
      <t xml:space="preserve"> </t>
    </r>
    <r>
      <rPr>
        <i/>
        <sz val="10"/>
        <rFont val="Times New Roman"/>
        <family val="1"/>
      </rPr>
      <t>[8]</t>
    </r>
  </si>
  <si>
    <r>
      <t>0.333</t>
    </r>
    <r>
      <rPr>
        <sz val="10"/>
        <rFont val="Times New Roman"/>
        <family val="1"/>
      </rPr>
      <t xml:space="preserve"> </t>
    </r>
    <r>
      <rPr>
        <i/>
        <sz val="10"/>
        <rFont val="Times New Roman"/>
        <family val="1"/>
      </rPr>
      <t>[8]</t>
    </r>
  </si>
  <si>
    <r>
      <t>28.75</t>
    </r>
    <r>
      <rPr>
        <sz val="10"/>
        <rFont val="Times New Roman"/>
        <family val="1"/>
      </rPr>
      <t xml:space="preserve"> </t>
    </r>
    <r>
      <rPr>
        <i/>
        <sz val="10"/>
        <rFont val="Times New Roman"/>
        <family val="1"/>
      </rPr>
      <t>[6]</t>
    </r>
  </si>
  <si>
    <r>
      <t>0.000469</t>
    </r>
    <r>
      <rPr>
        <i/>
        <sz val="10"/>
        <rFont val="Times New Roman"/>
        <family val="1"/>
      </rPr>
      <t xml:space="preserve">  [6]</t>
    </r>
  </si>
  <si>
    <r>
      <t>0.353</t>
    </r>
    <r>
      <rPr>
        <sz val="10"/>
        <rFont val="Times New Roman"/>
        <family val="1"/>
      </rPr>
      <t xml:space="preserve"> </t>
    </r>
    <r>
      <rPr>
        <i/>
        <sz val="10"/>
        <rFont val="Times New Roman"/>
        <family val="1"/>
      </rPr>
      <t>[8]</t>
    </r>
  </si>
  <si>
    <r>
      <t>0.360</t>
    </r>
    <r>
      <rPr>
        <sz val="10"/>
        <rFont val="Times New Roman"/>
        <family val="1"/>
      </rPr>
      <t xml:space="preserve"> </t>
    </r>
    <r>
      <rPr>
        <i/>
        <sz val="10"/>
        <rFont val="Times New Roman"/>
        <family val="1"/>
      </rPr>
      <t>[8]</t>
    </r>
  </si>
  <si>
    <r>
      <t>0.352</t>
    </r>
    <r>
      <rPr>
        <sz val="10"/>
        <rFont val="Times New Roman"/>
        <family val="1"/>
      </rPr>
      <t xml:space="preserve"> </t>
    </r>
    <r>
      <rPr>
        <i/>
        <sz val="10"/>
        <rFont val="Times New Roman"/>
        <family val="1"/>
      </rPr>
      <t>[8]</t>
    </r>
  </si>
  <si>
    <t>[9] J.W. Kang, K.P. Yoo, H.Y. Kim, H. Lee, D.R. Yang, and C.S. Lee, "Korea thermophysical properties data bank (KDB)". Seoul, South Korea: Department of Chemical Engineering, Korea University, 2003.</t>
  </si>
  <si>
    <r>
      <t xml:space="preserve">26.3629 </t>
    </r>
    <r>
      <rPr>
        <i/>
        <sz val="10"/>
        <rFont val="Times New Roman"/>
        <family val="1"/>
      </rPr>
      <t>[9]</t>
    </r>
  </si>
  <si>
    <r>
      <t xml:space="preserve">[10] C.L. Yaws, "The Yaws Handbook of Vapor Pressure: Antoine Coefficients", </t>
    </r>
    <r>
      <rPr>
        <i/>
        <sz val="12"/>
        <color theme="1"/>
        <rFont val="Times New Roman"/>
        <family val="1"/>
      </rPr>
      <t xml:space="preserve">San Diego: Elsevier Science, 2nd ed., 2015. </t>
    </r>
    <r>
      <rPr>
        <sz val="12"/>
        <color theme="1"/>
        <rFont val="Times New Roman"/>
        <family val="1"/>
      </rPr>
      <t xml:space="preserve">DOI: 10.1016/C2014-0-03590-3. </t>
    </r>
  </si>
  <si>
    <r>
      <t xml:space="preserve">40.7395 </t>
    </r>
    <r>
      <rPr>
        <i/>
        <sz val="10"/>
        <rFont val="Times New Roman"/>
        <family val="1"/>
      </rPr>
      <t>[10]</t>
    </r>
  </si>
  <si>
    <t>CC1(C)CCC1</t>
  </si>
  <si>
    <t>CCC1CCC1</t>
  </si>
  <si>
    <t>CC(C)C1CC1</t>
  </si>
  <si>
    <t>CCC1(C)CC1</t>
  </si>
  <si>
    <t>CC1CCCC1</t>
  </si>
  <si>
    <t>CCCC1CC1</t>
  </si>
  <si>
    <t>CC1CC1(C)C</t>
  </si>
  <si>
    <t>CC1(C)CCCC1</t>
  </si>
  <si>
    <t>CCC1CCCC1</t>
  </si>
  <si>
    <t>CC1CCCCC1</t>
  </si>
  <si>
    <t>CC1CC(C)C1</t>
  </si>
  <si>
    <t>CC1(C)CCCCC1</t>
  </si>
  <si>
    <t>CCC1CCCCC1</t>
  </si>
  <si>
    <t>CC(C)C1CCCC1</t>
  </si>
  <si>
    <t>CCC1(C)CCCC1</t>
  </si>
  <si>
    <t>CCCC1CCCC1</t>
  </si>
  <si>
    <t>CC1CCC(C)(C)C1</t>
  </si>
  <si>
    <t>CC1CCCC1(C)C</t>
  </si>
  <si>
    <t>CC(C)(C)C1CCCC1</t>
  </si>
  <si>
    <t>CCCCC1CCCC1</t>
  </si>
  <si>
    <t>CCC(C)C1CCCC1</t>
  </si>
  <si>
    <t>CCC1(CC)CCCC1</t>
  </si>
  <si>
    <t>CCC1CCCC1(C)C</t>
  </si>
  <si>
    <t>CCC1CCC(C)(C)C1</t>
  </si>
  <si>
    <t>CC(C)CC1CCCC1</t>
  </si>
  <si>
    <t>CC(C)C1CCCCC1</t>
  </si>
  <si>
    <t>CCC1(C)CCCCC1</t>
  </si>
  <si>
    <t>CC(C)C1(C)CCCC1</t>
  </si>
  <si>
    <t>CCCC1(C)CCCC1</t>
  </si>
  <si>
    <t>CCCC1CCCCC1</t>
  </si>
  <si>
    <t>CC1(C)CCCC1(C)C</t>
  </si>
  <si>
    <t>CC1CCCC(C)(C)C1</t>
  </si>
  <si>
    <t>CC1CCC(C)(C)CC1</t>
  </si>
  <si>
    <t>CC1CCCCC1(C)C</t>
  </si>
  <si>
    <t>C[C@@H]1CC[C@H]1C</t>
  </si>
  <si>
    <t>C[C@@H]1CC[C@@H]1C</t>
  </si>
  <si>
    <t>C[C@H]1C[C@@H](C)C1</t>
  </si>
  <si>
    <t>CC[C@H]1C[C@H]1C</t>
  </si>
  <si>
    <t xml:space="preserve">	CC[C@@H]1C[C@H]1C</t>
  </si>
  <si>
    <t>CC1C(C1C)C</t>
  </si>
  <si>
    <t>C[C@@H]1CCC[C@@H]1C</t>
  </si>
  <si>
    <t>C[C@@H]1CC[C@@H](C1)C</t>
  </si>
  <si>
    <t>C[C@@H]1CC[C@H](C1)C</t>
  </si>
  <si>
    <t>C[C@@H]1CCC[C@H]1C</t>
  </si>
  <si>
    <t>C[C@H]1CC[C@@H](C)CC1</t>
  </si>
  <si>
    <t>C[C@@H]1CCCC[C@@H]1C</t>
  </si>
  <si>
    <t>C[C@@H]1CCCC[C@H]1C</t>
  </si>
  <si>
    <t>C[C@@H]1CCC[C@H](C1)C</t>
  </si>
  <si>
    <t>C[C@H]1CC[C@@H](CC1)C</t>
  </si>
  <si>
    <t>C[C@@H]1CCC[C@@H](C1)C</t>
  </si>
  <si>
    <t>CC[C@@H]1CCC[C@@H]1C</t>
  </si>
  <si>
    <t>CC[C@H]1CC[C@@H](C)C1</t>
  </si>
  <si>
    <t>CC[C@H]1CCC[C@@H]1C</t>
  </si>
  <si>
    <t>CC[C@H]1CC[C@H](C)C1</t>
  </si>
  <si>
    <t>C[C@@H]1CC(C[C@@H]1C)C</t>
  </si>
  <si>
    <t>C[C@H]1CC[C@@H](C)[C@@H]1C</t>
  </si>
  <si>
    <t>C[C@@H]1CC[C@@H](C)C1C</t>
  </si>
  <si>
    <t>CC1C[C@@H](C)[C@H](C)C1</t>
  </si>
  <si>
    <t>C[C@H]1CC[C@@H](C)[C@H]1C</t>
  </si>
  <si>
    <t>CC[C@H]1CCC[C@H]1CC</t>
  </si>
  <si>
    <t>CC[C@H]1CC[C@H](CC)C1</t>
  </si>
  <si>
    <t>CC[C@H]1CCC[C@@H]1CC</t>
  </si>
  <si>
    <t>CC[C@H]1CC[C@@H](CC)C1</t>
  </si>
  <si>
    <t>CC[C@]1(C)CC[C@H](C)C1</t>
  </si>
  <si>
    <t>CC[C@]1(C)CC[C@@H](C)C1</t>
  </si>
  <si>
    <t>CC[C@]1(C)CCC[C@@H]1C</t>
  </si>
  <si>
    <t>CC[C@]1(C)CCC[C@H]1C</t>
  </si>
  <si>
    <t>CCC1[C@H](C)CC[C@H]1C</t>
  </si>
  <si>
    <t>CC[C@H]1[C@@H](C)CC[C@H]1C</t>
  </si>
  <si>
    <t>CC[C@H]1CC[C@@H](C)[C@H]1C</t>
  </si>
  <si>
    <t>CC[C@@H]1CC[C@@H]([C@H]1C)C</t>
  </si>
  <si>
    <t>CC[C@@H]1C[C@H](C)[C@H](C)C1</t>
  </si>
  <si>
    <t>CC[C@@H]1C[C@H](C)C[C@H]1C</t>
  </si>
  <si>
    <t>CC[C@H]1C[C@@H](C)C[C@H]1C</t>
  </si>
  <si>
    <t>CCC1C[C@@H](C)[C@H](C)C1</t>
  </si>
  <si>
    <t>[C@@H]1([C@@H]([C@H](CC1)C)CC)C</t>
  </si>
  <si>
    <t>CC[C@H]1CC[C@@H]([C@H]1C)C</t>
  </si>
  <si>
    <t>CC[C@H]1CC[C@H](C)[C@H]1C</t>
  </si>
  <si>
    <t>CC[C@H]1C[C@H](C)[C@H](C)C1</t>
  </si>
  <si>
    <t>CC[C@@H]1C[C@@H](C)C[C@H]1C</t>
  </si>
  <si>
    <t xml:space="preserve">	CC[C@@H]1C[C@@H](C)C[C@@H]1C</t>
  </si>
  <si>
    <t>CC[C@H]1CCCC[C@H]1C</t>
  </si>
  <si>
    <t>CC(C)[C@H]1CCC[C@H]1C</t>
  </si>
  <si>
    <t>CCC[C@@H]1CCC[C@@H]1C</t>
  </si>
  <si>
    <t>CC[C@@H]1CCC[C@H](C)C1</t>
  </si>
  <si>
    <t>C[C@H]1CC[C@H](C1)C(C)C</t>
  </si>
  <si>
    <t>CCC[C@H]1CC[C@@H](C)C1</t>
  </si>
  <si>
    <t>CC[C@@H]1CC[C@H](C)CC1</t>
  </si>
  <si>
    <t>CC[C@H]1CCCC[C@@H]1C</t>
  </si>
  <si>
    <t>CC(C)[C@@H]1CCC[C@H]1C</t>
  </si>
  <si>
    <t>CCC[C@H]1CCC[C@@H]1C</t>
  </si>
  <si>
    <t>CC[C@H]1CCC[C@H](C)C1</t>
  </si>
  <si>
    <t>CC(C)[C@@H]1CC[C@@H](C)C1</t>
  </si>
  <si>
    <t>CCC[C@H]1CC[C@H](C)C1</t>
  </si>
  <si>
    <t>CC[C@H]1CC[C@H](C)CC1</t>
  </si>
  <si>
    <t>[C@@H]1([C@H]([C@@H]([C@@H](C1)C)C)C)C</t>
  </si>
  <si>
    <t>[C@@H]1([C@H]([C@@H]([C@H](C1)C)C)C)C</t>
  </si>
  <si>
    <t>C[C@@H]1C[C@H](C)[C@@H](C)[C@@H]1C</t>
  </si>
  <si>
    <t>C[C@@H]1C[C@@H](C)[C@H](C)[C@@H]1C</t>
  </si>
  <si>
    <t>C1(C[C@H]([C@@H](C1)C)C)(C)C</t>
  </si>
  <si>
    <t>[C@@H]1(C([C@@H](CC1)C)(C)C)C</t>
  </si>
  <si>
    <t>C1([C@@H](C[C@@H](C1)C)C)(C)C</t>
  </si>
  <si>
    <t>C1(C[C@@H]([C@@H](C1)C)C)(C)C</t>
  </si>
  <si>
    <t>[C@@H]1(C([C@H](CC1)C)(C)C)C</t>
  </si>
  <si>
    <t>C1([C@@H]([C@@H](CC1)C)C)(C)C</t>
  </si>
  <si>
    <t>C[C@@H]1CCC(C)(C)[C@H]1C</t>
  </si>
  <si>
    <t>C[C@H]1C[C@@H](C)[C@H](C)[C@@H]1C</t>
  </si>
  <si>
    <t>C[C@H]1C[C@H](C)[C@@H](C)[C@@H]1C</t>
  </si>
  <si>
    <t>[C@@H]1([C@@H](C[C@@H](CC1)C)C)C</t>
  </si>
  <si>
    <t>[C@@H]1([C@H](C[C@@H](CC1)C)C)C</t>
  </si>
  <si>
    <t>[C@@H]1([C@H](CCC[C@H]1C)C)C</t>
  </si>
  <si>
    <t>[C@@H]1(C[C@@H](C[C@H](C1)C)C)C</t>
  </si>
  <si>
    <t>C[C@H]1C[C@H](C[C@H](C1)C)C</t>
  </si>
  <si>
    <t>C[C@@H]1CC[C@H](C)[C@@H](C)C1</t>
  </si>
  <si>
    <t>C[C@H]1C[C@@H](C[C@@H](C1)C)C</t>
  </si>
  <si>
    <t>C[C@H]1CCC[C@H](C)C1C</t>
  </si>
  <si>
    <t>C[C@@H]1CC[C@H](C)[C@H](C)C1</t>
  </si>
  <si>
    <t>C[C@H]1CCC[C@@H](C)[C@@H]1C</t>
  </si>
  <si>
    <t>C[C@H]1C[C@@H](C)[C@@H](C)C1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</si>
</sst>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0.0000E+00"/>
    <numFmt numFmtId="167" formatCode="0.0000"/>
    <numFmt numFmtId="168" formatCode="0.000000"/>
  </numFmts>
  <fonts count="18"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sz val="12"/>
      <color rgb="FF000000"/>
      <name val="Times New Roman"/>
      <family val="1"/>
    </font>
    <font>
      <sz val="12"/>
      <name val="Times New Roman"/>
      <family val="2"/>
    </font>
    <font>
      <sz val="12"/>
      <color theme="1"/>
      <name val="Aptos Narrow"/>
      <family val="2"/>
      <charset val="1"/>
      <scheme val="minor"/>
    </font>
    <font>
      <b/>
      <u/>
      <sz val="14"/>
      <color theme="1"/>
      <name val="Times New Roman"/>
      <family val="1"/>
    </font>
    <font>
      <i/>
      <sz val="12"/>
      <color theme="1"/>
      <name val="Times New Roman"/>
      <family val="1"/>
    </font>
    <font>
      <i/>
      <sz val="12"/>
      <color rgb="FF000000"/>
      <name val="Times New Roman"/>
      <family val="1"/>
    </font>
    <font>
      <b/>
      <sz val="12"/>
      <color rgb="FF000000"/>
      <name val="Times New Roman"/>
      <family val="1"/>
    </font>
    <font>
      <i/>
      <u/>
      <sz val="12"/>
      <color rgb="FF000000"/>
      <name val="Times New Roman"/>
      <family val="1"/>
    </font>
    <font>
      <u/>
      <sz val="12"/>
      <color theme="1"/>
      <name val="Times New Roman"/>
      <family val="1"/>
    </font>
    <font>
      <sz val="10"/>
      <name val="Times New Roman"/>
      <family val="1"/>
    </font>
    <font>
      <i/>
      <sz val="10"/>
      <name val="Times New Roman"/>
      <family val="1"/>
    </font>
    <font>
      <sz val="12"/>
      <color rgb="FFFF0000"/>
      <name val="Times New Roman"/>
      <family val="1"/>
    </font>
  </fonts>
  <fills count="14">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bgColor indexed="64"/>
      </patternFill>
    </fill>
    <fill>
      <patternFill patternType="solid">
        <fgColor rgb="FFFF7E79"/>
        <bgColor indexed="64"/>
      </patternFill>
    </fill>
    <fill>
      <patternFill patternType="solid">
        <fgColor rgb="FFFFD679"/>
        <bgColor indexed="64"/>
      </patternFill>
    </fill>
    <fill>
      <patternFill patternType="solid">
        <fgColor rgb="FFD6FD78"/>
        <bgColor indexed="64"/>
      </patternFill>
    </fill>
    <fill>
      <patternFill patternType="solid">
        <fgColor rgb="FF75D7FF"/>
        <bgColor indexed="64"/>
      </patternFill>
    </fill>
    <fill>
      <patternFill patternType="solid">
        <fgColor rgb="FF7A81FF"/>
        <bgColor indexed="64"/>
      </patternFill>
    </fill>
    <fill>
      <patternFill patternType="solid">
        <fgColor rgb="FFFF8AD9"/>
        <bgColor indexed="64"/>
      </patternFill>
    </fill>
    <fill>
      <patternFill patternType="solid">
        <fgColor rgb="FFFF9300"/>
        <bgColor indexed="64"/>
      </patternFill>
    </fill>
    <fill>
      <patternFill patternType="solid">
        <fgColor rgb="FF75D8FF"/>
        <bgColor indexed="64"/>
      </patternFill>
    </fill>
    <fill>
      <patternFill patternType="solid">
        <fgColor rgb="FF74D9FF"/>
        <bgColor indexed="64"/>
      </patternFill>
    </fill>
  </fills>
  <borders count="13">
    <border>
      <left/>
      <right/>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117">
    <xf numFmtId="0" fontId="0" fillId="0" borderId="0" xfId="0"/>
    <xf numFmtId="0" fontId="2" fillId="2" borderId="3" xfId="1" applyFont="1" applyFill="1" applyBorder="1" applyAlignment="1">
      <alignment horizontal="center"/>
    </xf>
    <xf numFmtId="0" fontId="2" fillId="2" borderId="4" xfId="1" applyFont="1" applyFill="1" applyBorder="1" applyAlignment="1">
      <alignment horizontal="center"/>
    </xf>
    <xf numFmtId="164" fontId="2" fillId="2" borderId="4" xfId="1" applyNumberFormat="1" applyFont="1" applyFill="1" applyBorder="1" applyAlignment="1">
      <alignment horizontal="center"/>
    </xf>
    <xf numFmtId="165" fontId="2" fillId="3" borderId="4" xfId="0" applyNumberFormat="1" applyFont="1" applyFill="1" applyBorder="1" applyAlignment="1">
      <alignment horizontal="center"/>
    </xf>
    <xf numFmtId="0" fontId="4" fillId="4" borderId="1" xfId="0" applyFont="1" applyFill="1" applyBorder="1" applyAlignment="1">
      <alignment horizontal="center"/>
    </xf>
    <xf numFmtId="167" fontId="3" fillId="4" borderId="9" xfId="0" applyNumberFormat="1" applyFont="1" applyFill="1" applyBorder="1" applyAlignment="1">
      <alignment vertical="top"/>
    </xf>
    <xf numFmtId="166" fontId="3" fillId="4" borderId="9" xfId="0" applyNumberFormat="1" applyFont="1" applyFill="1" applyBorder="1" applyAlignment="1">
      <alignment vertical="top"/>
    </xf>
    <xf numFmtId="166" fontId="3" fillId="4" borderId="2" xfId="0" applyNumberFormat="1" applyFont="1" applyFill="1" applyBorder="1" applyAlignment="1">
      <alignment vertical="top"/>
    </xf>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7" borderId="5" xfId="0" applyFont="1" applyFill="1" applyBorder="1" applyAlignment="1">
      <alignment horizontal="center"/>
    </xf>
    <xf numFmtId="0" fontId="4" fillId="8" borderId="5" xfId="0" applyFont="1" applyFill="1" applyBorder="1" applyAlignment="1">
      <alignment horizontal="center"/>
    </xf>
    <xf numFmtId="0" fontId="3" fillId="8" borderId="2" xfId="0" applyFont="1" applyFill="1" applyBorder="1" applyAlignment="1">
      <alignment horizontal="center"/>
    </xf>
    <xf numFmtId="0" fontId="3" fillId="8" borderId="2" xfId="0" applyFont="1" applyFill="1" applyBorder="1" applyAlignment="1">
      <alignment horizontal="center" vertical="top"/>
    </xf>
    <xf numFmtId="0" fontId="4" fillId="9" borderId="5" xfId="0" applyFont="1" applyFill="1" applyBorder="1" applyAlignment="1">
      <alignment horizontal="center"/>
    </xf>
    <xf numFmtId="0" fontId="3" fillId="9" borderId="1" xfId="0" applyFont="1" applyFill="1" applyBorder="1" applyAlignment="1">
      <alignment horizontal="center"/>
    </xf>
    <xf numFmtId="0" fontId="3" fillId="9" borderId="2" xfId="0" applyFont="1" applyFill="1" applyBorder="1" applyAlignment="1">
      <alignment horizontal="center"/>
    </xf>
    <xf numFmtId="0" fontId="3" fillId="10" borderId="1" xfId="0" applyFont="1" applyFill="1" applyBorder="1" applyAlignment="1">
      <alignment horizontal="center"/>
    </xf>
    <xf numFmtId="0" fontId="3" fillId="11" borderId="1" xfId="0" applyFont="1" applyFill="1" applyBorder="1" applyAlignment="1">
      <alignment horizontal="center"/>
    </xf>
    <xf numFmtId="0" fontId="3" fillId="8" borderId="5" xfId="0" applyFont="1" applyFill="1" applyBorder="1" applyAlignment="1">
      <alignment horizontal="center"/>
    </xf>
    <xf numFmtId="0" fontId="3" fillId="12" borderId="1" xfId="0" applyFont="1" applyFill="1" applyBorder="1" applyAlignment="1">
      <alignment horizontal="center"/>
    </xf>
    <xf numFmtId="0" fontId="3" fillId="13" borderId="1" xfId="0" applyFont="1" applyFill="1" applyBorder="1" applyAlignment="1">
      <alignment horizontal="center"/>
    </xf>
    <xf numFmtId="0" fontId="4" fillId="13" borderId="5" xfId="0" applyFont="1" applyFill="1" applyBorder="1" applyAlignment="1">
      <alignment horizontal="center"/>
    </xf>
    <xf numFmtId="0" fontId="6" fillId="13" borderId="1" xfId="0" applyFont="1" applyFill="1" applyBorder="1" applyAlignment="1">
      <alignment horizontal="center"/>
    </xf>
    <xf numFmtId="0" fontId="6" fillId="4" borderId="10" xfId="0" applyFont="1" applyFill="1" applyBorder="1" applyAlignment="1">
      <alignment horizontal="center"/>
    </xf>
    <xf numFmtId="164" fontId="4" fillId="4" borderId="1" xfId="0" applyNumberFormat="1" applyFont="1" applyFill="1" applyBorder="1"/>
    <xf numFmtId="165" fontId="4" fillId="4" borderId="1" xfId="0" applyNumberFormat="1" applyFont="1" applyFill="1" applyBorder="1"/>
    <xf numFmtId="11" fontId="3" fillId="4" borderId="2" xfId="0" applyNumberFormat="1" applyFont="1" applyFill="1" applyBorder="1"/>
    <xf numFmtId="166" fontId="4" fillId="4" borderId="9" xfId="0" applyNumberFormat="1" applyFont="1" applyFill="1" applyBorder="1"/>
    <xf numFmtId="166" fontId="5" fillId="4" borderId="2" xfId="1" applyNumberFormat="1" applyFont="1" applyFill="1" applyBorder="1"/>
    <xf numFmtId="166" fontId="4" fillId="4" borderId="2" xfId="0" applyNumberFormat="1" applyFont="1" applyFill="1" applyBorder="1"/>
    <xf numFmtId="166" fontId="8" fillId="4" borderId="9" xfId="0" applyNumberFormat="1" applyFont="1" applyFill="1" applyBorder="1"/>
    <xf numFmtId="166" fontId="7" fillId="4" borderId="2" xfId="1" applyNumberFormat="1" applyFont="1" applyFill="1" applyBorder="1"/>
    <xf numFmtId="0" fontId="9" fillId="4" borderId="0" xfId="0" applyFont="1" applyFill="1"/>
    <xf numFmtId="0" fontId="0" fillId="4" borderId="0" xfId="0" applyFill="1"/>
    <xf numFmtId="2" fontId="0" fillId="4" borderId="0" xfId="0" applyNumberFormat="1" applyFill="1"/>
    <xf numFmtId="165" fontId="0" fillId="4" borderId="0" xfId="0" applyNumberFormat="1" applyFill="1"/>
    <xf numFmtId="168" fontId="4" fillId="4" borderId="0" xfId="0" applyNumberFormat="1" applyFont="1" applyFill="1"/>
    <xf numFmtId="0" fontId="4" fillId="4" borderId="0" xfId="0" applyFont="1" applyFill="1"/>
    <xf numFmtId="0" fontId="4" fillId="0" borderId="0" xfId="0" applyFont="1"/>
    <xf numFmtId="0" fontId="11" fillId="4" borderId="0" xfId="0" applyFont="1" applyFill="1"/>
    <xf numFmtId="0" fontId="12" fillId="4" borderId="0" xfId="0" applyFont="1" applyFill="1"/>
    <xf numFmtId="0" fontId="0" fillId="4" borderId="11" xfId="0" applyFill="1" applyBorder="1"/>
    <xf numFmtId="2" fontId="0" fillId="4" borderId="11" xfId="0" applyNumberFormat="1" applyFill="1" applyBorder="1"/>
    <xf numFmtId="165" fontId="0" fillId="4" borderId="11" xfId="0" applyNumberFormat="1" applyFill="1" applyBorder="1"/>
    <xf numFmtId="168" fontId="0" fillId="4" borderId="0" xfId="0" applyNumberFormat="1" applyFill="1"/>
    <xf numFmtId="0" fontId="14" fillId="4" borderId="0" xfId="0" applyFont="1" applyFill="1"/>
    <xf numFmtId="164" fontId="0" fillId="4" borderId="0" xfId="0" applyNumberFormat="1" applyFill="1"/>
    <xf numFmtId="164" fontId="0" fillId="4" borderId="11" xfId="0" applyNumberFormat="1" applyFill="1" applyBorder="1"/>
    <xf numFmtId="164" fontId="6" fillId="4" borderId="1" xfId="0" applyNumberFormat="1" applyFont="1" applyFill="1" applyBorder="1"/>
    <xf numFmtId="164" fontId="0" fillId="0" borderId="0" xfId="0" applyNumberFormat="1"/>
    <xf numFmtId="165" fontId="3" fillId="4" borderId="1" xfId="0" applyNumberFormat="1" applyFont="1" applyFill="1" applyBorder="1"/>
    <xf numFmtId="165" fontId="0" fillId="0" borderId="0" xfId="0" applyNumberFormat="1"/>
    <xf numFmtId="2" fontId="2" fillId="3" borderId="4" xfId="0" applyNumberFormat="1" applyFont="1" applyFill="1" applyBorder="1" applyAlignment="1">
      <alignment horizontal="center"/>
    </xf>
    <xf numFmtId="2" fontId="5" fillId="4" borderId="1" xfId="2" applyNumberFormat="1" applyFont="1" applyFill="1" applyBorder="1"/>
    <xf numFmtId="2" fontId="3" fillId="4" borderId="1" xfId="0" applyNumberFormat="1" applyFont="1" applyFill="1" applyBorder="1"/>
    <xf numFmtId="2" fontId="0" fillId="0" borderId="0" xfId="0" applyNumberFormat="1"/>
    <xf numFmtId="11" fontId="0" fillId="4" borderId="0" xfId="0" applyNumberFormat="1" applyFill="1"/>
    <xf numFmtId="11" fontId="0" fillId="4" borderId="11" xfId="0" applyNumberFormat="1" applyFill="1" applyBorder="1"/>
    <xf numFmtId="11" fontId="2" fillId="3" borderId="4" xfId="0" applyNumberFormat="1" applyFont="1" applyFill="1" applyBorder="1" applyAlignment="1">
      <alignment horizontal="center"/>
    </xf>
    <xf numFmtId="11" fontId="3" fillId="4" borderId="1" xfId="0" applyNumberFormat="1" applyFont="1" applyFill="1" applyBorder="1"/>
    <xf numFmtId="11" fontId="0" fillId="0" borderId="0" xfId="0" applyNumberFormat="1"/>
    <xf numFmtId="2" fontId="5" fillId="4" borderId="1" xfId="2" applyNumberFormat="1" applyFont="1" applyFill="1" applyBorder="1" applyAlignment="1">
      <alignment horizontal="right"/>
    </xf>
    <xf numFmtId="11" fontId="5" fillId="4" borderId="1" xfId="2" applyNumberFormat="1" applyFont="1" applyFill="1" applyBorder="1" applyAlignment="1">
      <alignment horizontal="right"/>
    </xf>
    <xf numFmtId="2" fontId="17" fillId="4" borderId="1" xfId="2" applyNumberFormat="1" applyFont="1" applyFill="1" applyBorder="1" applyAlignment="1">
      <alignment horizontal="right"/>
    </xf>
    <xf numFmtId="11" fontId="17" fillId="4" borderId="1" xfId="2" applyNumberFormat="1" applyFont="1" applyFill="1" applyBorder="1" applyAlignment="1">
      <alignment horizontal="right"/>
    </xf>
    <xf numFmtId="165" fontId="17" fillId="4" borderId="1" xfId="2" applyNumberFormat="1" applyFont="1" applyFill="1" applyBorder="1" applyAlignment="1">
      <alignment horizontal="right"/>
    </xf>
    <xf numFmtId="165" fontId="5" fillId="4" borderId="1" xfId="2" applyNumberFormat="1" applyFont="1" applyFill="1" applyBorder="1" applyAlignment="1">
      <alignment horizontal="right"/>
    </xf>
    <xf numFmtId="164" fontId="4" fillId="0" borderId="1" xfId="0" applyNumberFormat="1" applyFont="1" applyBorder="1"/>
    <xf numFmtId="2" fontId="5" fillId="4" borderId="2" xfId="2" applyNumberFormat="1" applyFont="1" applyFill="1" applyBorder="1"/>
    <xf numFmtId="167" fontId="0" fillId="4" borderId="0" xfId="0" applyNumberFormat="1" applyFill="1"/>
    <xf numFmtId="167" fontId="0" fillId="4" borderId="11" xfId="0" applyNumberFormat="1" applyFill="1" applyBorder="1"/>
    <xf numFmtId="167" fontId="2" fillId="3" borderId="6" xfId="0" applyNumberFormat="1" applyFont="1" applyFill="1" applyBorder="1" applyAlignment="1">
      <alignment horizontal="center"/>
    </xf>
    <xf numFmtId="167" fontId="3" fillId="4" borderId="8" xfId="0" applyNumberFormat="1" applyFont="1" applyFill="1" applyBorder="1"/>
    <xf numFmtId="167" fontId="0" fillId="0" borderId="0" xfId="0" applyNumberFormat="1"/>
    <xf numFmtId="2" fontId="2" fillId="3" borderId="7" xfId="0" applyNumberFormat="1" applyFont="1" applyFill="1" applyBorder="1" applyAlignment="1">
      <alignment horizontal="center"/>
    </xf>
    <xf numFmtId="2" fontId="3" fillId="4" borderId="9" xfId="0" applyNumberFormat="1" applyFont="1" applyFill="1" applyBorder="1"/>
    <xf numFmtId="167" fontId="2" fillId="3" borderId="7" xfId="0" applyNumberFormat="1" applyFont="1" applyFill="1" applyBorder="1" applyAlignment="1">
      <alignment horizontal="center"/>
    </xf>
    <xf numFmtId="167" fontId="3" fillId="4" borderId="9" xfId="0" applyNumberFormat="1" applyFont="1" applyFill="1" applyBorder="1"/>
    <xf numFmtId="11" fontId="2" fillId="3" borderId="3" xfId="0" applyNumberFormat="1" applyFont="1" applyFill="1" applyBorder="1" applyAlignment="1">
      <alignment horizontal="center"/>
    </xf>
    <xf numFmtId="167" fontId="2" fillId="3" borderId="3" xfId="0" applyNumberFormat="1" applyFont="1" applyFill="1" applyBorder="1" applyAlignment="1">
      <alignment horizontal="center"/>
    </xf>
    <xf numFmtId="167" fontId="5" fillId="4" borderId="8" xfId="2" applyNumberFormat="1" applyFont="1" applyFill="1" applyBorder="1"/>
    <xf numFmtId="167" fontId="5" fillId="4" borderId="9" xfId="2" applyNumberFormat="1" applyFont="1" applyFill="1" applyBorder="1"/>
    <xf numFmtId="167" fontId="5" fillId="4" borderId="2" xfId="2" applyNumberFormat="1" applyFont="1" applyFill="1" applyBorder="1"/>
    <xf numFmtId="167" fontId="17" fillId="4" borderId="8" xfId="2" applyNumberFormat="1" applyFont="1" applyFill="1" applyBorder="1" applyAlignment="1">
      <alignment horizontal="right"/>
    </xf>
    <xf numFmtId="167" fontId="17" fillId="4" borderId="9" xfId="2" applyNumberFormat="1" applyFont="1" applyFill="1" applyBorder="1"/>
    <xf numFmtId="167" fontId="17" fillId="4" borderId="2" xfId="2" applyNumberFormat="1" applyFont="1" applyFill="1" applyBorder="1"/>
    <xf numFmtId="167" fontId="5" fillId="4" borderId="8" xfId="2" applyNumberFormat="1" applyFont="1" applyFill="1" applyBorder="1" applyAlignment="1">
      <alignment horizontal="right"/>
    </xf>
    <xf numFmtId="167" fontId="17" fillId="4" borderId="12" xfId="2" applyNumberFormat="1" applyFont="1" applyFill="1" applyBorder="1" applyAlignment="1">
      <alignment horizontal="right"/>
    </xf>
    <xf numFmtId="167" fontId="17" fillId="4" borderId="2" xfId="2" applyNumberFormat="1" applyFont="1" applyFill="1" applyBorder="1" applyAlignment="1">
      <alignment horizontal="right"/>
    </xf>
    <xf numFmtId="167" fontId="5" fillId="4" borderId="8" xfId="1" applyNumberFormat="1" applyFont="1" applyFill="1" applyBorder="1"/>
    <xf numFmtId="167" fontId="7" fillId="4" borderId="8" xfId="1" applyNumberFormat="1" applyFont="1" applyFill="1" applyBorder="1"/>
    <xf numFmtId="167" fontId="17" fillId="4" borderId="8" xfId="1" applyNumberFormat="1" applyFont="1" applyFill="1" applyBorder="1" applyAlignment="1">
      <alignment horizontal="right"/>
    </xf>
    <xf numFmtId="167" fontId="5" fillId="4" borderId="8" xfId="1" applyNumberFormat="1" applyFont="1" applyFill="1" applyBorder="1" applyAlignment="1">
      <alignment horizontal="right"/>
    </xf>
    <xf numFmtId="2" fontId="5" fillId="4" borderId="9" xfId="1" applyNumberFormat="1" applyFont="1" applyFill="1" applyBorder="1"/>
    <xf numFmtId="2" fontId="7" fillId="4" borderId="9" xfId="1" applyNumberFormat="1" applyFont="1" applyFill="1" applyBorder="1"/>
    <xf numFmtId="2" fontId="17" fillId="4" borderId="9" xfId="1" applyNumberFormat="1" applyFont="1" applyFill="1" applyBorder="1" applyAlignment="1">
      <alignment horizontal="right"/>
    </xf>
    <xf numFmtId="167" fontId="5" fillId="4" borderId="9" xfId="1" applyNumberFormat="1" applyFont="1" applyFill="1" applyBorder="1"/>
    <xf numFmtId="167" fontId="7" fillId="4" borderId="9" xfId="1" applyNumberFormat="1" applyFont="1" applyFill="1" applyBorder="1"/>
    <xf numFmtId="167" fontId="17" fillId="4" borderId="9" xfId="1" applyNumberFormat="1" applyFont="1" applyFill="1" applyBorder="1" applyAlignment="1">
      <alignment horizontal="right"/>
    </xf>
    <xf numFmtId="166" fontId="0" fillId="4" borderId="0" xfId="0" applyNumberFormat="1" applyFill="1"/>
    <xf numFmtId="166" fontId="0" fillId="4" borderId="11" xfId="0" applyNumberFormat="1" applyFill="1" applyBorder="1"/>
    <xf numFmtId="166" fontId="2" fillId="3" borderId="7" xfId="0" applyNumberFormat="1" applyFont="1" applyFill="1" applyBorder="1" applyAlignment="1">
      <alignment horizontal="center"/>
    </xf>
    <xf numFmtId="166" fontId="2" fillId="3" borderId="3" xfId="0" applyNumberFormat="1" applyFont="1" applyFill="1" applyBorder="1" applyAlignment="1">
      <alignment horizontal="center"/>
    </xf>
    <xf numFmtId="166" fontId="17" fillId="4" borderId="9" xfId="1" applyNumberFormat="1" applyFont="1" applyFill="1" applyBorder="1" applyAlignment="1">
      <alignment horizontal="right"/>
    </xf>
    <xf numFmtId="166" fontId="0" fillId="0" borderId="0" xfId="0" applyNumberFormat="1"/>
    <xf numFmtId="165" fontId="2" fillId="3" borderId="6" xfId="0" applyNumberFormat="1" applyFont="1" applyFill="1" applyBorder="1" applyAlignment="1">
      <alignment horizontal="center"/>
    </xf>
    <xf numFmtId="165" fontId="3" fillId="4" borderId="8" xfId="0" applyNumberFormat="1" applyFont="1" applyFill="1" applyBorder="1" applyAlignment="1">
      <alignment vertical="top"/>
    </xf>
    <xf numFmtId="167" fontId="4" fillId="4" borderId="8" xfId="0" applyNumberFormat="1" applyFont="1" applyFill="1" applyBorder="1"/>
    <xf numFmtId="165" fontId="2" fillId="3" borderId="7" xfId="0" applyNumberFormat="1" applyFont="1" applyFill="1" applyBorder="1" applyAlignment="1">
      <alignment horizontal="center"/>
    </xf>
    <xf numFmtId="165" fontId="2" fillId="3" borderId="3" xfId="0" applyNumberFormat="1" applyFont="1" applyFill="1" applyBorder="1" applyAlignment="1">
      <alignment horizontal="center"/>
    </xf>
    <xf numFmtId="165" fontId="5" fillId="4" borderId="8" xfId="1" applyNumberFormat="1" applyFont="1" applyFill="1" applyBorder="1"/>
    <xf numFmtId="165" fontId="5" fillId="4" borderId="2" xfId="1" applyNumberFormat="1" applyFont="1" applyFill="1" applyBorder="1"/>
    <xf numFmtId="165" fontId="4" fillId="4" borderId="8" xfId="0" applyNumberFormat="1" applyFont="1" applyFill="1" applyBorder="1"/>
    <xf numFmtId="167" fontId="4" fillId="4" borderId="2" xfId="0" applyNumberFormat="1" applyFont="1" applyFill="1" applyBorder="1"/>
    <xf numFmtId="165" fontId="17" fillId="4" borderId="1" xfId="0" applyNumberFormat="1" applyFont="1" applyFill="1" applyBorder="1"/>
  </cellXfs>
  <cellStyles count="3">
    <cellStyle name="Normal_Sheet1 2" xfId="1" xr:uid="{38A7987E-3A73-1345-BD38-4C55C7557F6A}"/>
    <cellStyle name="Normal_Sheet1_1" xfId="2" xr:uid="{0F6401E3-B19B-D44D-AE2E-CBDCFBDCEF65}"/>
    <cellStyle name="Normale" xfId="0" builtinId="0"/>
  </cellStyles>
  <dxfs count="1">
    <dxf>
      <font>
        <color rgb="FF9C0006"/>
      </font>
      <fill>
        <patternFill>
          <bgColor rgb="FFFFC7CE"/>
        </patternFill>
      </fill>
    </dxf>
  </dxfs>
  <tableStyles count="0" defaultTableStyle="TableStyleMedium2" defaultPivotStyle="PivotStyleLight16"/>
  <colors>
    <mruColors>
      <color rgb="FF74D9FF"/>
      <color rgb="FF75D8FF"/>
      <color rgb="FFFF9300"/>
      <color rgb="FFFF8AD9"/>
      <color rgb="FF7A81FF"/>
      <color rgb="FF75D7FF"/>
      <color rgb="FFD6FD78"/>
      <color rgb="FFFFD679"/>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66221495-482A-664B-8B7C-28F499CCF03A}"/>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2" name="CasellaDiTesto 1">
              <a:extLst>
                <a:ext uri="{FF2B5EF4-FFF2-40B4-BE49-F238E27FC236}">
                  <a16:creationId xmlns:a16="http://schemas.microsoft.com/office/drawing/2014/main" id="{66221495-482A-664B-8B7C-28F499CCF03A}"/>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59C8F82A-9664-8C42-A19D-43AF78A95EEE}"/>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59C8F82A-9664-8C42-A19D-43AF78A95EEE}"/>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D5FCEF24-2FE6-9A44-BE45-DAC157C67CDF}"/>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D5FCEF24-2FE6-9A44-BE45-DAC157C67CDF}"/>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83EB32EA-1261-A14E-AFFD-E7FD7236E4BC}"/>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83EB32EA-1261-A14E-AFFD-E7FD7236E4BC}"/>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A1674B2A-119F-9045-88E0-C99C2F4379C1}"/>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A1674B2A-119F-9045-88E0-C99C2F4379C1}"/>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7DF68835-701E-A646-88B7-E16E41677BDC}"/>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7DF68835-701E-A646-88B7-E16E41677BDC}"/>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0458A-3AA2-DD44-AB19-147B69EA530C}">
  <dimension ref="A1:AV176"/>
  <sheetViews>
    <sheetView tabSelected="1" topLeftCell="A11" zoomScale="140" zoomScaleNormal="140" workbookViewId="0">
      <selection activeCell="E43" sqref="E43"/>
    </sheetView>
  </sheetViews>
  <sheetFormatPr baseColWidth="10" defaultRowHeight="16" x14ac:dyDescent="0.2"/>
  <cols>
    <col min="1" max="1" width="45.1640625" customWidth="1"/>
    <col min="2" max="2" width="17.5" customWidth="1"/>
    <col min="3" max="3" width="45.83203125" customWidth="1"/>
    <col min="4" max="4" width="4.1640625" customWidth="1"/>
    <col min="5" max="5" width="18.5" style="51" customWidth="1"/>
    <col min="6" max="6" width="18.33203125" style="51" customWidth="1"/>
    <col min="7" max="7" width="14.83203125" style="53" customWidth="1"/>
    <col min="8" max="9" width="14.83203125" style="57" customWidth="1"/>
    <col min="10" max="10" width="14.83203125" style="62" customWidth="1"/>
    <col min="11" max="11" width="14.83203125" style="57" customWidth="1"/>
    <col min="12" max="13" width="14.83203125" style="53" customWidth="1"/>
    <col min="14" max="14" width="14.83203125" style="75" customWidth="1"/>
    <col min="15" max="15" width="14.83203125" style="57" customWidth="1"/>
    <col min="16" max="16" width="14.83203125" style="75" customWidth="1"/>
    <col min="17" max="17" width="14.83203125" style="62" customWidth="1"/>
    <col min="18" max="21" width="14.83203125" style="75" customWidth="1"/>
    <col min="22" max="22" width="14.83203125" style="57" customWidth="1"/>
    <col min="23" max="23" width="14.83203125" style="75" customWidth="1"/>
    <col min="24" max="25" width="14.83203125" style="106" customWidth="1"/>
    <col min="26" max="26" width="14.83203125" style="53" customWidth="1"/>
    <col min="27" max="27" width="14.83203125" style="75" customWidth="1"/>
    <col min="28" max="29" width="14.83203125" style="106" customWidth="1"/>
    <col min="30" max="30" width="14.83203125" style="75" customWidth="1"/>
    <col min="31" max="32" width="14.83203125" style="106" customWidth="1"/>
    <col min="33" max="35" width="14.83203125" style="53" customWidth="1"/>
    <col min="36" max="36" width="14.83203125" style="75" customWidth="1"/>
  </cols>
  <sheetData>
    <row r="1" spans="1:48" s="40" customFormat="1" ht="18" x14ac:dyDescent="0.2">
      <c r="A1" s="34" t="s">
        <v>220</v>
      </c>
      <c r="B1" s="35"/>
      <c r="C1" s="35"/>
      <c r="D1" s="35"/>
      <c r="E1" s="48"/>
      <c r="F1" s="48"/>
      <c r="G1" s="37"/>
      <c r="H1" s="36"/>
      <c r="I1" s="36"/>
      <c r="J1" s="58"/>
      <c r="K1" s="36"/>
      <c r="L1" s="37"/>
      <c r="M1" s="37"/>
      <c r="N1" s="71"/>
      <c r="O1" s="36"/>
      <c r="P1" s="71"/>
      <c r="Q1" s="58"/>
      <c r="R1" s="71"/>
      <c r="S1" s="71"/>
      <c r="T1" s="71"/>
      <c r="U1" s="71"/>
      <c r="V1" s="36"/>
      <c r="W1" s="71"/>
      <c r="X1" s="101"/>
      <c r="Y1" s="101"/>
      <c r="Z1" s="37"/>
      <c r="AA1" s="71"/>
      <c r="AB1" s="101"/>
      <c r="AC1" s="101"/>
      <c r="AD1" s="71"/>
      <c r="AE1" s="101"/>
      <c r="AF1" s="101"/>
      <c r="AG1" s="37"/>
      <c r="AH1" s="37"/>
      <c r="AI1" s="37"/>
      <c r="AJ1" s="71"/>
      <c r="AK1" s="38"/>
      <c r="AL1" s="39"/>
      <c r="AM1" s="39"/>
      <c r="AN1" s="39"/>
      <c r="AO1" s="39"/>
      <c r="AP1" s="39"/>
      <c r="AQ1" s="39"/>
      <c r="AR1" s="39"/>
      <c r="AS1" s="39"/>
      <c r="AT1" s="39"/>
      <c r="AU1" s="39"/>
      <c r="AV1" s="39"/>
    </row>
    <row r="2" spans="1:48" s="40" customFormat="1" x14ac:dyDescent="0.2">
      <c r="A2" s="39"/>
      <c r="B2" s="35"/>
      <c r="C2" s="35"/>
      <c r="D2" s="35"/>
      <c r="E2" s="48"/>
      <c r="F2" s="48"/>
      <c r="G2" s="37"/>
      <c r="H2" s="36"/>
      <c r="I2" s="36"/>
      <c r="J2" s="58"/>
      <c r="K2" s="36"/>
      <c r="L2" s="37"/>
      <c r="M2" s="37"/>
      <c r="N2" s="71"/>
      <c r="O2" s="36"/>
      <c r="P2" s="71"/>
      <c r="Q2" s="58"/>
      <c r="R2" s="71"/>
      <c r="S2" s="71"/>
      <c r="T2" s="71"/>
      <c r="U2" s="71"/>
      <c r="V2" s="36"/>
      <c r="W2" s="71"/>
      <c r="X2" s="101"/>
      <c r="Y2" s="101"/>
      <c r="Z2" s="37"/>
      <c r="AA2" s="71"/>
      <c r="AB2" s="101"/>
      <c r="AC2" s="101"/>
      <c r="AD2" s="71"/>
      <c r="AE2" s="101"/>
      <c r="AF2" s="101"/>
      <c r="AG2" s="37"/>
      <c r="AH2" s="37"/>
      <c r="AI2" s="37"/>
      <c r="AJ2" s="71"/>
      <c r="AK2" s="38"/>
      <c r="AL2" s="39"/>
      <c r="AM2" s="39"/>
      <c r="AN2" s="39"/>
      <c r="AO2" s="39"/>
      <c r="AP2" s="39"/>
      <c r="AQ2" s="39"/>
      <c r="AR2" s="39"/>
      <c r="AS2" s="39"/>
      <c r="AT2" s="39"/>
      <c r="AU2" s="39"/>
      <c r="AV2" s="39"/>
    </row>
    <row r="3" spans="1:48" s="40" customFormat="1" x14ac:dyDescent="0.2">
      <c r="A3" s="39" t="s">
        <v>192</v>
      </c>
      <c r="B3" s="35"/>
      <c r="C3" s="35"/>
      <c r="D3" s="35"/>
      <c r="E3" s="48"/>
      <c r="F3" s="48"/>
      <c r="G3" s="37"/>
      <c r="H3" s="36"/>
      <c r="I3" s="36"/>
      <c r="J3" s="58"/>
      <c r="K3" s="36"/>
      <c r="L3" s="37"/>
      <c r="M3" s="37"/>
      <c r="N3" s="71"/>
      <c r="O3" s="36"/>
      <c r="P3" s="71"/>
      <c r="Q3" s="58"/>
      <c r="R3" s="71"/>
      <c r="S3" s="71"/>
      <c r="T3" s="71"/>
      <c r="U3" s="71"/>
      <c r="V3" s="36"/>
      <c r="W3" s="71"/>
      <c r="X3" s="101"/>
      <c r="Y3" s="101"/>
      <c r="Z3" s="37"/>
      <c r="AA3" s="71"/>
      <c r="AB3" s="101"/>
      <c r="AC3" s="101"/>
      <c r="AD3" s="71"/>
      <c r="AE3" s="101"/>
      <c r="AF3" s="101"/>
      <c r="AG3" s="37"/>
      <c r="AH3" s="37"/>
      <c r="AI3" s="37"/>
      <c r="AJ3" s="71"/>
      <c r="AK3" s="38"/>
      <c r="AL3" s="39"/>
      <c r="AM3" s="39"/>
      <c r="AN3" s="39"/>
      <c r="AO3" s="39"/>
      <c r="AP3" s="39"/>
      <c r="AQ3" s="39"/>
      <c r="AR3" s="39"/>
      <c r="AS3" s="39"/>
      <c r="AT3" s="39"/>
      <c r="AU3" s="39"/>
      <c r="AV3" s="39"/>
    </row>
    <row r="4" spans="1:48" s="40" customFormat="1" x14ac:dyDescent="0.2">
      <c r="A4" s="39" t="s">
        <v>193</v>
      </c>
      <c r="B4" s="35"/>
      <c r="C4" s="35"/>
      <c r="D4" s="35"/>
      <c r="E4" s="48"/>
      <c r="F4" s="48"/>
      <c r="G4" s="37"/>
      <c r="H4" s="36"/>
      <c r="I4" s="36"/>
      <c r="J4" s="58"/>
      <c r="K4" s="36"/>
      <c r="L4" s="37"/>
      <c r="M4" s="37"/>
      <c r="N4" s="71"/>
      <c r="O4" s="36"/>
      <c r="P4" s="71"/>
      <c r="Q4" s="58"/>
      <c r="R4" s="71"/>
      <c r="S4" s="71"/>
      <c r="T4" s="71"/>
      <c r="U4" s="71"/>
      <c r="V4" s="36"/>
      <c r="W4" s="71"/>
      <c r="X4" s="101"/>
      <c r="Y4" s="101"/>
      <c r="Z4" s="37"/>
      <c r="AA4" s="71"/>
      <c r="AB4" s="101"/>
      <c r="AC4" s="101"/>
      <c r="AD4" s="71"/>
      <c r="AE4" s="101"/>
      <c r="AF4" s="101"/>
      <c r="AG4" s="37"/>
      <c r="AH4" s="37"/>
      <c r="AI4" s="37"/>
      <c r="AJ4" s="71"/>
      <c r="AK4" s="38"/>
      <c r="AL4" s="39"/>
      <c r="AM4" s="39"/>
      <c r="AN4" s="39"/>
      <c r="AO4" s="39"/>
      <c r="AP4" s="39"/>
      <c r="AQ4" s="39"/>
      <c r="AR4" s="39"/>
      <c r="AS4" s="39"/>
      <c r="AT4" s="39"/>
      <c r="AU4" s="39"/>
      <c r="AV4" s="39"/>
    </row>
    <row r="5" spans="1:48" s="40" customFormat="1" x14ac:dyDescent="0.2">
      <c r="A5" s="39" t="s">
        <v>194</v>
      </c>
      <c r="B5" s="35"/>
      <c r="C5" s="35"/>
      <c r="D5" s="35"/>
      <c r="E5" s="48"/>
      <c r="F5" s="48"/>
      <c r="G5" s="37"/>
      <c r="H5" s="36"/>
      <c r="I5" s="36"/>
      <c r="J5" s="58"/>
      <c r="K5" s="36"/>
      <c r="L5" s="37"/>
      <c r="M5" s="37"/>
      <c r="N5" s="71"/>
      <c r="O5" s="36"/>
      <c r="P5" s="71"/>
      <c r="Q5" s="58"/>
      <c r="R5" s="71"/>
      <c r="S5" s="71"/>
      <c r="T5" s="71"/>
      <c r="U5" s="71"/>
      <c r="V5" s="36"/>
      <c r="W5" s="71"/>
      <c r="X5" s="101"/>
      <c r="Y5" s="101"/>
      <c r="Z5" s="37"/>
      <c r="AA5" s="71"/>
      <c r="AB5" s="101"/>
      <c r="AC5" s="101"/>
      <c r="AD5" s="71"/>
      <c r="AE5" s="101"/>
      <c r="AF5" s="101"/>
      <c r="AG5" s="37"/>
      <c r="AH5" s="37"/>
      <c r="AI5" s="37"/>
      <c r="AJ5" s="71"/>
      <c r="AK5" s="38"/>
      <c r="AL5" s="39"/>
      <c r="AM5" s="39"/>
      <c r="AN5" s="39"/>
      <c r="AO5" s="39"/>
      <c r="AP5" s="39"/>
      <c r="AQ5" s="39"/>
      <c r="AR5" s="39"/>
      <c r="AS5" s="39"/>
      <c r="AT5" s="39"/>
      <c r="AU5" s="39"/>
      <c r="AV5" s="39"/>
    </row>
    <row r="6" spans="1:48" s="40" customFormat="1" x14ac:dyDescent="0.2">
      <c r="A6" s="39" t="s">
        <v>195</v>
      </c>
      <c r="B6" s="35"/>
      <c r="C6" s="35"/>
      <c r="D6" s="35"/>
      <c r="E6" s="48"/>
      <c r="F6" s="48"/>
      <c r="G6" s="37"/>
      <c r="H6" s="36"/>
      <c r="I6" s="36"/>
      <c r="J6" s="58"/>
      <c r="K6" s="36"/>
      <c r="L6" s="37"/>
      <c r="M6" s="37"/>
      <c r="N6" s="71"/>
      <c r="O6" s="36"/>
      <c r="P6" s="71"/>
      <c r="Q6" s="58"/>
      <c r="R6" s="71"/>
      <c r="S6" s="71"/>
      <c r="T6" s="71"/>
      <c r="U6" s="71"/>
      <c r="V6" s="36"/>
      <c r="W6" s="71"/>
      <c r="X6" s="101"/>
      <c r="Y6" s="101"/>
      <c r="Z6" s="37"/>
      <c r="AA6" s="71"/>
      <c r="AB6" s="101"/>
      <c r="AC6" s="101"/>
      <c r="AD6" s="71"/>
      <c r="AE6" s="101"/>
      <c r="AF6" s="101"/>
      <c r="AG6" s="37"/>
      <c r="AH6" s="37"/>
      <c r="AI6" s="37"/>
      <c r="AJ6" s="71"/>
      <c r="AK6" s="38"/>
      <c r="AL6" s="39"/>
      <c r="AM6" s="39"/>
      <c r="AN6" s="39"/>
      <c r="AO6" s="39"/>
      <c r="AP6" s="39"/>
      <c r="AQ6" s="39"/>
      <c r="AR6" s="39"/>
      <c r="AS6" s="39"/>
      <c r="AT6" s="39"/>
      <c r="AU6" s="39"/>
      <c r="AV6" s="39"/>
    </row>
    <row r="7" spans="1:48" s="40" customFormat="1" x14ac:dyDescent="0.2">
      <c r="A7" s="39" t="s">
        <v>196</v>
      </c>
      <c r="B7" s="35"/>
      <c r="C7" s="35"/>
      <c r="D7" s="35"/>
      <c r="E7" s="48"/>
      <c r="F7" s="48"/>
      <c r="G7" s="37"/>
      <c r="H7" s="36"/>
      <c r="I7" s="36"/>
      <c r="J7" s="58"/>
      <c r="K7" s="36"/>
      <c r="L7" s="37"/>
      <c r="M7" s="37"/>
      <c r="N7" s="71"/>
      <c r="O7" s="36"/>
      <c r="P7" s="71"/>
      <c r="Q7" s="58"/>
      <c r="R7" s="71"/>
      <c r="S7" s="71"/>
      <c r="T7" s="71"/>
      <c r="U7" s="71"/>
      <c r="V7" s="36"/>
      <c r="W7" s="71"/>
      <c r="X7" s="101"/>
      <c r="Y7" s="101"/>
      <c r="Z7" s="37"/>
      <c r="AA7" s="71"/>
      <c r="AB7" s="101"/>
      <c r="AC7" s="101"/>
      <c r="AD7" s="71"/>
      <c r="AE7" s="101"/>
      <c r="AF7" s="101"/>
      <c r="AG7" s="37"/>
      <c r="AH7" s="37"/>
      <c r="AI7" s="37"/>
      <c r="AJ7" s="71"/>
      <c r="AK7" s="38"/>
      <c r="AL7" s="39"/>
      <c r="AM7" s="39"/>
      <c r="AN7" s="39"/>
      <c r="AO7" s="39"/>
      <c r="AP7" s="39"/>
      <c r="AQ7" s="39"/>
      <c r="AR7" s="39"/>
      <c r="AS7" s="39"/>
      <c r="AT7" s="39"/>
      <c r="AU7" s="39"/>
      <c r="AV7" s="39"/>
    </row>
    <row r="8" spans="1:48" s="40" customFormat="1" x14ac:dyDescent="0.2">
      <c r="A8" s="39" t="s">
        <v>197</v>
      </c>
      <c r="B8" s="35"/>
      <c r="C8" s="35"/>
      <c r="D8" s="35"/>
      <c r="E8" s="48"/>
      <c r="F8" s="48"/>
      <c r="G8" s="37"/>
      <c r="H8" s="36"/>
      <c r="I8" s="36"/>
      <c r="J8" s="58"/>
      <c r="K8" s="36"/>
      <c r="L8" s="37"/>
      <c r="M8" s="37"/>
      <c r="N8" s="71"/>
      <c r="O8" s="36"/>
      <c r="P8" s="71"/>
      <c r="Q8" s="58"/>
      <c r="R8" s="71"/>
      <c r="S8" s="71"/>
      <c r="T8" s="71"/>
      <c r="U8" s="71"/>
      <c r="V8" s="36"/>
      <c r="W8" s="71"/>
      <c r="X8" s="101"/>
      <c r="Y8" s="101"/>
      <c r="Z8" s="37"/>
      <c r="AA8" s="71"/>
      <c r="AB8" s="101"/>
      <c r="AC8" s="101"/>
      <c r="AD8" s="71"/>
      <c r="AE8" s="101"/>
      <c r="AF8" s="101"/>
      <c r="AG8" s="37"/>
      <c r="AH8" s="37"/>
      <c r="AI8" s="37"/>
      <c r="AJ8" s="71"/>
      <c r="AK8" s="38"/>
      <c r="AL8" s="39"/>
      <c r="AM8" s="39"/>
      <c r="AN8" s="39"/>
      <c r="AO8" s="39"/>
      <c r="AP8" s="39"/>
      <c r="AQ8" s="39"/>
      <c r="AR8" s="39"/>
      <c r="AS8" s="39"/>
      <c r="AT8" s="39"/>
      <c r="AU8" s="39"/>
      <c r="AV8" s="39"/>
    </row>
    <row r="9" spans="1:48" s="40" customFormat="1" x14ac:dyDescent="0.2">
      <c r="A9" s="39" t="s">
        <v>198</v>
      </c>
      <c r="B9" s="35"/>
      <c r="C9" s="35"/>
      <c r="D9" s="35"/>
      <c r="E9" s="48"/>
      <c r="F9" s="48"/>
      <c r="G9" s="37"/>
      <c r="H9" s="36"/>
      <c r="I9" s="36"/>
      <c r="J9" s="58"/>
      <c r="K9" s="36"/>
      <c r="L9" s="37"/>
      <c r="M9" s="37"/>
      <c r="N9" s="71"/>
      <c r="O9" s="36"/>
      <c r="P9" s="71"/>
      <c r="Q9" s="58"/>
      <c r="R9" s="71"/>
      <c r="S9" s="71"/>
      <c r="T9" s="71"/>
      <c r="U9" s="71"/>
      <c r="V9" s="36"/>
      <c r="W9" s="71"/>
      <c r="X9" s="101"/>
      <c r="Y9" s="101"/>
      <c r="Z9" s="37"/>
      <c r="AA9" s="71"/>
      <c r="AB9" s="101"/>
      <c r="AC9" s="101"/>
      <c r="AD9" s="71"/>
      <c r="AE9" s="101"/>
      <c r="AF9" s="101"/>
      <c r="AG9" s="37"/>
      <c r="AH9" s="37"/>
      <c r="AI9" s="37"/>
      <c r="AJ9" s="71"/>
      <c r="AK9" s="38"/>
      <c r="AL9" s="39"/>
      <c r="AM9" s="39"/>
      <c r="AN9" s="39"/>
      <c r="AO9" s="39"/>
      <c r="AP9" s="39"/>
      <c r="AQ9" s="39"/>
      <c r="AR9" s="39"/>
      <c r="AS9" s="39"/>
      <c r="AT9" s="39"/>
      <c r="AU9" s="39"/>
      <c r="AV9" s="39"/>
    </row>
    <row r="10" spans="1:48" s="40" customFormat="1" x14ac:dyDescent="0.2">
      <c r="A10" s="39" t="s">
        <v>199</v>
      </c>
      <c r="B10" s="35"/>
      <c r="C10" s="35"/>
      <c r="D10" s="35"/>
      <c r="E10" s="48"/>
      <c r="F10" s="48"/>
      <c r="G10" s="37"/>
      <c r="H10" s="36"/>
      <c r="I10" s="36"/>
      <c r="J10" s="58"/>
      <c r="K10" s="36"/>
      <c r="L10" s="37"/>
      <c r="M10" s="37"/>
      <c r="N10" s="71"/>
      <c r="O10" s="36"/>
      <c r="P10" s="71"/>
      <c r="Q10" s="58"/>
      <c r="R10" s="71"/>
      <c r="S10" s="71"/>
      <c r="T10" s="71"/>
      <c r="U10" s="71"/>
      <c r="V10" s="36"/>
      <c r="W10" s="71"/>
      <c r="X10" s="101"/>
      <c r="Y10" s="101"/>
      <c r="Z10" s="37"/>
      <c r="AA10" s="71"/>
      <c r="AB10" s="101"/>
      <c r="AC10" s="101"/>
      <c r="AD10" s="71"/>
      <c r="AE10" s="101"/>
      <c r="AF10" s="101"/>
      <c r="AG10" s="37"/>
      <c r="AH10" s="37"/>
      <c r="AI10" s="37"/>
      <c r="AJ10" s="71"/>
      <c r="AK10" s="38"/>
      <c r="AL10" s="39"/>
      <c r="AM10" s="39"/>
      <c r="AN10" s="39"/>
      <c r="AO10" s="39"/>
      <c r="AP10" s="39"/>
      <c r="AQ10" s="39"/>
      <c r="AR10" s="39"/>
      <c r="AS10" s="39"/>
      <c r="AT10" s="39"/>
      <c r="AU10" s="39"/>
      <c r="AV10" s="39"/>
    </row>
    <row r="11" spans="1:48" s="40" customFormat="1" x14ac:dyDescent="0.2">
      <c r="A11" s="39" t="s">
        <v>200</v>
      </c>
      <c r="B11" s="35"/>
      <c r="C11" s="35"/>
      <c r="D11" s="35"/>
      <c r="E11" s="48"/>
      <c r="F11" s="48"/>
      <c r="G11" s="37"/>
      <c r="H11" s="36"/>
      <c r="I11" s="36"/>
      <c r="J11" s="58"/>
      <c r="K11" s="36"/>
      <c r="L11" s="37"/>
      <c r="M11" s="37"/>
      <c r="N11" s="71"/>
      <c r="O11" s="36"/>
      <c r="P11" s="71"/>
      <c r="Q11" s="58"/>
      <c r="R11" s="71"/>
      <c r="S11" s="71"/>
      <c r="T11" s="71"/>
      <c r="U11" s="71"/>
      <c r="V11" s="36"/>
      <c r="W11" s="71"/>
      <c r="X11" s="101"/>
      <c r="Y11" s="101"/>
      <c r="Z11" s="37"/>
      <c r="AA11" s="71"/>
      <c r="AB11" s="101"/>
      <c r="AC11" s="101"/>
      <c r="AD11" s="71"/>
      <c r="AE11" s="101"/>
      <c r="AF11" s="101"/>
      <c r="AG11" s="37"/>
      <c r="AH11" s="37"/>
      <c r="AI11" s="37"/>
      <c r="AJ11" s="71"/>
      <c r="AK11" s="38"/>
      <c r="AL11" s="39"/>
      <c r="AM11" s="39"/>
      <c r="AN11" s="39"/>
      <c r="AO11" s="39"/>
      <c r="AP11" s="39"/>
      <c r="AQ11" s="39"/>
      <c r="AR11" s="39"/>
      <c r="AS11" s="39"/>
      <c r="AT11" s="39"/>
      <c r="AU11" s="39"/>
      <c r="AV11" s="39"/>
    </row>
    <row r="12" spans="1:48" s="40" customFormat="1" x14ac:dyDescent="0.2">
      <c r="A12" s="39" t="s">
        <v>201</v>
      </c>
      <c r="B12" s="35"/>
      <c r="C12" s="35"/>
      <c r="D12" s="35"/>
      <c r="E12" s="48"/>
      <c r="F12" s="48"/>
      <c r="G12" s="37"/>
      <c r="H12" s="36"/>
      <c r="I12" s="36"/>
      <c r="J12" s="58"/>
      <c r="K12" s="36"/>
      <c r="L12" s="37"/>
      <c r="M12" s="37"/>
      <c r="N12" s="71"/>
      <c r="O12" s="36"/>
      <c r="P12" s="71"/>
      <c r="Q12" s="58"/>
      <c r="R12" s="71"/>
      <c r="S12" s="71"/>
      <c r="T12" s="71"/>
      <c r="U12" s="71"/>
      <c r="V12" s="36"/>
      <c r="W12" s="71"/>
      <c r="X12" s="101"/>
      <c r="Y12" s="101"/>
      <c r="Z12" s="37"/>
      <c r="AA12" s="71"/>
      <c r="AB12" s="101"/>
      <c r="AC12" s="101"/>
      <c r="AD12" s="71"/>
      <c r="AE12" s="101"/>
      <c r="AF12" s="101"/>
      <c r="AG12" s="37"/>
      <c r="AH12" s="37"/>
      <c r="AI12" s="37"/>
      <c r="AJ12" s="71"/>
      <c r="AK12" s="38"/>
      <c r="AL12" s="39"/>
      <c r="AM12" s="39"/>
      <c r="AN12" s="39"/>
      <c r="AO12" s="39"/>
      <c r="AP12" s="39"/>
      <c r="AQ12" s="39"/>
      <c r="AR12" s="39"/>
      <c r="AS12" s="39"/>
      <c r="AT12" s="39"/>
      <c r="AU12" s="39"/>
      <c r="AV12" s="39"/>
    </row>
    <row r="13" spans="1:48" s="40" customFormat="1" x14ac:dyDescent="0.2">
      <c r="A13" s="41" t="s">
        <v>202</v>
      </c>
      <c r="B13" s="35"/>
      <c r="C13" s="35"/>
      <c r="D13" s="35"/>
      <c r="E13" s="48"/>
      <c r="F13" s="48"/>
      <c r="G13" s="37"/>
      <c r="H13" s="36"/>
      <c r="I13" s="36"/>
      <c r="J13" s="58"/>
      <c r="K13" s="36"/>
      <c r="L13" s="37"/>
      <c r="M13" s="37"/>
      <c r="N13" s="71"/>
      <c r="O13" s="36"/>
      <c r="P13" s="71"/>
      <c r="Q13" s="58"/>
      <c r="R13" s="71"/>
      <c r="S13" s="71"/>
      <c r="T13" s="71"/>
      <c r="U13" s="71"/>
      <c r="V13" s="36"/>
      <c r="W13" s="71"/>
      <c r="X13" s="101"/>
      <c r="Y13" s="101"/>
      <c r="Z13" s="37"/>
      <c r="AA13" s="71"/>
      <c r="AB13" s="101"/>
      <c r="AC13" s="101"/>
      <c r="AD13" s="71"/>
      <c r="AE13" s="101"/>
      <c r="AF13" s="101"/>
      <c r="AG13" s="37"/>
      <c r="AH13" s="37"/>
      <c r="AI13" s="37"/>
      <c r="AJ13" s="71"/>
      <c r="AK13" s="38"/>
      <c r="AL13" s="39"/>
      <c r="AM13" s="39"/>
      <c r="AN13" s="39"/>
      <c r="AO13" s="39"/>
      <c r="AP13" s="39"/>
      <c r="AQ13" s="39"/>
      <c r="AR13" s="39"/>
      <c r="AS13" s="39"/>
      <c r="AT13" s="39"/>
      <c r="AU13" s="39"/>
      <c r="AV13" s="39"/>
    </row>
    <row r="14" spans="1:48" s="40" customFormat="1" x14ac:dyDescent="0.2">
      <c r="A14" s="41" t="s">
        <v>203</v>
      </c>
      <c r="B14" s="35"/>
      <c r="C14" s="35"/>
      <c r="D14" s="35"/>
      <c r="E14" s="48"/>
      <c r="F14" s="48"/>
      <c r="G14" s="37"/>
      <c r="H14" s="36"/>
      <c r="I14" s="36"/>
      <c r="J14" s="58"/>
      <c r="K14" s="36"/>
      <c r="L14" s="37"/>
      <c r="M14" s="37"/>
      <c r="N14" s="71"/>
      <c r="O14" s="36"/>
      <c r="P14" s="71"/>
      <c r="Q14" s="58"/>
      <c r="R14" s="71"/>
      <c r="S14" s="71"/>
      <c r="T14" s="71"/>
      <c r="U14" s="71"/>
      <c r="V14" s="36"/>
      <c r="W14" s="71"/>
      <c r="X14" s="101"/>
      <c r="Y14" s="101"/>
      <c r="Z14" s="37"/>
      <c r="AA14" s="71"/>
      <c r="AB14" s="101"/>
      <c r="AC14" s="101"/>
      <c r="AD14" s="71"/>
      <c r="AE14" s="101"/>
      <c r="AF14" s="101"/>
      <c r="AG14" s="37"/>
      <c r="AH14" s="37"/>
      <c r="AI14" s="37"/>
      <c r="AJ14" s="71"/>
      <c r="AK14" s="38"/>
      <c r="AL14" s="39"/>
      <c r="AM14" s="39"/>
      <c r="AN14" s="39"/>
      <c r="AO14" s="39"/>
      <c r="AP14" s="39"/>
      <c r="AQ14" s="39"/>
      <c r="AR14" s="39"/>
      <c r="AS14" s="39"/>
      <c r="AT14" s="39"/>
      <c r="AU14" s="39"/>
      <c r="AV14" s="39"/>
    </row>
    <row r="15" spans="1:48" s="40" customFormat="1" x14ac:dyDescent="0.2">
      <c r="A15" s="41" t="s">
        <v>204</v>
      </c>
      <c r="B15" s="35"/>
      <c r="C15" s="35"/>
      <c r="D15" s="35"/>
      <c r="E15" s="48"/>
      <c r="F15" s="48"/>
      <c r="G15" s="37"/>
      <c r="H15" s="36"/>
      <c r="I15" s="36"/>
      <c r="J15" s="58"/>
      <c r="K15" s="36"/>
      <c r="L15" s="37"/>
      <c r="M15" s="37"/>
      <c r="N15" s="71"/>
      <c r="O15" s="36"/>
      <c r="P15" s="71"/>
      <c r="Q15" s="58"/>
      <c r="R15" s="71"/>
      <c r="S15" s="71"/>
      <c r="T15" s="71"/>
      <c r="U15" s="71"/>
      <c r="V15" s="36"/>
      <c r="W15" s="71"/>
      <c r="X15" s="101"/>
      <c r="Y15" s="101"/>
      <c r="Z15" s="37"/>
      <c r="AA15" s="71"/>
      <c r="AB15" s="101"/>
      <c r="AC15" s="101"/>
      <c r="AD15" s="71"/>
      <c r="AE15" s="101"/>
      <c r="AF15" s="101"/>
      <c r="AG15" s="37"/>
      <c r="AH15" s="37"/>
      <c r="AI15" s="37"/>
      <c r="AJ15" s="71"/>
      <c r="AK15" s="38"/>
      <c r="AL15" s="39"/>
      <c r="AM15" s="39"/>
      <c r="AN15" s="39"/>
      <c r="AO15" s="39"/>
      <c r="AP15" s="39"/>
      <c r="AQ15" s="39"/>
      <c r="AR15" s="39"/>
      <c r="AS15" s="39"/>
      <c r="AT15" s="39"/>
      <c r="AU15" s="39"/>
      <c r="AV15" s="39"/>
    </row>
    <row r="16" spans="1:48" s="40" customFormat="1" x14ac:dyDescent="0.2">
      <c r="A16" s="39"/>
      <c r="B16" s="35"/>
      <c r="C16" s="35"/>
      <c r="D16" s="35"/>
      <c r="E16" s="48"/>
      <c r="F16" s="48"/>
      <c r="G16" s="37"/>
      <c r="H16" s="36"/>
      <c r="I16" s="36"/>
      <c r="J16" s="58"/>
      <c r="K16" s="36"/>
      <c r="L16" s="37"/>
      <c r="M16" s="37"/>
      <c r="N16" s="71"/>
      <c r="O16" s="36"/>
      <c r="P16" s="71"/>
      <c r="Q16" s="58"/>
      <c r="R16" s="71"/>
      <c r="S16" s="71"/>
      <c r="T16" s="71"/>
      <c r="U16" s="71"/>
      <c r="V16" s="36"/>
      <c r="W16" s="71"/>
      <c r="X16" s="101"/>
      <c r="Y16" s="101"/>
      <c r="Z16" s="37"/>
      <c r="AA16" s="71"/>
      <c r="AB16" s="101"/>
      <c r="AC16" s="101"/>
      <c r="AD16" s="71"/>
      <c r="AE16" s="101"/>
      <c r="AF16" s="101"/>
      <c r="AG16" s="37"/>
      <c r="AH16" s="37"/>
      <c r="AI16" s="37"/>
      <c r="AJ16" s="71"/>
      <c r="AK16" s="38"/>
      <c r="AL16" s="39"/>
      <c r="AM16" s="39"/>
      <c r="AN16" s="39"/>
      <c r="AO16" s="39"/>
      <c r="AP16" s="39"/>
      <c r="AQ16" s="39"/>
      <c r="AR16" s="39"/>
      <c r="AS16" s="39"/>
      <c r="AT16" s="39"/>
      <c r="AU16" s="39"/>
      <c r="AV16" s="39"/>
    </row>
    <row r="17" spans="1:48" s="40" customFormat="1" x14ac:dyDescent="0.2">
      <c r="A17" s="42" t="s">
        <v>205</v>
      </c>
      <c r="B17" s="35"/>
      <c r="C17" s="35"/>
      <c r="D17" s="35"/>
      <c r="E17" s="48"/>
      <c r="F17" s="48"/>
      <c r="G17" s="37"/>
      <c r="H17" s="36"/>
      <c r="I17" s="36"/>
      <c r="J17" s="58"/>
      <c r="K17" s="36"/>
      <c r="L17" s="37"/>
      <c r="M17" s="37"/>
      <c r="N17" s="71"/>
      <c r="O17" s="36"/>
      <c r="P17" s="71"/>
      <c r="Q17" s="58"/>
      <c r="R17" s="71"/>
      <c r="S17" s="71"/>
      <c r="T17" s="71"/>
      <c r="U17" s="71"/>
      <c r="V17" s="36"/>
      <c r="W17" s="71"/>
      <c r="X17" s="101"/>
      <c r="Y17" s="101"/>
      <c r="Z17" s="37"/>
      <c r="AA17" s="71"/>
      <c r="AB17" s="101"/>
      <c r="AC17" s="101"/>
      <c r="AD17" s="71"/>
      <c r="AE17" s="101"/>
      <c r="AF17" s="101"/>
      <c r="AG17" s="37"/>
      <c r="AH17" s="37"/>
      <c r="AI17" s="37"/>
      <c r="AJ17" s="71"/>
      <c r="AK17" s="38"/>
      <c r="AL17" s="39"/>
      <c r="AM17" s="39"/>
      <c r="AN17" s="39"/>
      <c r="AO17" s="39"/>
      <c r="AP17" s="39"/>
      <c r="AQ17" s="39"/>
      <c r="AR17" s="39"/>
      <c r="AS17" s="39"/>
      <c r="AT17" s="39"/>
      <c r="AU17" s="39"/>
      <c r="AV17" s="39"/>
    </row>
    <row r="18" spans="1:48" s="40" customFormat="1" x14ac:dyDescent="0.2">
      <c r="A18" s="39"/>
      <c r="B18" s="35"/>
      <c r="C18" s="35"/>
      <c r="D18" s="35"/>
      <c r="E18" s="48"/>
      <c r="F18" s="48"/>
      <c r="G18" s="37"/>
      <c r="H18" s="36"/>
      <c r="I18" s="36"/>
      <c r="J18" s="58"/>
      <c r="K18" s="36"/>
      <c r="L18" s="37"/>
      <c r="M18" s="37"/>
      <c r="N18" s="71"/>
      <c r="O18" s="36"/>
      <c r="P18" s="71"/>
      <c r="Q18" s="58"/>
      <c r="R18" s="71"/>
      <c r="S18" s="71"/>
      <c r="T18" s="71"/>
      <c r="U18" s="71"/>
      <c r="V18" s="36"/>
      <c r="W18" s="71"/>
      <c r="X18" s="101"/>
      <c r="Y18" s="101"/>
      <c r="Z18" s="37"/>
      <c r="AA18" s="71"/>
      <c r="AB18" s="101"/>
      <c r="AC18" s="101"/>
      <c r="AD18" s="71"/>
      <c r="AE18" s="101"/>
      <c r="AF18" s="101"/>
      <c r="AG18" s="37"/>
      <c r="AH18" s="37"/>
      <c r="AI18" s="37"/>
      <c r="AJ18" s="71"/>
      <c r="AK18" s="38"/>
      <c r="AL18" s="39"/>
      <c r="AM18" s="39"/>
      <c r="AN18" s="39"/>
      <c r="AO18" s="39"/>
      <c r="AP18" s="39"/>
      <c r="AQ18" s="39"/>
      <c r="AR18" s="39"/>
      <c r="AS18" s="39"/>
      <c r="AT18" s="39"/>
      <c r="AU18" s="39"/>
      <c r="AV18" s="39"/>
    </row>
    <row r="19" spans="1:48" s="40" customFormat="1" x14ac:dyDescent="0.2">
      <c r="A19" s="41" t="s">
        <v>206</v>
      </c>
      <c r="B19" s="35"/>
      <c r="C19" s="35"/>
      <c r="D19" s="35"/>
      <c r="E19" s="48"/>
      <c r="F19" s="48"/>
      <c r="G19" s="37"/>
      <c r="H19" s="36"/>
      <c r="I19" s="36"/>
      <c r="J19" s="58"/>
      <c r="K19" s="36"/>
      <c r="L19" s="37"/>
      <c r="M19" s="37"/>
      <c r="N19" s="71"/>
      <c r="O19" s="36"/>
      <c r="P19" s="71"/>
      <c r="Q19" s="58"/>
      <c r="R19" s="71"/>
      <c r="S19" s="71"/>
      <c r="T19" s="71"/>
      <c r="U19" s="71"/>
      <c r="V19" s="36"/>
      <c r="W19" s="71"/>
      <c r="X19" s="101"/>
      <c r="Y19" s="101"/>
      <c r="Z19" s="37"/>
      <c r="AA19" s="71"/>
      <c r="AB19" s="101"/>
      <c r="AC19" s="101"/>
      <c r="AD19" s="71"/>
      <c r="AE19" s="101"/>
      <c r="AF19" s="101"/>
      <c r="AG19" s="37"/>
      <c r="AH19" s="37"/>
      <c r="AI19" s="37"/>
      <c r="AJ19" s="71"/>
      <c r="AK19" s="38"/>
      <c r="AL19" s="39"/>
      <c r="AM19" s="39"/>
      <c r="AN19" s="39"/>
      <c r="AO19" s="39"/>
      <c r="AP19" s="39"/>
      <c r="AQ19" s="39"/>
      <c r="AR19" s="39"/>
      <c r="AS19" s="39"/>
      <c r="AT19" s="39"/>
      <c r="AU19" s="39"/>
      <c r="AV19" s="39"/>
    </row>
    <row r="20" spans="1:48" s="40" customFormat="1" x14ac:dyDescent="0.2">
      <c r="A20" s="41" t="s">
        <v>207</v>
      </c>
      <c r="B20" s="35"/>
      <c r="C20" s="35"/>
      <c r="D20" s="35"/>
      <c r="E20" s="48"/>
      <c r="F20" s="48"/>
      <c r="G20" s="37"/>
      <c r="H20" s="36"/>
      <c r="I20" s="36"/>
      <c r="J20" s="58"/>
      <c r="K20" s="36"/>
      <c r="L20" s="37"/>
      <c r="M20" s="37"/>
      <c r="N20" s="71"/>
      <c r="O20" s="36"/>
      <c r="P20" s="71"/>
      <c r="Q20" s="58"/>
      <c r="R20" s="71"/>
      <c r="S20" s="71"/>
      <c r="T20" s="71"/>
      <c r="U20" s="71"/>
      <c r="V20" s="36"/>
      <c r="W20" s="71"/>
      <c r="X20" s="101"/>
      <c r="Y20" s="101"/>
      <c r="Z20" s="37"/>
      <c r="AA20" s="71"/>
      <c r="AB20" s="101"/>
      <c r="AC20" s="101"/>
      <c r="AD20" s="71"/>
      <c r="AE20" s="101"/>
      <c r="AF20" s="101"/>
      <c r="AG20" s="37"/>
      <c r="AH20" s="37"/>
      <c r="AI20" s="37"/>
      <c r="AJ20" s="71"/>
      <c r="AK20" s="38"/>
      <c r="AL20" s="39"/>
      <c r="AM20" s="39"/>
      <c r="AN20" s="39"/>
      <c r="AO20" s="39"/>
      <c r="AP20" s="39"/>
      <c r="AQ20" s="39"/>
      <c r="AR20" s="39"/>
      <c r="AS20" s="39"/>
      <c r="AT20" s="39"/>
      <c r="AU20" s="39"/>
      <c r="AV20" s="39"/>
    </row>
    <row r="21" spans="1:48" s="40" customFormat="1" x14ac:dyDescent="0.2">
      <c r="A21" s="41" t="s">
        <v>208</v>
      </c>
      <c r="B21" s="35"/>
      <c r="C21" s="35"/>
      <c r="D21" s="35"/>
      <c r="E21" s="48"/>
      <c r="F21" s="48"/>
      <c r="G21" s="37"/>
      <c r="H21" s="36"/>
      <c r="I21" s="36"/>
      <c r="J21" s="58"/>
      <c r="K21" s="36"/>
      <c r="L21" s="37"/>
      <c r="M21" s="37"/>
      <c r="N21" s="71"/>
      <c r="O21" s="36"/>
      <c r="P21" s="71"/>
      <c r="Q21" s="58"/>
      <c r="R21" s="71"/>
      <c r="S21" s="71"/>
      <c r="T21" s="71"/>
      <c r="U21" s="71"/>
      <c r="V21" s="36"/>
      <c r="W21" s="71"/>
      <c r="X21" s="101"/>
      <c r="Y21" s="101"/>
      <c r="Z21" s="37"/>
      <c r="AA21" s="71"/>
      <c r="AB21" s="101"/>
      <c r="AC21" s="101"/>
      <c r="AD21" s="71"/>
      <c r="AE21" s="101"/>
      <c r="AF21" s="101"/>
      <c r="AG21" s="37"/>
      <c r="AH21" s="37"/>
      <c r="AI21" s="37"/>
      <c r="AJ21" s="71"/>
      <c r="AK21" s="38"/>
      <c r="AL21" s="39"/>
      <c r="AM21" s="39"/>
      <c r="AN21" s="39"/>
      <c r="AO21" s="39"/>
      <c r="AP21" s="39"/>
      <c r="AQ21" s="39"/>
      <c r="AR21" s="39"/>
      <c r="AS21" s="39"/>
      <c r="AT21" s="39"/>
      <c r="AU21" s="39"/>
      <c r="AV21" s="39"/>
    </row>
    <row r="22" spans="1:48" s="40" customFormat="1" x14ac:dyDescent="0.2">
      <c r="A22" s="41" t="s">
        <v>209</v>
      </c>
      <c r="B22" s="35"/>
      <c r="C22" s="35"/>
      <c r="D22" s="35"/>
      <c r="E22" s="48"/>
      <c r="F22" s="48"/>
      <c r="G22" s="37"/>
      <c r="H22" s="36"/>
      <c r="I22" s="36"/>
      <c r="J22" s="58"/>
      <c r="K22" s="36"/>
      <c r="L22" s="37"/>
      <c r="M22" s="37"/>
      <c r="N22" s="71"/>
      <c r="O22" s="36"/>
      <c r="P22" s="71"/>
      <c r="Q22" s="58"/>
      <c r="R22" s="71"/>
      <c r="S22" s="71"/>
      <c r="T22" s="71"/>
      <c r="U22" s="71"/>
      <c r="V22" s="36"/>
      <c r="W22" s="71"/>
      <c r="X22" s="101"/>
      <c r="Y22" s="101"/>
      <c r="Z22" s="37"/>
      <c r="AA22" s="71"/>
      <c r="AB22" s="101"/>
      <c r="AC22" s="101"/>
      <c r="AD22" s="71"/>
      <c r="AE22" s="101"/>
      <c r="AF22" s="101"/>
      <c r="AG22" s="37"/>
      <c r="AH22" s="37"/>
      <c r="AI22" s="37"/>
      <c r="AJ22" s="71"/>
      <c r="AK22" s="38"/>
      <c r="AL22" s="39"/>
      <c r="AM22" s="39"/>
      <c r="AN22" s="39"/>
      <c r="AO22" s="39"/>
      <c r="AP22" s="39"/>
      <c r="AQ22" s="39"/>
      <c r="AR22" s="39"/>
      <c r="AS22" s="39"/>
      <c r="AT22" s="39"/>
      <c r="AU22" s="39"/>
      <c r="AV22" s="39"/>
    </row>
    <row r="23" spans="1:48" s="40" customFormat="1" x14ac:dyDescent="0.2">
      <c r="A23" s="41" t="s">
        <v>210</v>
      </c>
      <c r="B23" s="35"/>
      <c r="C23" s="35"/>
      <c r="D23" s="35"/>
      <c r="E23" s="48"/>
      <c r="F23" s="48"/>
      <c r="G23" s="37"/>
      <c r="H23" s="36"/>
      <c r="I23" s="36"/>
      <c r="J23" s="58"/>
      <c r="K23" s="36"/>
      <c r="L23" s="37"/>
      <c r="M23" s="37"/>
      <c r="N23" s="71"/>
      <c r="O23" s="36"/>
      <c r="P23" s="71"/>
      <c r="Q23" s="58"/>
      <c r="R23" s="71"/>
      <c r="S23" s="71"/>
      <c r="T23" s="71"/>
      <c r="U23" s="71"/>
      <c r="V23" s="36"/>
      <c r="W23" s="71"/>
      <c r="X23" s="101"/>
      <c r="Y23" s="101"/>
      <c r="Z23" s="37"/>
      <c r="AA23" s="71"/>
      <c r="AB23" s="101"/>
      <c r="AC23" s="101"/>
      <c r="AD23" s="71"/>
      <c r="AE23" s="101"/>
      <c r="AF23" s="101"/>
      <c r="AG23" s="37"/>
      <c r="AH23" s="37"/>
      <c r="AI23" s="37"/>
      <c r="AJ23" s="71"/>
      <c r="AK23" s="38"/>
      <c r="AL23" s="39"/>
      <c r="AM23" s="39"/>
      <c r="AN23" s="39"/>
      <c r="AO23" s="39"/>
      <c r="AP23" s="39"/>
      <c r="AQ23" s="39"/>
      <c r="AR23" s="39"/>
      <c r="AS23" s="39"/>
      <c r="AT23" s="39"/>
      <c r="AU23" s="39"/>
      <c r="AV23" s="39"/>
    </row>
    <row r="24" spans="1:48" s="40" customFormat="1" x14ac:dyDescent="0.2">
      <c r="A24" s="41" t="s">
        <v>211</v>
      </c>
      <c r="B24" s="35"/>
      <c r="C24" s="35"/>
      <c r="D24" s="35"/>
      <c r="E24" s="48"/>
      <c r="F24" s="48"/>
      <c r="G24" s="37"/>
      <c r="H24" s="36"/>
      <c r="I24" s="36"/>
      <c r="J24" s="58"/>
      <c r="K24" s="36"/>
      <c r="L24" s="37"/>
      <c r="M24" s="37"/>
      <c r="N24" s="71"/>
      <c r="O24" s="36"/>
      <c r="P24" s="71"/>
      <c r="Q24" s="58"/>
      <c r="R24" s="71"/>
      <c r="S24" s="71"/>
      <c r="T24" s="71"/>
      <c r="U24" s="71"/>
      <c r="V24" s="36"/>
      <c r="W24" s="71"/>
      <c r="X24" s="101"/>
      <c r="Y24" s="101"/>
      <c r="Z24" s="37"/>
      <c r="AA24" s="71"/>
      <c r="AB24" s="101"/>
      <c r="AC24" s="101"/>
      <c r="AD24" s="71"/>
      <c r="AE24" s="101"/>
      <c r="AF24" s="101"/>
      <c r="AG24" s="37"/>
      <c r="AH24" s="37"/>
      <c r="AI24" s="37"/>
      <c r="AJ24" s="71"/>
      <c r="AK24" s="38"/>
      <c r="AL24" s="39"/>
      <c r="AM24" s="39"/>
      <c r="AN24" s="39"/>
      <c r="AO24" s="39"/>
      <c r="AP24" s="39"/>
      <c r="AQ24" s="39"/>
      <c r="AR24" s="39"/>
      <c r="AS24" s="39"/>
      <c r="AT24" s="39"/>
      <c r="AU24" s="39"/>
      <c r="AV24" s="39"/>
    </row>
    <row r="25" spans="1:48" s="40" customFormat="1" x14ac:dyDescent="0.2">
      <c r="A25" s="41" t="s">
        <v>212</v>
      </c>
      <c r="B25" s="35"/>
      <c r="C25" s="35"/>
      <c r="D25" s="35"/>
      <c r="E25" s="48"/>
      <c r="F25" s="48"/>
      <c r="G25" s="37"/>
      <c r="H25" s="36"/>
      <c r="I25" s="36"/>
      <c r="J25" s="58"/>
      <c r="K25" s="36"/>
      <c r="L25" s="37"/>
      <c r="M25" s="37"/>
      <c r="N25" s="71"/>
      <c r="O25" s="36"/>
      <c r="P25" s="71"/>
      <c r="Q25" s="58"/>
      <c r="R25" s="71"/>
      <c r="S25" s="71"/>
      <c r="T25" s="71"/>
      <c r="U25" s="71"/>
      <c r="V25" s="36"/>
      <c r="W25" s="71"/>
      <c r="X25" s="101"/>
      <c r="Y25" s="101"/>
      <c r="Z25" s="37"/>
      <c r="AA25" s="71"/>
      <c r="AB25" s="101"/>
      <c r="AC25" s="101"/>
      <c r="AD25" s="71"/>
      <c r="AE25" s="101"/>
      <c r="AF25" s="101"/>
      <c r="AG25" s="37"/>
      <c r="AH25" s="37"/>
      <c r="AI25" s="37"/>
      <c r="AJ25" s="71"/>
      <c r="AK25" s="38"/>
      <c r="AL25" s="39"/>
      <c r="AM25" s="39"/>
      <c r="AN25" s="39"/>
      <c r="AO25" s="39"/>
      <c r="AP25" s="39"/>
      <c r="AQ25" s="39"/>
      <c r="AR25" s="39"/>
      <c r="AS25" s="39"/>
      <c r="AT25" s="39"/>
      <c r="AU25" s="39"/>
      <c r="AV25" s="39"/>
    </row>
    <row r="26" spans="1:48" s="40" customFormat="1" x14ac:dyDescent="0.2">
      <c r="A26" s="35"/>
      <c r="B26" s="35"/>
      <c r="C26" s="35"/>
      <c r="D26" s="35"/>
      <c r="E26" s="48"/>
      <c r="F26" s="48"/>
      <c r="G26" s="37"/>
      <c r="H26" s="36"/>
      <c r="I26" s="36"/>
      <c r="J26" s="58"/>
      <c r="K26" s="36"/>
      <c r="L26" s="37"/>
      <c r="M26" s="37"/>
      <c r="N26" s="71"/>
      <c r="O26" s="36"/>
      <c r="P26" s="71"/>
      <c r="Q26" s="58"/>
      <c r="R26" s="71"/>
      <c r="S26" s="71"/>
      <c r="T26" s="71"/>
      <c r="U26" s="71"/>
      <c r="V26" s="36"/>
      <c r="W26" s="71"/>
      <c r="X26" s="101"/>
      <c r="Y26" s="101"/>
      <c r="Z26" s="37"/>
      <c r="AA26" s="71"/>
      <c r="AB26" s="101"/>
      <c r="AC26" s="101"/>
      <c r="AD26" s="71"/>
      <c r="AE26" s="101"/>
      <c r="AF26" s="101"/>
      <c r="AG26" s="37"/>
      <c r="AH26" s="37"/>
      <c r="AI26" s="37"/>
      <c r="AJ26" s="71"/>
      <c r="AK26" s="38"/>
      <c r="AL26" s="39"/>
      <c r="AM26" s="39"/>
      <c r="AN26" s="39"/>
      <c r="AO26" s="39"/>
      <c r="AP26" s="39"/>
      <c r="AQ26" s="39"/>
      <c r="AR26" s="39"/>
      <c r="AS26" s="39"/>
      <c r="AT26" s="39"/>
      <c r="AU26" s="39"/>
      <c r="AV26" s="39"/>
    </row>
    <row r="27" spans="1:48" s="40" customFormat="1" x14ac:dyDescent="0.2">
      <c r="A27" s="41" t="s">
        <v>213</v>
      </c>
      <c r="B27" s="35"/>
      <c r="C27" s="35"/>
      <c r="D27" s="35"/>
      <c r="E27" s="48"/>
      <c r="F27" s="48"/>
      <c r="G27" s="37"/>
      <c r="H27" s="36"/>
      <c r="I27" s="36"/>
      <c r="J27" s="58"/>
      <c r="K27" s="36"/>
      <c r="L27" s="37"/>
      <c r="M27" s="37"/>
      <c r="N27" s="71"/>
      <c r="O27" s="36"/>
      <c r="P27" s="71"/>
      <c r="Q27" s="58"/>
      <c r="R27" s="71"/>
      <c r="S27" s="71"/>
      <c r="T27" s="71"/>
      <c r="U27" s="71"/>
      <c r="V27" s="36"/>
      <c r="W27" s="71"/>
      <c r="X27" s="101"/>
      <c r="Y27" s="101"/>
      <c r="Z27" s="37"/>
      <c r="AA27" s="71"/>
      <c r="AB27" s="101"/>
      <c r="AC27" s="101"/>
      <c r="AD27" s="71"/>
      <c r="AE27" s="101"/>
      <c r="AF27" s="101"/>
      <c r="AG27" s="37"/>
      <c r="AH27" s="37"/>
      <c r="AI27" s="37"/>
      <c r="AJ27" s="71"/>
      <c r="AK27" s="38"/>
      <c r="AL27" s="39"/>
      <c r="AM27" s="39"/>
      <c r="AN27" s="39"/>
      <c r="AO27" s="39"/>
      <c r="AP27" s="39"/>
      <c r="AQ27" s="39"/>
      <c r="AR27" s="39"/>
      <c r="AS27" s="39"/>
      <c r="AT27" s="39"/>
      <c r="AU27" s="39"/>
      <c r="AV27" s="39"/>
    </row>
    <row r="28" spans="1:48" s="40" customFormat="1" ht="17" thickBot="1" x14ac:dyDescent="0.25">
      <c r="A28" s="43"/>
      <c r="B28" s="43"/>
      <c r="C28" s="43"/>
      <c r="D28" s="43"/>
      <c r="E28" s="49"/>
      <c r="F28" s="49"/>
      <c r="G28" s="45"/>
      <c r="H28" s="44"/>
      <c r="I28" s="44"/>
      <c r="J28" s="59"/>
      <c r="K28" s="44"/>
      <c r="L28" s="45"/>
      <c r="M28" s="45"/>
      <c r="N28" s="72"/>
      <c r="O28" s="44"/>
      <c r="P28" s="72"/>
      <c r="Q28" s="59"/>
      <c r="R28" s="72"/>
      <c r="S28" s="72"/>
      <c r="T28" s="72"/>
      <c r="U28" s="72"/>
      <c r="V28" s="44"/>
      <c r="W28" s="72"/>
      <c r="X28" s="102"/>
      <c r="Y28" s="102"/>
      <c r="Z28" s="45"/>
      <c r="AA28" s="72"/>
      <c r="AB28" s="102"/>
      <c r="AC28" s="102"/>
      <c r="AD28" s="72"/>
      <c r="AE28" s="102"/>
      <c r="AF28" s="102"/>
      <c r="AG28" s="45"/>
      <c r="AH28" s="45"/>
      <c r="AI28" s="45"/>
      <c r="AJ28" s="72"/>
      <c r="AK28" s="38"/>
      <c r="AL28" s="39"/>
      <c r="AM28" s="39"/>
      <c r="AN28" s="39"/>
      <c r="AO28" s="39"/>
      <c r="AP28" s="39"/>
      <c r="AQ28" s="39"/>
      <c r="AR28" s="39"/>
      <c r="AS28" s="39"/>
      <c r="AT28" s="39"/>
      <c r="AU28" s="39"/>
      <c r="AV28" s="39"/>
    </row>
    <row r="29" spans="1:48" x14ac:dyDescent="0.2">
      <c r="A29" s="1" t="s">
        <v>0</v>
      </c>
      <c r="B29" s="2" t="s">
        <v>1</v>
      </c>
      <c r="C29" s="2" t="s">
        <v>131</v>
      </c>
      <c r="D29" s="2" t="s">
        <v>2</v>
      </c>
      <c r="E29" s="3" t="s">
        <v>3</v>
      </c>
      <c r="F29" s="3" t="s">
        <v>4</v>
      </c>
      <c r="G29" s="4" t="s">
        <v>117</v>
      </c>
      <c r="H29" s="54" t="s">
        <v>5</v>
      </c>
      <c r="I29" s="54" t="s">
        <v>6</v>
      </c>
      <c r="J29" s="60" t="s">
        <v>7</v>
      </c>
      <c r="K29" s="54" t="s">
        <v>8</v>
      </c>
      <c r="L29" s="4" t="s">
        <v>9</v>
      </c>
      <c r="M29" s="4" t="s">
        <v>10</v>
      </c>
      <c r="N29" s="73" t="s">
        <v>11</v>
      </c>
      <c r="O29" s="76" t="s">
        <v>12</v>
      </c>
      <c r="P29" s="78" t="s">
        <v>13</v>
      </c>
      <c r="Q29" s="80" t="s">
        <v>14</v>
      </c>
      <c r="R29" s="73" t="s">
        <v>15</v>
      </c>
      <c r="S29" s="78" t="s">
        <v>16</v>
      </c>
      <c r="T29" s="81" t="s">
        <v>17</v>
      </c>
      <c r="U29" s="73" t="s">
        <v>18</v>
      </c>
      <c r="V29" s="76" t="s">
        <v>19</v>
      </c>
      <c r="W29" s="78" t="s">
        <v>20</v>
      </c>
      <c r="X29" s="103" t="s">
        <v>21</v>
      </c>
      <c r="Y29" s="104" t="s">
        <v>22</v>
      </c>
      <c r="Z29" s="107" t="s">
        <v>23</v>
      </c>
      <c r="AA29" s="78" t="s">
        <v>24</v>
      </c>
      <c r="AB29" s="103" t="s">
        <v>25</v>
      </c>
      <c r="AC29" s="104" t="s">
        <v>26</v>
      </c>
      <c r="AD29" s="73" t="s">
        <v>27</v>
      </c>
      <c r="AE29" s="103" t="s">
        <v>28</v>
      </c>
      <c r="AF29" s="104" t="s">
        <v>29</v>
      </c>
      <c r="AG29" s="110" t="s">
        <v>188</v>
      </c>
      <c r="AH29" s="111" t="s">
        <v>189</v>
      </c>
      <c r="AI29" s="110" t="s">
        <v>190</v>
      </c>
      <c r="AJ29" s="81" t="s">
        <v>191</v>
      </c>
      <c r="AK29" s="35"/>
      <c r="AL29" s="35"/>
      <c r="AM29" s="35"/>
      <c r="AN29" s="35"/>
      <c r="AO29" s="35"/>
      <c r="AP29" s="35"/>
      <c r="AQ29" s="35"/>
      <c r="AR29" s="35"/>
      <c r="AS29" s="35"/>
      <c r="AT29" s="35"/>
      <c r="AU29" s="35"/>
      <c r="AV29" s="35"/>
    </row>
    <row r="30" spans="1:48" x14ac:dyDescent="0.2">
      <c r="A30" s="9" t="s">
        <v>30</v>
      </c>
      <c r="B30" s="5" t="s">
        <v>31</v>
      </c>
      <c r="C30" s="5" t="s">
        <v>132</v>
      </c>
      <c r="D30" s="5">
        <v>6</v>
      </c>
      <c r="E30" s="69">
        <v>0</v>
      </c>
      <c r="F30" s="26">
        <f t="shared" ref="F30:F45" si="0">(E30-MIN($E$30:$E$44))/(MAX($E$30:$E$44)-MIN($E$30:$E$44))</f>
        <v>0</v>
      </c>
      <c r="G30" s="27">
        <v>84.161000000000001</v>
      </c>
      <c r="H30" s="55">
        <v>553.54</v>
      </c>
      <c r="I30" s="56">
        <v>40.75</v>
      </c>
      <c r="J30" s="61">
        <v>3.079E-4</v>
      </c>
      <c r="K30" s="56">
        <f>1/LEFT(J30,8)*G30/1000</f>
        <v>274.14006514657979</v>
      </c>
      <c r="L30" s="52">
        <f>LEFT(I30,5)*100000/(K30*8.314/(G30/1000)*H30)</f>
        <v>0.27183599245042012</v>
      </c>
      <c r="M30" s="52">
        <v>0.21199999999999999</v>
      </c>
      <c r="N30" s="74">
        <v>4.7423000000000002</v>
      </c>
      <c r="O30" s="77">
        <v>-253.22</v>
      </c>
      <c r="P30" s="79">
        <v>-1.6899999999999998E-2</v>
      </c>
      <c r="Q30" s="28">
        <v>1.2472E-5</v>
      </c>
      <c r="R30" s="82">
        <v>0.27379999999999999</v>
      </c>
      <c r="S30" s="83">
        <v>0.27410000000000001</v>
      </c>
      <c r="T30" s="84">
        <v>0.28510000000000002</v>
      </c>
      <c r="U30" s="91">
        <v>48.552999999999997</v>
      </c>
      <c r="V30" s="95">
        <v>-3087.4</v>
      </c>
      <c r="W30" s="98">
        <v>-15.521000000000001</v>
      </c>
      <c r="X30" s="29">
        <v>7.3829999999999998E-3</v>
      </c>
      <c r="Y30" s="30">
        <v>6.3563000000000003E-12</v>
      </c>
      <c r="Z30" s="108">
        <v>-44.417000000000002</v>
      </c>
      <c r="AA30" s="6">
        <v>1.6015999999999999</v>
      </c>
      <c r="AB30" s="7">
        <v>-4.4676000000000004E-3</v>
      </c>
      <c r="AC30" s="8">
        <v>4.7581999999999996E-6</v>
      </c>
      <c r="AD30" s="109">
        <v>0.25609999999999999</v>
      </c>
      <c r="AE30" s="29">
        <v>-5.8750000000000002E-4</v>
      </c>
      <c r="AF30" s="31">
        <v>4.6875000000000001E-7</v>
      </c>
      <c r="AG30" s="112">
        <v>49.06</v>
      </c>
      <c r="AH30" s="113">
        <v>0.48599999999999999</v>
      </c>
      <c r="AI30" s="114">
        <v>65.096999999999994</v>
      </c>
      <c r="AJ30" s="115">
        <v>1.2553000000000001</v>
      </c>
      <c r="AK30" s="35"/>
      <c r="AL30" s="35"/>
      <c r="AM30" s="35"/>
      <c r="AN30" s="35"/>
      <c r="AO30" s="35"/>
      <c r="AP30" s="35"/>
      <c r="AQ30" s="35"/>
      <c r="AR30" s="35"/>
      <c r="AS30" s="35"/>
      <c r="AT30" s="35"/>
      <c r="AU30" s="35"/>
      <c r="AV30" s="35"/>
    </row>
    <row r="31" spans="1:48" x14ac:dyDescent="0.2">
      <c r="A31" s="9" t="s">
        <v>32</v>
      </c>
      <c r="B31" s="5" t="s">
        <v>31</v>
      </c>
      <c r="C31" s="5" t="s">
        <v>280</v>
      </c>
      <c r="D31" s="5">
        <v>6</v>
      </c>
      <c r="E31" s="69">
        <v>3.3789247425000002</v>
      </c>
      <c r="F31" s="26">
        <f t="shared" si="0"/>
        <v>0.51408664897257472</v>
      </c>
      <c r="G31" s="27">
        <v>84.161000000000001</v>
      </c>
      <c r="H31" s="55">
        <v>513.5</v>
      </c>
      <c r="I31" s="56">
        <v>35.770000000000003</v>
      </c>
      <c r="J31" s="61">
        <v>3.1950000000000001E-4</v>
      </c>
      <c r="K31" s="56">
        <f t="shared" ref="K31:K94" si="1">1/LEFT(J31,8)*G31/1000</f>
        <v>263.82758620689651</v>
      </c>
      <c r="L31" s="52">
        <f t="shared" ref="L31:L94" si="2">LEFT(I31,5)*100000/(K31*8.314/(G31/1000)*H31)</f>
        <v>0.26727550273011191</v>
      </c>
      <c r="M31" s="52">
        <v>0.23100000000000001</v>
      </c>
      <c r="N31" s="74">
        <v>-3.2728000000000002</v>
      </c>
      <c r="O31" s="77">
        <v>485.73</v>
      </c>
      <c r="P31" s="79">
        <v>6.7999999999999996E-3</v>
      </c>
      <c r="Q31" s="28">
        <v>-9.5536999999999997E-6</v>
      </c>
      <c r="R31" s="82">
        <v>0.26340000000000002</v>
      </c>
      <c r="S31" s="83">
        <v>0.28160000000000002</v>
      </c>
      <c r="T31" s="84">
        <v>0.28570000000000001</v>
      </c>
      <c r="U31" s="91">
        <v>15.916</v>
      </c>
      <c r="V31" s="95">
        <v>-1971.1</v>
      </c>
      <c r="W31" s="98">
        <v>-2.8216999999999999</v>
      </c>
      <c r="X31" s="29">
        <v>0</v>
      </c>
      <c r="Y31" s="31">
        <v>0</v>
      </c>
      <c r="Z31" s="108">
        <v>103.18300000000001</v>
      </c>
      <c r="AA31" s="6">
        <v>0.39948</v>
      </c>
      <c r="AB31" s="7">
        <v>-1.2371000000000001E-3</v>
      </c>
      <c r="AC31" s="8">
        <v>2.0748999999999998E-6</v>
      </c>
      <c r="AD31" s="109">
        <v>0.20369999999999999</v>
      </c>
      <c r="AE31" s="29">
        <v>-1.3839000000000001E-4</v>
      </c>
      <c r="AF31" s="31">
        <v>-3.2944999999999998E-7</v>
      </c>
      <c r="AG31" s="112">
        <v>41.463000000000001</v>
      </c>
      <c r="AH31" s="113">
        <v>0.38</v>
      </c>
      <c r="AI31" s="114">
        <v>57.725999999999999</v>
      </c>
      <c r="AJ31" s="115">
        <v>1.2222</v>
      </c>
      <c r="AK31" s="35"/>
      <c r="AL31" s="35"/>
      <c r="AM31" s="35"/>
      <c r="AN31" s="35"/>
      <c r="AO31" s="35"/>
      <c r="AP31" s="35"/>
      <c r="AQ31" s="35"/>
      <c r="AR31" s="35"/>
      <c r="AS31" s="35"/>
      <c r="AT31" s="35"/>
      <c r="AU31" s="35"/>
      <c r="AV31" s="35"/>
    </row>
    <row r="32" spans="1:48" x14ac:dyDescent="0.2">
      <c r="A32" s="9" t="s">
        <v>33</v>
      </c>
      <c r="B32" s="5" t="s">
        <v>31</v>
      </c>
      <c r="C32" s="5" t="s">
        <v>246</v>
      </c>
      <c r="D32" s="5">
        <v>6</v>
      </c>
      <c r="E32" s="69">
        <v>5.0637324499999998</v>
      </c>
      <c r="F32" s="26">
        <f t="shared" si="0"/>
        <v>0.77042178944421569</v>
      </c>
      <c r="G32" s="27">
        <v>84.161000000000001</v>
      </c>
      <c r="H32" s="55">
        <v>514.04</v>
      </c>
      <c r="I32" s="56">
        <v>39.36</v>
      </c>
      <c r="J32" s="61">
        <v>3.1849999999999999E-4</v>
      </c>
      <c r="K32" s="56">
        <f t="shared" si="1"/>
        <v>264.65723270440253</v>
      </c>
      <c r="L32" s="52">
        <f t="shared" si="2"/>
        <v>0.29287026127836252</v>
      </c>
      <c r="M32" s="52">
        <v>0.218</v>
      </c>
      <c r="N32" s="74">
        <v>-9.8948</v>
      </c>
      <c r="O32" s="77">
        <v>1312.1</v>
      </c>
      <c r="P32" s="79">
        <v>2.3900000000000001E-2</v>
      </c>
      <c r="Q32" s="28">
        <v>-2.3794E-5</v>
      </c>
      <c r="R32" s="82">
        <v>0.26419999999999999</v>
      </c>
      <c r="S32" s="83">
        <v>0.28289999999999998</v>
      </c>
      <c r="T32" s="84">
        <v>0.28570000000000001</v>
      </c>
      <c r="U32" s="91">
        <v>15.823</v>
      </c>
      <c r="V32" s="95">
        <v>-1948.6</v>
      </c>
      <c r="W32" s="98">
        <v>-2.7894999999999999</v>
      </c>
      <c r="X32" s="29">
        <v>0</v>
      </c>
      <c r="Y32" s="31">
        <v>0</v>
      </c>
      <c r="Z32" s="108">
        <v>91.808999999999997</v>
      </c>
      <c r="AA32" s="6">
        <v>0.44851000000000002</v>
      </c>
      <c r="AB32" s="7">
        <v>-1.3611999999999999E-3</v>
      </c>
      <c r="AC32" s="8">
        <v>2.1407000000000001E-6</v>
      </c>
      <c r="AD32" s="109">
        <v>0.19750000000000001</v>
      </c>
      <c r="AE32" s="29">
        <v>-1.1786999999999999E-4</v>
      </c>
      <c r="AF32" s="31">
        <v>-3.4827999999999999E-7</v>
      </c>
      <c r="AG32" s="112">
        <v>40.712000000000003</v>
      </c>
      <c r="AH32" s="113">
        <v>0.38</v>
      </c>
      <c r="AI32" s="114">
        <v>60.006</v>
      </c>
      <c r="AJ32" s="115">
        <v>1.2222</v>
      </c>
      <c r="AK32" s="35"/>
      <c r="AL32" s="35"/>
      <c r="AM32" s="35"/>
      <c r="AN32" s="35"/>
      <c r="AO32" s="35"/>
      <c r="AP32" s="35"/>
      <c r="AQ32" s="35"/>
      <c r="AR32" s="35"/>
      <c r="AS32" s="35"/>
      <c r="AT32" s="35"/>
      <c r="AU32" s="35"/>
      <c r="AV32" s="35"/>
    </row>
    <row r="33" spans="1:48" x14ac:dyDescent="0.2">
      <c r="A33" s="9" t="s">
        <v>34</v>
      </c>
      <c r="B33" s="5" t="s">
        <v>31</v>
      </c>
      <c r="C33" s="5" t="s">
        <v>281</v>
      </c>
      <c r="D33" s="5">
        <v>6</v>
      </c>
      <c r="E33" s="69">
        <v>3.3779514150000001</v>
      </c>
      <c r="F33" s="26">
        <f t="shared" si="0"/>
        <v>0.51393856201859967</v>
      </c>
      <c r="G33" s="27">
        <v>84.161000000000001</v>
      </c>
      <c r="H33" s="55">
        <v>525.83000000000004</v>
      </c>
      <c r="I33" s="56">
        <v>35.770000000000003</v>
      </c>
      <c r="J33" s="61">
        <v>3.1950000000000001E-4</v>
      </c>
      <c r="K33" s="56">
        <f t="shared" si="1"/>
        <v>263.82758620689651</v>
      </c>
      <c r="L33" s="52">
        <f t="shared" si="2"/>
        <v>0.26100825485786749</v>
      </c>
      <c r="M33" s="52">
        <v>0.23100000000000001</v>
      </c>
      <c r="N33" s="74">
        <v>-4.5137</v>
      </c>
      <c r="O33" s="77">
        <v>653.9</v>
      </c>
      <c r="P33" s="79">
        <v>9.7999999999999997E-3</v>
      </c>
      <c r="Q33" s="28">
        <v>-1.169E-5</v>
      </c>
      <c r="R33" s="82">
        <v>0.26340000000000002</v>
      </c>
      <c r="S33" s="83">
        <v>0.27350000000000002</v>
      </c>
      <c r="T33" s="84">
        <v>0.28570000000000001</v>
      </c>
      <c r="U33" s="91">
        <v>16.038</v>
      </c>
      <c r="V33" s="95">
        <v>-2024</v>
      </c>
      <c r="W33" s="98">
        <v>-2.8521999999999998</v>
      </c>
      <c r="X33" s="29">
        <v>0</v>
      </c>
      <c r="Y33" s="31">
        <v>0</v>
      </c>
      <c r="Z33" s="108">
        <v>101.261</v>
      </c>
      <c r="AA33" s="6">
        <v>0.41463</v>
      </c>
      <c r="AB33" s="7">
        <v>-1.2499E-3</v>
      </c>
      <c r="AC33" s="8">
        <v>2.0269E-6</v>
      </c>
      <c r="AD33" s="109">
        <v>0.20250000000000001</v>
      </c>
      <c r="AE33" s="29">
        <v>-1.2871000000000001E-4</v>
      </c>
      <c r="AF33" s="31">
        <v>-3.2300999999999998E-7</v>
      </c>
      <c r="AG33" s="112">
        <v>42.509</v>
      </c>
      <c r="AH33" s="113">
        <v>0.38</v>
      </c>
      <c r="AI33" s="114">
        <v>58.207000000000001</v>
      </c>
      <c r="AJ33" s="115">
        <v>1.2222</v>
      </c>
      <c r="AK33" s="35"/>
      <c r="AL33" s="35"/>
      <c r="AM33" s="35"/>
      <c r="AN33" s="35"/>
      <c r="AO33" s="35"/>
      <c r="AP33" s="35"/>
      <c r="AQ33" s="35"/>
      <c r="AR33" s="35"/>
      <c r="AS33" s="35"/>
      <c r="AT33" s="35"/>
      <c r="AU33" s="35"/>
      <c r="AV33" s="35"/>
    </row>
    <row r="34" spans="1:48" x14ac:dyDescent="0.2">
      <c r="A34" s="9" t="s">
        <v>35</v>
      </c>
      <c r="B34" s="5" t="s">
        <v>31</v>
      </c>
      <c r="C34" s="5" t="s">
        <v>282</v>
      </c>
      <c r="D34" s="5">
        <v>6</v>
      </c>
      <c r="E34" s="69">
        <v>3.6706331049999998</v>
      </c>
      <c r="F34" s="26">
        <f t="shared" si="0"/>
        <v>0.55846863021905468</v>
      </c>
      <c r="G34" s="27">
        <v>84.161000000000001</v>
      </c>
      <c r="H34" s="55">
        <v>514.27</v>
      </c>
      <c r="I34" s="56">
        <v>35.770000000000003</v>
      </c>
      <c r="J34" s="61">
        <v>3.1950000000000001E-4</v>
      </c>
      <c r="K34" s="56">
        <f t="shared" si="1"/>
        <v>263.82758620689651</v>
      </c>
      <c r="L34" s="52">
        <f t="shared" si="2"/>
        <v>0.26687531968015338</v>
      </c>
      <c r="M34" s="52">
        <v>0.23100000000000001</v>
      </c>
      <c r="N34" s="74">
        <v>-3.3780000000000001</v>
      </c>
      <c r="O34" s="77">
        <v>499.65</v>
      </c>
      <c r="P34" s="79">
        <v>7.1000000000000004E-3</v>
      </c>
      <c r="Q34" s="28">
        <v>-9.7495000000000004E-6</v>
      </c>
      <c r="R34" s="82">
        <v>0.26340000000000002</v>
      </c>
      <c r="S34" s="83">
        <v>0.2828</v>
      </c>
      <c r="T34" s="84">
        <v>0.28570000000000001</v>
      </c>
      <c r="U34" s="91">
        <v>15.923999999999999</v>
      </c>
      <c r="V34" s="95">
        <v>-1974.4</v>
      </c>
      <c r="W34" s="98">
        <v>-2.8237000000000001</v>
      </c>
      <c r="X34" s="29">
        <v>0</v>
      </c>
      <c r="Y34" s="31">
        <v>0</v>
      </c>
      <c r="Z34" s="108">
        <v>100.202</v>
      </c>
      <c r="AA34" s="6">
        <v>0.42579</v>
      </c>
      <c r="AB34" s="7">
        <v>-1.3090000000000001E-3</v>
      </c>
      <c r="AC34" s="8">
        <v>2.1332000000000002E-6</v>
      </c>
      <c r="AD34" s="109">
        <v>0.20230000000000001</v>
      </c>
      <c r="AE34" s="29">
        <v>-1.3075000000000001E-4</v>
      </c>
      <c r="AF34" s="31">
        <v>-3.3806E-7</v>
      </c>
      <c r="AG34" s="112">
        <v>41.527999999999999</v>
      </c>
      <c r="AH34" s="113">
        <v>0.38</v>
      </c>
      <c r="AI34" s="114">
        <v>57.756</v>
      </c>
      <c r="AJ34" s="115">
        <v>1.2222</v>
      </c>
      <c r="AK34" s="35"/>
      <c r="AL34" s="35"/>
      <c r="AM34" s="35"/>
      <c r="AN34" s="35"/>
      <c r="AO34" s="35"/>
      <c r="AP34" s="35"/>
      <c r="AQ34" s="35"/>
      <c r="AR34" s="35"/>
      <c r="AS34" s="35"/>
      <c r="AT34" s="35"/>
      <c r="AU34" s="35"/>
      <c r="AV34" s="35"/>
    </row>
    <row r="35" spans="1:48" x14ac:dyDescent="0.2">
      <c r="A35" s="9" t="s">
        <v>36</v>
      </c>
      <c r="B35" s="5" t="s">
        <v>31</v>
      </c>
      <c r="C35" s="5" t="s">
        <v>256</v>
      </c>
      <c r="D35" s="5">
        <v>6</v>
      </c>
      <c r="E35" s="69">
        <v>3.6696598800000002</v>
      </c>
      <c r="F35" s="26">
        <f t="shared" si="0"/>
        <v>0.55832055885994647</v>
      </c>
      <c r="G35" s="27">
        <v>84.161000000000001</v>
      </c>
      <c r="H35" s="55">
        <v>509.64</v>
      </c>
      <c r="I35" s="56">
        <v>35.770000000000003</v>
      </c>
      <c r="J35" s="61">
        <v>3.1950000000000001E-4</v>
      </c>
      <c r="K35" s="56">
        <f t="shared" si="1"/>
        <v>263.82758620689651</v>
      </c>
      <c r="L35" s="52">
        <f t="shared" si="2"/>
        <v>0.26929984038127402</v>
      </c>
      <c r="M35" s="52">
        <v>0.23100000000000001</v>
      </c>
      <c r="N35" s="74">
        <v>-2.6753</v>
      </c>
      <c r="O35" s="77">
        <v>407.37</v>
      </c>
      <c r="P35" s="79">
        <v>5.3E-3</v>
      </c>
      <c r="Q35" s="28">
        <v>-8.4105000000000002E-6</v>
      </c>
      <c r="R35" s="82">
        <v>0.26340000000000002</v>
      </c>
      <c r="S35" s="83">
        <v>0.28620000000000001</v>
      </c>
      <c r="T35" s="84">
        <v>0.28570000000000001</v>
      </c>
      <c r="U35" s="91">
        <v>15.877000000000001</v>
      </c>
      <c r="V35" s="95">
        <v>-1954.6</v>
      </c>
      <c r="W35" s="98">
        <v>-2.8119000000000001</v>
      </c>
      <c r="X35" s="29">
        <v>0</v>
      </c>
      <c r="Y35" s="31">
        <v>0</v>
      </c>
      <c r="Z35" s="108">
        <v>99.67</v>
      </c>
      <c r="AA35" s="6">
        <v>0.43128</v>
      </c>
      <c r="AB35" s="7">
        <v>-1.3368E-3</v>
      </c>
      <c r="AC35" s="8">
        <v>2.1826000000000001E-6</v>
      </c>
      <c r="AD35" s="109">
        <v>0.20219999999999999</v>
      </c>
      <c r="AE35" s="29">
        <v>-1.3158000000000001E-4</v>
      </c>
      <c r="AF35" s="31">
        <v>-3.4439999999999999E-7</v>
      </c>
      <c r="AG35" s="112">
        <v>41.137</v>
      </c>
      <c r="AH35" s="113">
        <v>0.38</v>
      </c>
      <c r="AI35" s="114">
        <v>57.573999999999998</v>
      </c>
      <c r="AJ35" s="115">
        <v>1.2222</v>
      </c>
      <c r="AK35" s="35"/>
      <c r="AL35" s="35"/>
      <c r="AM35" s="35"/>
      <c r="AN35" s="35"/>
      <c r="AO35" s="35"/>
      <c r="AP35" s="35"/>
      <c r="AQ35" s="35"/>
      <c r="AR35" s="35"/>
      <c r="AS35" s="35"/>
      <c r="AT35" s="35"/>
      <c r="AU35" s="35"/>
      <c r="AV35" s="35"/>
    </row>
    <row r="36" spans="1:48" x14ac:dyDescent="0.2">
      <c r="A36" s="9" t="s">
        <v>37</v>
      </c>
      <c r="B36" s="5" t="s">
        <v>31</v>
      </c>
      <c r="C36" s="5" t="s">
        <v>247</v>
      </c>
      <c r="D36" s="5">
        <v>6</v>
      </c>
      <c r="E36" s="69">
        <v>1.17818252</v>
      </c>
      <c r="F36" s="26">
        <f t="shared" si="0"/>
        <v>0.17925462972481801</v>
      </c>
      <c r="G36" s="27">
        <v>84.161000000000001</v>
      </c>
      <c r="H36" s="55">
        <v>528.1</v>
      </c>
      <c r="I36" s="56">
        <v>37.229999999999997</v>
      </c>
      <c r="J36" s="61">
        <v>3.2049999999999998E-4</v>
      </c>
      <c r="K36" s="56">
        <f t="shared" si="1"/>
        <v>263.00312499999995</v>
      </c>
      <c r="L36" s="52">
        <f t="shared" si="2"/>
        <v>0.27134187823988731</v>
      </c>
      <c r="M36" s="52">
        <v>0.25600000000000001</v>
      </c>
      <c r="N36" s="74">
        <v>-7.5677000000000003</v>
      </c>
      <c r="O36" s="77">
        <v>1036.2</v>
      </c>
      <c r="P36" s="79">
        <v>1.77E-2</v>
      </c>
      <c r="Q36" s="28">
        <v>-1.8309999999999999E-5</v>
      </c>
      <c r="R36" s="82">
        <v>0.2626</v>
      </c>
      <c r="S36" s="83">
        <v>0.2767</v>
      </c>
      <c r="T36" s="84">
        <v>0.28570000000000001</v>
      </c>
      <c r="U36" s="91">
        <v>16.300999999999998</v>
      </c>
      <c r="V36" s="95">
        <v>-2075.6999999999998</v>
      </c>
      <c r="W36" s="98">
        <v>-2.9106000000000001</v>
      </c>
      <c r="X36" s="29">
        <v>0</v>
      </c>
      <c r="Y36" s="31">
        <v>0</v>
      </c>
      <c r="Z36" s="108">
        <v>109.503</v>
      </c>
      <c r="AA36" s="6">
        <v>0.35105999999999998</v>
      </c>
      <c r="AB36" s="7">
        <v>-1.0643E-3</v>
      </c>
      <c r="AC36" s="8">
        <v>1.8349E-6</v>
      </c>
      <c r="AD36" s="109">
        <v>0.20610000000000001</v>
      </c>
      <c r="AE36" s="29">
        <v>-1.4333E-4</v>
      </c>
      <c r="AF36" s="31">
        <v>-3.0309E-7</v>
      </c>
      <c r="AG36" s="112">
        <v>43.442999999999998</v>
      </c>
      <c r="AH36" s="113">
        <v>0.38</v>
      </c>
      <c r="AI36" s="114">
        <v>59.619</v>
      </c>
      <c r="AJ36" s="115">
        <v>1.2222</v>
      </c>
      <c r="AK36" s="35"/>
      <c r="AL36" s="35"/>
      <c r="AM36" s="35"/>
      <c r="AN36" s="35"/>
      <c r="AO36" s="35"/>
      <c r="AP36" s="35"/>
      <c r="AQ36" s="35"/>
      <c r="AR36" s="35"/>
      <c r="AS36" s="35"/>
      <c r="AT36" s="35"/>
      <c r="AU36" s="35"/>
      <c r="AV36" s="35"/>
    </row>
    <row r="37" spans="1:48" x14ac:dyDescent="0.2">
      <c r="A37" s="9" t="s">
        <v>38</v>
      </c>
      <c r="B37" s="5" t="s">
        <v>31</v>
      </c>
      <c r="C37" s="5" t="s">
        <v>248</v>
      </c>
      <c r="D37" s="5">
        <v>6</v>
      </c>
      <c r="E37" s="69">
        <v>3.450735135</v>
      </c>
      <c r="F37" s="26">
        <f t="shared" si="0"/>
        <v>0.52501224420036796</v>
      </c>
      <c r="G37" s="27">
        <v>84.161000000000001</v>
      </c>
      <c r="H37" s="55">
        <v>506.65</v>
      </c>
      <c r="I37" s="56">
        <v>35.6</v>
      </c>
      <c r="J37" s="61">
        <v>3.3750000000000002E-4</v>
      </c>
      <c r="K37" s="56">
        <f t="shared" si="1"/>
        <v>249.73590504451042</v>
      </c>
      <c r="L37" s="52">
        <f t="shared" si="2"/>
        <v>0.28481432692127584</v>
      </c>
      <c r="M37" s="52">
        <v>0.25900000000000001</v>
      </c>
      <c r="N37" s="74">
        <v>-38.954999999999998</v>
      </c>
      <c r="O37" s="77">
        <v>4962.1000000000004</v>
      </c>
      <c r="P37" s="79">
        <v>9.8900000000000002E-2</v>
      </c>
      <c r="Q37" s="28">
        <v>-8.7071999999999996E-5</v>
      </c>
      <c r="R37" s="82">
        <v>0.24940000000000001</v>
      </c>
      <c r="S37" s="83">
        <v>0.2676</v>
      </c>
      <c r="T37" s="84">
        <v>0.28570000000000001</v>
      </c>
      <c r="U37" s="91">
        <v>16.099</v>
      </c>
      <c r="V37" s="95">
        <v>-1987.9</v>
      </c>
      <c r="W37" s="98">
        <v>-2.8650000000000002</v>
      </c>
      <c r="X37" s="29">
        <v>0</v>
      </c>
      <c r="Y37" s="31">
        <v>0</v>
      </c>
      <c r="Z37" s="108">
        <v>101.589</v>
      </c>
      <c r="AA37" s="6">
        <v>0.49673</v>
      </c>
      <c r="AB37" s="7">
        <v>-1.5743E-3</v>
      </c>
      <c r="AC37" s="8">
        <v>2.5751999999999999E-6</v>
      </c>
      <c r="AD37" s="109">
        <v>0.2041</v>
      </c>
      <c r="AE37" s="29">
        <v>-1.3490999999999999E-4</v>
      </c>
      <c r="AF37" s="31">
        <v>-3.4957999999999998E-7</v>
      </c>
      <c r="AG37" s="112">
        <v>41.856999999999999</v>
      </c>
      <c r="AH37" s="113">
        <v>0.38</v>
      </c>
      <c r="AI37" s="114">
        <v>57.695999999999998</v>
      </c>
      <c r="AJ37" s="115">
        <v>1.2222</v>
      </c>
      <c r="AK37" s="35"/>
      <c r="AL37" s="35"/>
      <c r="AM37" s="35"/>
      <c r="AN37" s="35"/>
      <c r="AO37" s="35"/>
      <c r="AP37" s="35"/>
      <c r="AQ37" s="35"/>
      <c r="AR37" s="35"/>
      <c r="AS37" s="35"/>
      <c r="AT37" s="35"/>
      <c r="AU37" s="35"/>
      <c r="AV37" s="35"/>
    </row>
    <row r="38" spans="1:48" x14ac:dyDescent="0.2">
      <c r="A38" s="9" t="s">
        <v>39</v>
      </c>
      <c r="B38" s="5" t="s">
        <v>31</v>
      </c>
      <c r="C38" s="5" t="s">
        <v>249</v>
      </c>
      <c r="D38" s="5">
        <v>6</v>
      </c>
      <c r="E38" s="69">
        <v>4.1019535375</v>
      </c>
      <c r="F38" s="26">
        <f t="shared" si="0"/>
        <v>0.62409189580657665</v>
      </c>
      <c r="G38" s="27">
        <v>84.161000000000001</v>
      </c>
      <c r="H38" s="55">
        <v>507.94</v>
      </c>
      <c r="I38" s="56">
        <v>37.18</v>
      </c>
      <c r="J38" s="61">
        <v>3.165E-4</v>
      </c>
      <c r="K38" s="56">
        <f t="shared" si="1"/>
        <v>266.33227848101268</v>
      </c>
      <c r="L38" s="52">
        <f t="shared" si="2"/>
        <v>0.27821083086560872</v>
      </c>
      <c r="M38" s="52">
        <v>0.248</v>
      </c>
      <c r="N38" s="74">
        <v>-41.497999999999998</v>
      </c>
      <c r="O38" s="77">
        <v>5283.8</v>
      </c>
      <c r="P38" s="79">
        <v>0.1053</v>
      </c>
      <c r="Q38" s="28">
        <v>-9.2281999999999995E-5</v>
      </c>
      <c r="R38" s="82">
        <v>0.26590000000000003</v>
      </c>
      <c r="S38" s="83">
        <v>0.2893</v>
      </c>
      <c r="T38" s="84">
        <v>0.28570000000000001</v>
      </c>
      <c r="U38" s="91">
        <v>16.024000000000001</v>
      </c>
      <c r="V38" s="95">
        <v>-1974.3</v>
      </c>
      <c r="W38" s="98">
        <v>-2.8424999999999998</v>
      </c>
      <c r="X38" s="29">
        <v>0</v>
      </c>
      <c r="Y38" s="31">
        <v>0</v>
      </c>
      <c r="Z38" s="108">
        <v>110.756</v>
      </c>
      <c r="AA38" s="6">
        <v>0.41003000000000001</v>
      </c>
      <c r="AB38" s="7">
        <v>-1.2844E-3</v>
      </c>
      <c r="AC38" s="8">
        <v>2.1880000000000001E-6</v>
      </c>
      <c r="AD38" s="109">
        <v>0.2044</v>
      </c>
      <c r="AE38" s="29">
        <v>-1.4296E-4</v>
      </c>
      <c r="AF38" s="31">
        <v>-3.3297E-7</v>
      </c>
      <c r="AG38" s="112">
        <v>41.435000000000002</v>
      </c>
      <c r="AH38" s="113">
        <v>0.38</v>
      </c>
      <c r="AI38" s="114">
        <v>58.679000000000002</v>
      </c>
      <c r="AJ38" s="115">
        <v>1.2222</v>
      </c>
      <c r="AK38" s="35"/>
      <c r="AL38" s="35"/>
      <c r="AM38" s="35"/>
      <c r="AN38" s="35"/>
      <c r="AO38" s="35"/>
      <c r="AP38" s="35"/>
      <c r="AQ38" s="35"/>
      <c r="AR38" s="35"/>
      <c r="AS38" s="35"/>
      <c r="AT38" s="35"/>
      <c r="AU38" s="35"/>
      <c r="AV38" s="35"/>
    </row>
    <row r="39" spans="1:48" x14ac:dyDescent="0.2">
      <c r="A39" s="9" t="s">
        <v>40</v>
      </c>
      <c r="B39" s="5" t="s">
        <v>31</v>
      </c>
      <c r="C39" s="5" t="s">
        <v>283</v>
      </c>
      <c r="D39" s="5">
        <v>6</v>
      </c>
      <c r="E39" s="69">
        <v>2.7792121875000002</v>
      </c>
      <c r="F39" s="26">
        <f t="shared" si="0"/>
        <v>0.42284335672966356</v>
      </c>
      <c r="G39" s="27">
        <v>84.161000000000001</v>
      </c>
      <c r="H39" s="55">
        <v>518.53</v>
      </c>
      <c r="I39" s="56">
        <v>34.72</v>
      </c>
      <c r="J39" s="61">
        <v>3.2749999999999999E-4</v>
      </c>
      <c r="K39" s="56">
        <f t="shared" si="1"/>
        <v>257.37308868501532</v>
      </c>
      <c r="L39" s="52">
        <f t="shared" si="2"/>
        <v>0.2633562084737418</v>
      </c>
      <c r="M39" s="52">
        <v>0.26</v>
      </c>
      <c r="N39" s="74">
        <v>-31.917000000000002</v>
      </c>
      <c r="O39" s="77">
        <v>4128</v>
      </c>
      <c r="P39" s="79">
        <v>7.9500000000000001E-2</v>
      </c>
      <c r="Q39" s="28">
        <v>-6.9498000000000004E-5</v>
      </c>
      <c r="R39" s="82">
        <v>0.25700000000000001</v>
      </c>
      <c r="S39" s="83">
        <v>0.27339999999999998</v>
      </c>
      <c r="T39" s="84">
        <v>0.28570000000000001</v>
      </c>
      <c r="U39" s="91">
        <v>16.225999999999999</v>
      </c>
      <c r="V39" s="95">
        <v>-2042.7</v>
      </c>
      <c r="W39" s="98">
        <v>-2.8990999999999998</v>
      </c>
      <c r="X39" s="29">
        <v>0</v>
      </c>
      <c r="Y39" s="31">
        <v>0</v>
      </c>
      <c r="Z39" s="108">
        <v>101.926</v>
      </c>
      <c r="AA39" s="6">
        <v>0.47342000000000001</v>
      </c>
      <c r="AB39" s="7">
        <v>-1.4561999999999999E-3</v>
      </c>
      <c r="AC39" s="8">
        <v>2.3271999999999999E-6</v>
      </c>
      <c r="AD39" s="109">
        <v>0.2039</v>
      </c>
      <c r="AE39" s="29">
        <v>-1.2760000000000001E-4</v>
      </c>
      <c r="AF39" s="31">
        <v>-3.4131999999999999E-7</v>
      </c>
      <c r="AG39" s="112">
        <v>43.021000000000001</v>
      </c>
      <c r="AH39" s="113">
        <v>0.38</v>
      </c>
      <c r="AI39" s="114">
        <v>57.573</v>
      </c>
      <c r="AJ39" s="115">
        <v>1.2222</v>
      </c>
      <c r="AK39" s="35"/>
      <c r="AL39" s="35"/>
      <c r="AM39" s="35"/>
      <c r="AN39" s="35"/>
      <c r="AO39" s="35"/>
      <c r="AP39" s="35"/>
      <c r="AQ39" s="35"/>
      <c r="AR39" s="35"/>
      <c r="AS39" s="35"/>
      <c r="AT39" s="35"/>
      <c r="AU39" s="35"/>
      <c r="AV39" s="35"/>
    </row>
    <row r="40" spans="1:48" x14ac:dyDescent="0.2">
      <c r="A40" s="9" t="s">
        <v>41</v>
      </c>
      <c r="B40" s="5" t="s">
        <v>31</v>
      </c>
      <c r="C40" s="5" t="s">
        <v>250</v>
      </c>
      <c r="D40" s="5">
        <v>6</v>
      </c>
      <c r="E40" s="69">
        <v>1.80921158125</v>
      </c>
      <c r="F40" s="26">
        <f t="shared" si="0"/>
        <v>0.27526257314598523</v>
      </c>
      <c r="G40" s="27">
        <v>84.161000000000001</v>
      </c>
      <c r="H40" s="55">
        <v>532.79</v>
      </c>
      <c r="I40" s="56">
        <v>37.85</v>
      </c>
      <c r="J40" s="61">
        <v>3.189E-4</v>
      </c>
      <c r="K40" s="56">
        <f t="shared" si="1"/>
        <v>264.65723270440253</v>
      </c>
      <c r="L40" s="52">
        <f t="shared" si="2"/>
        <v>0.27172332403002891</v>
      </c>
      <c r="M40" s="52">
        <v>0.23</v>
      </c>
      <c r="N40" s="74">
        <v>-3.4533</v>
      </c>
      <c r="O40" s="77">
        <v>566.73</v>
      </c>
      <c r="P40" s="79">
        <v>6.8999999999999999E-3</v>
      </c>
      <c r="Q40" s="28">
        <v>-9.1399000000000004E-6</v>
      </c>
      <c r="R40" s="82">
        <v>0.26390000000000002</v>
      </c>
      <c r="S40" s="83">
        <v>0.27039999999999997</v>
      </c>
      <c r="T40" s="84">
        <v>0.2828</v>
      </c>
      <c r="U40" s="91">
        <v>32.476999999999997</v>
      </c>
      <c r="V40" s="95">
        <v>-2643.4</v>
      </c>
      <c r="W40" s="98">
        <v>-8.7933000000000003</v>
      </c>
      <c r="X40" s="29">
        <v>2.0749000000000001E-11</v>
      </c>
      <c r="Y40" s="30">
        <v>3.2158000000000002E-6</v>
      </c>
      <c r="Z40" s="108">
        <v>92.28</v>
      </c>
      <c r="AA40" s="6">
        <v>0.39756000000000002</v>
      </c>
      <c r="AB40" s="7">
        <v>-1.2966E-3</v>
      </c>
      <c r="AC40" s="8">
        <v>2.0816000000000001E-6</v>
      </c>
      <c r="AD40" s="109">
        <v>0.17749999999999999</v>
      </c>
      <c r="AE40" s="29">
        <v>-1.4222E-4</v>
      </c>
      <c r="AF40" s="31">
        <v>-2.9518999999999999E-7</v>
      </c>
      <c r="AG40" s="112">
        <v>44.378999999999998</v>
      </c>
      <c r="AH40" s="113">
        <v>0.39700000000000002</v>
      </c>
      <c r="AI40" s="114">
        <v>61.63</v>
      </c>
      <c r="AJ40" s="115">
        <v>1.2757000000000001</v>
      </c>
      <c r="AK40" s="35"/>
      <c r="AL40" s="35"/>
      <c r="AM40" s="35"/>
      <c r="AN40" s="35"/>
      <c r="AO40" s="35"/>
      <c r="AP40" s="35"/>
      <c r="AQ40" s="35"/>
      <c r="AR40" s="35"/>
      <c r="AS40" s="35"/>
      <c r="AT40" s="35"/>
      <c r="AU40" s="35"/>
      <c r="AV40" s="35"/>
    </row>
    <row r="41" spans="1:48" x14ac:dyDescent="0.2">
      <c r="A41" s="9" t="s">
        <v>145</v>
      </c>
      <c r="B41" s="5" t="s">
        <v>31</v>
      </c>
      <c r="C41" s="5" t="s">
        <v>284</v>
      </c>
      <c r="D41" s="5">
        <v>6</v>
      </c>
      <c r="E41" s="69">
        <v>2.7796584375000002</v>
      </c>
      <c r="F41" s="26">
        <f t="shared" si="0"/>
        <v>0.42291125145493474</v>
      </c>
      <c r="G41" s="27">
        <v>84.161000000000001</v>
      </c>
      <c r="H41" s="56">
        <v>505.8</v>
      </c>
      <c r="I41" s="56">
        <v>34.72</v>
      </c>
      <c r="J41" s="61">
        <v>3.2749999999999999E-4</v>
      </c>
      <c r="K41" s="56">
        <f t="shared" si="1"/>
        <v>257.37308868501532</v>
      </c>
      <c r="L41" s="52">
        <f t="shared" si="2"/>
        <v>0.26998437085782784</v>
      </c>
      <c r="M41" s="52">
        <v>0.26</v>
      </c>
      <c r="N41" s="74">
        <v>-37.289000000000001</v>
      </c>
      <c r="O41" s="77">
        <v>4752.3999999999996</v>
      </c>
      <c r="P41" s="79">
        <v>9.4600000000000004E-2</v>
      </c>
      <c r="Q41" s="28">
        <v>-8.3566999999999995E-5</v>
      </c>
      <c r="R41" s="85" t="str" cm="1">
        <f t="array" ref="R41">LEFT(INDEX($R$30:$R$45, MATCH(MIN(IF(ABS($E$30:$E$45-E41)&lt;&gt;0, ABS($E$30:$E$45-E41))), IF(ABS($E$30:$E$45-E41)&lt;&gt;0, ABS($E$30:$E$45-E41)), 0)),6)</f>
        <v>0.257</v>
      </c>
      <c r="S41" s="86" cm="1">
        <f t="array" ref="S41">INDEX($S$30:$S$45, MATCH(MIN(IF(ABS($E$30:$E$45-E41)&lt;&gt;0, ABS($E$30:$E$45-E41))), IF(ABS($E$30:$E$45-E41)&lt;&gt;0, ABS($E$30:$E$45-E41)), 0))</f>
        <v>0.27339999999999998</v>
      </c>
      <c r="T41" s="87" cm="1">
        <f t="array" ref="T41">INDEX($T$30:$T$45, MATCH(MIN(IF(ABS($E$30:$E$45-E41)&lt;&gt;0, ABS($E$30:$E$45-E41))), IF(ABS($E$30:$E$45-E41)&lt;&gt;0, ABS($E$30:$E$45-E41)), 0))</f>
        <v>0.28570000000000001</v>
      </c>
      <c r="U41" s="92">
        <v>16.094999999999999</v>
      </c>
      <c r="V41" s="96">
        <v>-1986.8</v>
      </c>
      <c r="W41" s="99">
        <v>-2.8664999999999998</v>
      </c>
      <c r="X41" s="29">
        <v>0</v>
      </c>
      <c r="Y41" s="29">
        <v>0</v>
      </c>
      <c r="Z41" s="108">
        <v>99.754000000000005</v>
      </c>
      <c r="AA41" s="6">
        <v>0.49434</v>
      </c>
      <c r="AB41" s="7">
        <v>-1.5556000000000001E-3</v>
      </c>
      <c r="AC41" s="8">
        <v>2.4988000000000001E-6</v>
      </c>
      <c r="AD41" s="109">
        <v>0.2036</v>
      </c>
      <c r="AE41" s="29">
        <v>-1.2972999999999999E-4</v>
      </c>
      <c r="AF41" s="31">
        <v>-3.5928000000000002E-7</v>
      </c>
      <c r="AG41" s="112">
        <v>41.912999999999997</v>
      </c>
      <c r="AH41" s="113">
        <v>0.38</v>
      </c>
      <c r="AI41" s="114">
        <v>57.075000000000003</v>
      </c>
      <c r="AJ41" s="115">
        <v>1.2222</v>
      </c>
      <c r="AK41" s="35"/>
      <c r="AL41" s="35"/>
      <c r="AM41" s="35"/>
      <c r="AN41" s="35"/>
      <c r="AO41" s="35"/>
      <c r="AP41" s="35"/>
      <c r="AQ41" s="35"/>
      <c r="AR41" s="35"/>
      <c r="AS41" s="35"/>
      <c r="AT41" s="35"/>
      <c r="AU41" s="35"/>
      <c r="AV41" s="35"/>
    </row>
    <row r="42" spans="1:48" x14ac:dyDescent="0.2">
      <c r="A42" s="9" t="s">
        <v>42</v>
      </c>
      <c r="B42" s="5" t="s">
        <v>31</v>
      </c>
      <c r="C42" s="5" t="s">
        <v>251</v>
      </c>
      <c r="D42" s="5">
        <v>6</v>
      </c>
      <c r="E42" s="69">
        <v>1.2036743599999999</v>
      </c>
      <c r="F42" s="26">
        <f t="shared" si="0"/>
        <v>0.18313308680819443</v>
      </c>
      <c r="G42" s="27">
        <v>84.161000000000001</v>
      </c>
      <c r="H42" s="55">
        <v>520.15</v>
      </c>
      <c r="I42" s="56">
        <v>36.119999999999997</v>
      </c>
      <c r="J42" s="61">
        <v>3.2850000000000002E-4</v>
      </c>
      <c r="K42" s="56">
        <f t="shared" si="1"/>
        <v>256.58841463414632</v>
      </c>
      <c r="L42" s="52">
        <f t="shared" si="2"/>
        <v>0.27395735362601842</v>
      </c>
      <c r="M42" s="52">
        <v>0.28599999999999998</v>
      </c>
      <c r="N42" s="74">
        <v>-34.619</v>
      </c>
      <c r="O42" s="77">
        <v>4466.8</v>
      </c>
      <c r="P42" s="79">
        <v>8.6499999999999994E-2</v>
      </c>
      <c r="Q42" s="28">
        <v>-7.5320000000000004E-5</v>
      </c>
      <c r="R42" s="82">
        <v>0.25619999999999998</v>
      </c>
      <c r="S42" s="83">
        <v>0.27439999999999998</v>
      </c>
      <c r="T42" s="84">
        <v>0.28570000000000001</v>
      </c>
      <c r="U42" s="91">
        <v>16.484000000000002</v>
      </c>
      <c r="V42" s="95">
        <v>-2091.6</v>
      </c>
      <c r="W42" s="98">
        <v>-2.9565000000000001</v>
      </c>
      <c r="X42" s="29">
        <v>0</v>
      </c>
      <c r="Y42" s="31">
        <v>0</v>
      </c>
      <c r="Z42" s="108">
        <v>101.60299999999999</v>
      </c>
      <c r="AA42" s="6">
        <v>0.48274</v>
      </c>
      <c r="AB42" s="7">
        <v>-1.4796E-3</v>
      </c>
      <c r="AC42" s="8">
        <v>2.3396999999999998E-6</v>
      </c>
      <c r="AD42" s="109">
        <v>0.2041</v>
      </c>
      <c r="AE42" s="29">
        <v>-1.2504000000000001E-4</v>
      </c>
      <c r="AF42" s="31">
        <v>-3.4374999999999999E-7</v>
      </c>
      <c r="AG42" s="112">
        <v>43.908000000000001</v>
      </c>
      <c r="AH42" s="113">
        <v>0.38</v>
      </c>
      <c r="AI42" s="114">
        <v>58.936</v>
      </c>
      <c r="AJ42" s="115">
        <v>1.2222</v>
      </c>
      <c r="AK42" s="35"/>
      <c r="AL42" s="35"/>
      <c r="AM42" s="35"/>
      <c r="AN42" s="35"/>
      <c r="AO42" s="35"/>
      <c r="AP42" s="35"/>
      <c r="AQ42" s="35"/>
      <c r="AR42" s="35"/>
      <c r="AS42" s="35"/>
      <c r="AT42" s="35"/>
      <c r="AU42" s="35"/>
      <c r="AV42" s="35"/>
    </row>
    <row r="43" spans="1:48" x14ac:dyDescent="0.2">
      <c r="A43" s="9" t="s">
        <v>43</v>
      </c>
      <c r="B43" s="5" t="s">
        <v>31</v>
      </c>
      <c r="C43" s="5" t="s">
        <v>252</v>
      </c>
      <c r="D43" s="5">
        <v>6</v>
      </c>
      <c r="E43" s="69">
        <v>6.5726755387500004</v>
      </c>
      <c r="F43" s="26">
        <f t="shared" si="0"/>
        <v>1</v>
      </c>
      <c r="G43" s="27">
        <v>84.161000000000001</v>
      </c>
      <c r="H43" s="55">
        <v>504.34</v>
      </c>
      <c r="I43" s="63" t="s">
        <v>222</v>
      </c>
      <c r="J43" s="64" t="s">
        <v>223</v>
      </c>
      <c r="K43" s="56">
        <f t="shared" si="1"/>
        <v>258.1625766871166</v>
      </c>
      <c r="L43" s="52">
        <f t="shared" si="2"/>
        <v>0.28486535286033793</v>
      </c>
      <c r="M43" s="67" t="str" cm="1">
        <f t="array" ref="M43">LEFT(INDEX($M$30:$M$45, MATCH(MIN(IF(ABS($E$30:$E$45-E43)&lt;&gt;0, ABS($E$30:$E$45-E43))), IF(ABS($E$30:$E$45-E43)&lt;&gt;0, ABS($E$30:$E$45-E43)), 0)),5)</f>
        <v>0.218</v>
      </c>
      <c r="N43" s="74">
        <v>-41.375</v>
      </c>
      <c r="O43" s="77">
        <v>5258.6</v>
      </c>
      <c r="P43" s="79">
        <v>0.1052</v>
      </c>
      <c r="Q43" s="28">
        <v>-9.2470000000000001E-5</v>
      </c>
      <c r="R43" s="82">
        <v>0.2586</v>
      </c>
      <c r="S43" s="83">
        <v>0.28170000000000001</v>
      </c>
      <c r="T43" s="84">
        <v>0.28570000000000001</v>
      </c>
      <c r="U43" s="91">
        <v>15.744999999999999</v>
      </c>
      <c r="V43" s="95">
        <v>-1916.4</v>
      </c>
      <c r="W43" s="98">
        <v>-2.7774000000000001</v>
      </c>
      <c r="X43" s="29">
        <v>0</v>
      </c>
      <c r="Y43" s="31">
        <v>0</v>
      </c>
      <c r="Z43" s="108">
        <v>105.35</v>
      </c>
      <c r="AA43" s="6">
        <v>0.38828000000000001</v>
      </c>
      <c r="AB43" s="7">
        <v>-1.2298999999999999E-3</v>
      </c>
      <c r="AC43" s="8">
        <v>2.1389E-6</v>
      </c>
      <c r="AD43" s="109">
        <v>0.2039</v>
      </c>
      <c r="AE43" s="29">
        <v>-1.4747E-4</v>
      </c>
      <c r="AF43" s="31">
        <v>-3.2953000000000001E-7</v>
      </c>
      <c r="AG43" s="112">
        <v>40.295999999999999</v>
      </c>
      <c r="AH43" s="113">
        <v>0.38</v>
      </c>
      <c r="AI43" s="114">
        <v>57.844000000000001</v>
      </c>
      <c r="AJ43" s="115">
        <v>1.2222</v>
      </c>
      <c r="AK43" s="35"/>
      <c r="AL43" s="35"/>
      <c r="AM43" s="35"/>
      <c r="AN43" s="35"/>
      <c r="AO43" s="35"/>
      <c r="AP43" s="35"/>
      <c r="AQ43" s="35"/>
      <c r="AR43" s="35"/>
      <c r="AS43" s="35"/>
      <c r="AT43" s="35"/>
      <c r="AU43" s="35"/>
      <c r="AV43" s="35"/>
    </row>
    <row r="44" spans="1:48" x14ac:dyDescent="0.2">
      <c r="A44" s="9" t="s">
        <v>44</v>
      </c>
      <c r="B44" s="5" t="s">
        <v>31</v>
      </c>
      <c r="C44" s="5" t="s">
        <v>285</v>
      </c>
      <c r="D44" s="5">
        <v>6</v>
      </c>
      <c r="E44" s="69">
        <v>4.7295721549999996</v>
      </c>
      <c r="F44" s="26">
        <f t="shared" si="0"/>
        <v>0.71958095711803161</v>
      </c>
      <c r="G44" s="27">
        <v>84.161000000000001</v>
      </c>
      <c r="H44" s="55">
        <v>520.05999999999995</v>
      </c>
      <c r="I44" s="65" t="str" cm="1">
        <f t="array" aca="1" ref="I44" ca="1">LEFT(INDEX($I$30:$I$45, MATCH(MIN(IF(ABS($E$30:$E$45-E44)&lt;&gt;0, ABS($E$30:$E$45-E44))), IF(ABS($E$30:$E$45-E44)&lt;&gt;0, ABS($E$30:$E$45-E44)), 0)),5)</f>
        <v>37.23</v>
      </c>
      <c r="J44" s="66" t="str" cm="1">
        <f t="array" aca="1" ref="J44" ca="1">LEFT(INDEX($J$30:$J$45, MATCH(MIN(IF(ABS($E$30:$E$45-E44)&lt;&gt;0, ABS($E$30:$E$45-E44))), IF(ABS($E$30:$E$45-E44)&lt;&gt;0, ABS($E$30:$E$45-E44)), 0)),8)</f>
        <v>0.000320</v>
      </c>
      <c r="K44" s="56">
        <f t="shared" ca="1" si="1"/>
        <v>263.00312499999995</v>
      </c>
      <c r="L44" s="52">
        <f t="shared" ca="1" si="2"/>
        <v>0.27553675710203535</v>
      </c>
      <c r="M44" s="67" t="str" cm="1">
        <f t="array" aca="1" ref="M44" ca="1">LEFT(INDEX($M$30:$M$45, MATCH(MIN(IF(ABS($E$30:$E$45-E44)&lt;&gt;0, ABS($E$30:$E$45-E44))), IF(ABS($E$30:$E$45-E44)&lt;&gt;0, ABS($E$30:$E$45-E44)), 0)),5)</f>
        <v>0.256</v>
      </c>
      <c r="N44" s="74">
        <v>-29.672999999999998</v>
      </c>
      <c r="O44" s="77">
        <v>3856.2</v>
      </c>
      <c r="P44" s="79">
        <v>7.3499999999999996E-2</v>
      </c>
      <c r="Q44" s="28">
        <v>-6.4133000000000004E-5</v>
      </c>
      <c r="R44" s="82">
        <v>0.25009999999999999</v>
      </c>
      <c r="S44" s="83">
        <v>0.26279999999999998</v>
      </c>
      <c r="T44" s="84">
        <v>0.28570000000000001</v>
      </c>
      <c r="U44" s="91">
        <v>15.999000000000001</v>
      </c>
      <c r="V44" s="95">
        <v>-2005.8</v>
      </c>
      <c r="W44" s="98">
        <v>-2.847</v>
      </c>
      <c r="X44" s="29">
        <v>0</v>
      </c>
      <c r="Y44" s="31">
        <v>0</v>
      </c>
      <c r="Z44" s="108">
        <v>104.057</v>
      </c>
      <c r="AA44" s="6">
        <v>0.44486999999999999</v>
      </c>
      <c r="AB44" s="7">
        <v>-1.3747E-3</v>
      </c>
      <c r="AC44" s="8">
        <v>2.2680000000000001E-6</v>
      </c>
      <c r="AD44" s="109">
        <v>0.2044</v>
      </c>
      <c r="AE44" s="29">
        <v>-1.3522E-4</v>
      </c>
      <c r="AF44" s="31">
        <v>-3.2611E-7</v>
      </c>
      <c r="AG44" s="112">
        <v>42.290999999999997</v>
      </c>
      <c r="AH44" s="113">
        <v>0.38</v>
      </c>
      <c r="AI44" s="114">
        <v>56.954000000000001</v>
      </c>
      <c r="AJ44" s="115">
        <v>1.2222</v>
      </c>
      <c r="AK44" s="35"/>
      <c r="AL44" s="35"/>
      <c r="AM44" s="35"/>
      <c r="AN44" s="35"/>
      <c r="AO44" s="35"/>
      <c r="AP44" s="35"/>
      <c r="AQ44" s="35"/>
      <c r="AR44" s="35"/>
      <c r="AS44" s="35"/>
      <c r="AT44" s="35"/>
      <c r="AU44" s="35"/>
      <c r="AV44" s="35"/>
    </row>
    <row r="45" spans="1:48" x14ac:dyDescent="0.2">
      <c r="A45" s="9" t="s">
        <v>146</v>
      </c>
      <c r="B45" s="5" t="s">
        <v>31</v>
      </c>
      <c r="C45" s="25" t="s">
        <v>147</v>
      </c>
      <c r="D45" s="5">
        <v>6</v>
      </c>
      <c r="E45" s="69">
        <v>4.7301359874999998</v>
      </c>
      <c r="F45" s="26">
        <f t="shared" si="0"/>
        <v>0.7196667414377772</v>
      </c>
      <c r="G45" s="27">
        <v>84.161000000000001</v>
      </c>
      <c r="H45" s="55">
        <v>510.4</v>
      </c>
      <c r="I45" s="65" t="str" cm="1">
        <f t="array" aca="1" ref="I45" ca="1">LEFT(INDEX($I$30:$I$45, MATCH(MIN(IF(ABS($E$30:$E$45-E45)&lt;&gt;0, ABS($E$30:$E$45-E45))), IF(ABS($E$30:$E$45-E45)&lt;&gt;0, ABS($E$30:$E$45-E45)), 0)),5)</f>
        <v>37.23</v>
      </c>
      <c r="J45" s="66" t="str" cm="1">
        <f t="array" aca="1" ref="J45" ca="1">LEFT(INDEX($J$30:$J$45, MATCH(MIN(IF(ABS($E$30:$E$45-E45)&lt;&gt;0, ABS($E$30:$E$45-E45))), IF(ABS($E$30:$E$45-E45)&lt;&gt;0, ABS($E$30:$E$45-E45)), 0)),8)</f>
        <v>0.000320</v>
      </c>
      <c r="K45" s="56">
        <f t="shared" ca="1" si="1"/>
        <v>263.00312499999995</v>
      </c>
      <c r="L45" s="52">
        <f t="shared" ca="1" si="2"/>
        <v>0.28075165732461693</v>
      </c>
      <c r="M45" s="67" t="str" cm="1">
        <f t="array" aca="1" ref="M45" ca="1">LEFT(INDEX($M$30:$M$45, MATCH(MIN(IF(ABS($E$30:$E$45-E45)&lt;&gt;0, ABS($E$30:$E$45-E45))), IF(ABS($E$30:$E$45-E45)&lt;&gt;0, ABS($E$30:$E$45-E45)), 0)),5)</f>
        <v>0.256</v>
      </c>
      <c r="N45" s="74">
        <v>-33.195999999999998</v>
      </c>
      <c r="O45" s="77">
        <v>4265.3999999999996</v>
      </c>
      <c r="P45" s="79">
        <v>8.3400000000000002E-2</v>
      </c>
      <c r="Q45" s="28">
        <v>-7.3353000000000001E-5</v>
      </c>
      <c r="R45" s="82">
        <v>0.25009999999999999</v>
      </c>
      <c r="S45" s="83">
        <v>0.27</v>
      </c>
      <c r="T45" s="83">
        <v>0.28570000000000001</v>
      </c>
      <c r="U45" s="92">
        <v>15.901999999999999</v>
      </c>
      <c r="V45" s="96">
        <v>-1964.3</v>
      </c>
      <c r="W45" s="99">
        <v>-2.8228</v>
      </c>
      <c r="X45" s="29">
        <v>0</v>
      </c>
      <c r="Y45" s="29">
        <v>0</v>
      </c>
      <c r="Z45" s="108">
        <v>103.01900000000001</v>
      </c>
      <c r="AA45" s="6">
        <v>0.45562999999999998</v>
      </c>
      <c r="AB45" s="7">
        <v>-1.4316999999999999E-3</v>
      </c>
      <c r="AC45" s="8">
        <v>2.3721000000000001E-6</v>
      </c>
      <c r="AD45" s="109">
        <v>0.20419999999999999</v>
      </c>
      <c r="AE45" s="29">
        <v>-1.3718000000000001E-4</v>
      </c>
      <c r="AF45" s="31">
        <v>-3.3870999999999999E-7</v>
      </c>
      <c r="AG45" s="112">
        <v>41.466999999999999</v>
      </c>
      <c r="AH45" s="113">
        <v>0.38</v>
      </c>
      <c r="AI45" s="114">
        <v>56.582000000000001</v>
      </c>
      <c r="AJ45" s="115">
        <v>1.2222</v>
      </c>
      <c r="AK45" s="35"/>
      <c r="AL45" s="35"/>
      <c r="AM45" s="35"/>
      <c r="AN45" s="35"/>
      <c r="AO45" s="35"/>
      <c r="AP45" s="35"/>
      <c r="AQ45" s="35"/>
      <c r="AR45" s="35"/>
      <c r="AS45" s="35"/>
      <c r="AT45" s="35"/>
      <c r="AU45" s="35"/>
      <c r="AV45" s="35"/>
    </row>
    <row r="46" spans="1:48" x14ac:dyDescent="0.2">
      <c r="A46" s="10" t="s">
        <v>45</v>
      </c>
      <c r="B46" s="5" t="s">
        <v>46</v>
      </c>
      <c r="C46" s="5" t="s">
        <v>133</v>
      </c>
      <c r="D46" s="5">
        <v>7</v>
      </c>
      <c r="E46" s="69">
        <v>0</v>
      </c>
      <c r="F46" s="26">
        <f t="shared" ref="F46:F53" si="3">(E46-MIN($E$46:$E$52))/(MAX($E$46:$E$52)-MIN($E$46:$E$52))</f>
        <v>0</v>
      </c>
      <c r="G46" s="52">
        <v>98.188000000000002</v>
      </c>
      <c r="H46" s="55">
        <v>604.29999999999995</v>
      </c>
      <c r="I46" s="56">
        <v>38.4</v>
      </c>
      <c r="J46" s="61">
        <v>3.59E-4</v>
      </c>
      <c r="K46" s="56">
        <f t="shared" si="1"/>
        <v>273.50417827298048</v>
      </c>
      <c r="L46" s="52">
        <f t="shared" si="2"/>
        <v>0.27438670125745845</v>
      </c>
      <c r="M46" s="52">
        <v>0.24299999999999999</v>
      </c>
      <c r="N46" s="74">
        <v>-4.0974000000000004</v>
      </c>
      <c r="O46" s="77">
        <v>824.88</v>
      </c>
      <c r="P46" s="79">
        <v>6.4999999999999997E-3</v>
      </c>
      <c r="Q46" s="28">
        <v>-6.7498000000000002E-6</v>
      </c>
      <c r="R46" s="82">
        <v>0.27589999999999998</v>
      </c>
      <c r="S46" s="83">
        <v>0.27200000000000002</v>
      </c>
      <c r="T46" s="84">
        <v>0.28570000000000001</v>
      </c>
      <c r="U46" s="91">
        <v>54.085999999999999</v>
      </c>
      <c r="V46" s="95">
        <v>-3610.9</v>
      </c>
      <c r="W46" s="98">
        <v>-17.331</v>
      </c>
      <c r="X46" s="29">
        <v>7.5272000000000004E-3</v>
      </c>
      <c r="Y46" s="30">
        <v>1.7553E-12</v>
      </c>
      <c r="Z46" s="108">
        <v>104.892</v>
      </c>
      <c r="AA46" s="6">
        <v>0.46755999999999998</v>
      </c>
      <c r="AB46" s="7">
        <v>-1.2034999999999999E-3</v>
      </c>
      <c r="AC46" s="8">
        <v>1.6339999999999999E-6</v>
      </c>
      <c r="AD46" s="109">
        <v>0.1807</v>
      </c>
      <c r="AE46" s="29">
        <v>-7.1679000000000003E-5</v>
      </c>
      <c r="AF46" s="31">
        <v>-2.6394999999999998E-7</v>
      </c>
      <c r="AG46" s="112">
        <v>50.021000000000001</v>
      </c>
      <c r="AH46" s="113">
        <v>0.38200000000000001</v>
      </c>
      <c r="AI46" s="114">
        <v>65.680000000000007</v>
      </c>
      <c r="AJ46" s="115">
        <v>1.3080000000000001</v>
      </c>
      <c r="AK46" s="35"/>
      <c r="AL46" s="35"/>
      <c r="AM46" s="35"/>
      <c r="AN46" s="35"/>
      <c r="AO46" s="35"/>
      <c r="AP46" s="35"/>
      <c r="AQ46" s="35"/>
      <c r="AR46" s="35"/>
      <c r="AS46" s="35"/>
      <c r="AT46" s="35"/>
      <c r="AU46" s="35"/>
      <c r="AV46" s="35"/>
    </row>
    <row r="47" spans="1:48" x14ac:dyDescent="0.2">
      <c r="A47" s="10" t="s">
        <v>127</v>
      </c>
      <c r="B47" s="5" t="s">
        <v>46</v>
      </c>
      <c r="C47" s="5" t="s">
        <v>286</v>
      </c>
      <c r="D47" s="5">
        <v>7</v>
      </c>
      <c r="E47" s="69">
        <v>3.3311831700000001</v>
      </c>
      <c r="F47" s="26">
        <f t="shared" si="3"/>
        <v>0.66769767268723468</v>
      </c>
      <c r="G47" s="52">
        <v>98.188000000000002</v>
      </c>
      <c r="H47" s="55">
        <v>565.15</v>
      </c>
      <c r="I47" s="56">
        <v>34.450000000000003</v>
      </c>
      <c r="J47" s="61">
        <v>3.6999999999999999E-4</v>
      </c>
      <c r="K47" s="56">
        <f t="shared" si="1"/>
        <v>265.372972972973</v>
      </c>
      <c r="L47" s="52">
        <f t="shared" si="2"/>
        <v>0.27127963860142079</v>
      </c>
      <c r="M47" s="52">
        <v>0.26600000000000001</v>
      </c>
      <c r="N47" s="74">
        <v>-2.6989000000000001</v>
      </c>
      <c r="O47" s="77">
        <v>434.72</v>
      </c>
      <c r="P47" s="79">
        <v>5.3E-3</v>
      </c>
      <c r="Q47" s="28">
        <v>-7.5158000000000001E-6</v>
      </c>
      <c r="R47" s="82">
        <v>0.26679999999999998</v>
      </c>
      <c r="S47" s="83">
        <v>0.26979999999999998</v>
      </c>
      <c r="T47" s="84">
        <v>0.28570000000000001</v>
      </c>
      <c r="U47" s="91">
        <v>36.362000000000002</v>
      </c>
      <c r="V47" s="95">
        <v>-3002.5</v>
      </c>
      <c r="W47" s="98">
        <v>-10.07</v>
      </c>
      <c r="X47" s="29">
        <v>-1.0435E-9</v>
      </c>
      <c r="Y47" s="30">
        <v>3.3726000000000001E-6</v>
      </c>
      <c r="Z47" s="108">
        <v>59.555</v>
      </c>
      <c r="AA47" s="6">
        <v>0.97636000000000001</v>
      </c>
      <c r="AB47" s="7">
        <v>-2.8546999999999999E-3</v>
      </c>
      <c r="AC47" s="8">
        <v>3.467E-6</v>
      </c>
      <c r="AD47" s="109">
        <v>0.18629999999999999</v>
      </c>
      <c r="AE47" s="29">
        <v>-9.1014000000000006E-5</v>
      </c>
      <c r="AF47" s="31">
        <v>-2.9047999999999999E-7</v>
      </c>
      <c r="AG47" s="112">
        <v>47.597000000000001</v>
      </c>
      <c r="AH47" s="113">
        <v>0.377</v>
      </c>
      <c r="AI47" s="114">
        <v>59.628</v>
      </c>
      <c r="AJ47" s="115">
        <v>1.2352000000000001</v>
      </c>
      <c r="AK47" s="35"/>
      <c r="AL47" s="35"/>
      <c r="AM47" s="35"/>
      <c r="AN47" s="35"/>
      <c r="AO47" s="35"/>
      <c r="AP47" s="35"/>
      <c r="AQ47" s="35"/>
      <c r="AR47" s="35"/>
      <c r="AS47" s="35"/>
      <c r="AT47" s="35"/>
      <c r="AU47" s="35"/>
      <c r="AV47" s="35"/>
    </row>
    <row r="48" spans="1:48" x14ac:dyDescent="0.2">
      <c r="A48" s="10" t="s">
        <v>128</v>
      </c>
      <c r="B48" s="5" t="s">
        <v>46</v>
      </c>
      <c r="C48" s="5" t="s">
        <v>287</v>
      </c>
      <c r="D48" s="5">
        <v>7</v>
      </c>
      <c r="E48" s="69">
        <v>3.6161966137500001</v>
      </c>
      <c r="F48" s="26">
        <f t="shared" si="3"/>
        <v>0.72482536677211118</v>
      </c>
      <c r="G48" s="52">
        <v>98.188000000000002</v>
      </c>
      <c r="H48" s="55">
        <v>551</v>
      </c>
      <c r="I48" s="56">
        <v>34.450000000000003</v>
      </c>
      <c r="J48" s="61">
        <v>3.6000000000000002E-4</v>
      </c>
      <c r="K48" s="56">
        <f t="shared" si="1"/>
        <v>272.74444444444441</v>
      </c>
      <c r="L48" s="52">
        <f t="shared" si="2"/>
        <v>0.27072608815428206</v>
      </c>
      <c r="M48" s="52">
        <v>0.27400000000000002</v>
      </c>
      <c r="N48" s="74">
        <v>-2.0304000000000002</v>
      </c>
      <c r="O48" s="77">
        <v>320.82</v>
      </c>
      <c r="P48" s="79">
        <v>4.1000000000000003E-3</v>
      </c>
      <c r="Q48" s="28">
        <v>-6.9506E-6</v>
      </c>
      <c r="R48" s="82">
        <v>0.2727</v>
      </c>
      <c r="S48" s="83">
        <v>0.27939999999999998</v>
      </c>
      <c r="T48" s="84">
        <v>0.314</v>
      </c>
      <c r="U48" s="91">
        <v>35.426000000000002</v>
      </c>
      <c r="V48" s="95">
        <v>-2728.6</v>
      </c>
      <c r="W48" s="98">
        <v>-10.444000000000001</v>
      </c>
      <c r="X48" s="29">
        <v>4.6607999999999997E-3</v>
      </c>
      <c r="Y48" s="30">
        <v>1.7564999999999999E-14</v>
      </c>
      <c r="Z48" s="108">
        <v>125.515</v>
      </c>
      <c r="AA48" s="6">
        <v>0.41260000000000002</v>
      </c>
      <c r="AB48" s="7">
        <v>-1.1871E-3</v>
      </c>
      <c r="AC48" s="8">
        <v>1.9819999999999998E-6</v>
      </c>
      <c r="AD48" s="109">
        <v>0.19289999999999999</v>
      </c>
      <c r="AE48" s="29">
        <v>-1.2438E-4</v>
      </c>
      <c r="AF48" s="31">
        <v>-2.6893000000000001E-7</v>
      </c>
      <c r="AG48" s="112">
        <v>45.52</v>
      </c>
      <c r="AH48" s="113">
        <v>0.36299999999999999</v>
      </c>
      <c r="AI48" s="114">
        <v>57.453000000000003</v>
      </c>
      <c r="AJ48" s="115">
        <v>1.2963</v>
      </c>
      <c r="AK48" s="35"/>
      <c r="AL48" s="35"/>
      <c r="AM48" s="35"/>
      <c r="AN48" s="35"/>
      <c r="AO48" s="35"/>
      <c r="AP48" s="35"/>
      <c r="AQ48" s="35"/>
      <c r="AR48" s="35"/>
      <c r="AS48" s="35"/>
      <c r="AT48" s="35"/>
      <c r="AU48" s="35"/>
      <c r="AV48" s="35"/>
    </row>
    <row r="49" spans="1:48" x14ac:dyDescent="0.2">
      <c r="A49" s="10" t="s">
        <v>129</v>
      </c>
      <c r="B49" s="5" t="s">
        <v>46</v>
      </c>
      <c r="C49" s="5" t="s">
        <v>288</v>
      </c>
      <c r="D49" s="5">
        <v>7</v>
      </c>
      <c r="E49" s="69">
        <v>3.6153814949999998</v>
      </c>
      <c r="F49" s="26">
        <f t="shared" si="3"/>
        <v>0.72466198551549332</v>
      </c>
      <c r="G49" s="52">
        <v>98.188000000000002</v>
      </c>
      <c r="H49" s="55">
        <v>553</v>
      </c>
      <c r="I49" s="56">
        <v>34.450000000000003</v>
      </c>
      <c r="J49" s="61">
        <v>3.6000000000000002E-4</v>
      </c>
      <c r="K49" s="56">
        <f t="shared" si="1"/>
        <v>272.74444444444441</v>
      </c>
      <c r="L49" s="52">
        <f t="shared" si="2"/>
        <v>0.2697469702947729</v>
      </c>
      <c r="M49" s="52">
        <v>0.27</v>
      </c>
      <c r="N49" s="74">
        <v>-2.0703999999999998</v>
      </c>
      <c r="O49" s="77">
        <v>329.81</v>
      </c>
      <c r="P49" s="79">
        <v>4.1000000000000003E-3</v>
      </c>
      <c r="Q49" s="28">
        <v>-6.9024000000000002E-6</v>
      </c>
      <c r="R49" s="82">
        <v>0.2727</v>
      </c>
      <c r="S49" s="83">
        <v>0.28050000000000003</v>
      </c>
      <c r="T49" s="84">
        <v>0.30470000000000003</v>
      </c>
      <c r="U49" s="91">
        <v>53.191000000000003</v>
      </c>
      <c r="V49" s="95">
        <v>-3312.1</v>
      </c>
      <c r="W49" s="98">
        <v>-17.277000000000001</v>
      </c>
      <c r="X49" s="29">
        <v>8.3107000000000007E-3</v>
      </c>
      <c r="Y49" s="30">
        <v>5.0895999999999997E-14</v>
      </c>
      <c r="Z49" s="108">
        <v>127.401</v>
      </c>
      <c r="AA49" s="6">
        <v>0.39874999999999999</v>
      </c>
      <c r="AB49" s="7">
        <v>-1.1447E-3</v>
      </c>
      <c r="AC49" s="8">
        <v>1.9085999999999998E-6</v>
      </c>
      <c r="AD49" s="109">
        <v>0.1928</v>
      </c>
      <c r="AE49" s="29">
        <v>-1.2412E-4</v>
      </c>
      <c r="AF49" s="31">
        <v>-2.6641000000000001E-7</v>
      </c>
      <c r="AG49" s="112">
        <v>48.6</v>
      </c>
      <c r="AH49" s="113">
        <v>0.40600000000000003</v>
      </c>
      <c r="AI49" s="114">
        <v>56.915999999999997</v>
      </c>
      <c r="AJ49" s="115">
        <v>1.2642</v>
      </c>
      <c r="AK49" s="35"/>
      <c r="AL49" s="35"/>
      <c r="AM49" s="35"/>
      <c r="AN49" s="35"/>
      <c r="AO49" s="35"/>
      <c r="AP49" s="35"/>
      <c r="AQ49" s="35"/>
      <c r="AR49" s="35"/>
      <c r="AS49" s="35"/>
      <c r="AT49" s="35"/>
      <c r="AU49" s="35"/>
      <c r="AV49" s="35"/>
    </row>
    <row r="50" spans="1:48" x14ac:dyDescent="0.2">
      <c r="A50" s="10" t="s">
        <v>130</v>
      </c>
      <c r="B50" s="5" t="s">
        <v>46</v>
      </c>
      <c r="C50" s="5" t="s">
        <v>289</v>
      </c>
      <c r="D50" s="5">
        <v>7</v>
      </c>
      <c r="E50" s="69">
        <v>3.3301707075000002</v>
      </c>
      <c r="F50" s="26">
        <f t="shared" si="3"/>
        <v>0.66749473612672938</v>
      </c>
      <c r="G50" s="52">
        <v>98.188000000000002</v>
      </c>
      <c r="H50" s="55">
        <v>553.15</v>
      </c>
      <c r="I50" s="56">
        <v>34.450000000000003</v>
      </c>
      <c r="J50" s="61">
        <v>3.6000000000000002E-4</v>
      </c>
      <c r="K50" s="56">
        <f t="shared" si="1"/>
        <v>272.74444444444441</v>
      </c>
      <c r="L50" s="52">
        <f t="shared" si="2"/>
        <v>0.26967382188015804</v>
      </c>
      <c r="M50" s="52">
        <v>0.27</v>
      </c>
      <c r="N50" s="74">
        <v>-2.0718999999999999</v>
      </c>
      <c r="O50" s="77">
        <v>330.39</v>
      </c>
      <c r="P50" s="79">
        <v>4.1000000000000003E-3</v>
      </c>
      <c r="Q50" s="28">
        <v>-6.8963000000000004E-6</v>
      </c>
      <c r="R50" s="82">
        <v>0.2727</v>
      </c>
      <c r="S50" s="83">
        <v>0.27789999999999998</v>
      </c>
      <c r="T50" s="84">
        <v>0.30980000000000002</v>
      </c>
      <c r="U50" s="91">
        <v>36.811</v>
      </c>
      <c r="V50" s="95">
        <v>-2953.6</v>
      </c>
      <c r="W50" s="98">
        <v>-10.275</v>
      </c>
      <c r="X50" s="29">
        <v>-4.6211999999999997E-12</v>
      </c>
      <c r="Y50" s="30">
        <v>3.6729999999999998E-6</v>
      </c>
      <c r="Z50" s="108">
        <v>122.80800000000001</v>
      </c>
      <c r="AA50" s="6">
        <v>0.43340000000000001</v>
      </c>
      <c r="AB50" s="7">
        <v>-1.2394000000000001E-3</v>
      </c>
      <c r="AC50" s="8">
        <v>2.0097E-6</v>
      </c>
      <c r="AD50" s="109">
        <v>0.19159999999999999</v>
      </c>
      <c r="AE50" s="29">
        <v>-1.1824000000000001E-4</v>
      </c>
      <c r="AF50" s="31">
        <v>-2.7322000000000001E-7</v>
      </c>
      <c r="AG50" s="112">
        <v>47.56</v>
      </c>
      <c r="AH50" s="113">
        <v>0.39100000000000001</v>
      </c>
      <c r="AI50" s="114">
        <v>57.253</v>
      </c>
      <c r="AJ50" s="115">
        <v>1.2829999999999999</v>
      </c>
      <c r="AK50" s="35"/>
      <c r="AL50" s="35"/>
      <c r="AM50" s="35"/>
      <c r="AN50" s="35"/>
      <c r="AO50" s="35"/>
      <c r="AP50" s="35"/>
      <c r="AQ50" s="35"/>
      <c r="AR50" s="35"/>
      <c r="AS50" s="35"/>
      <c r="AT50" s="35"/>
      <c r="AU50" s="35"/>
      <c r="AV50" s="35"/>
    </row>
    <row r="51" spans="1:48" x14ac:dyDescent="0.2">
      <c r="A51" s="10" t="s">
        <v>47</v>
      </c>
      <c r="B51" s="5" t="s">
        <v>46</v>
      </c>
      <c r="C51" s="5" t="s">
        <v>253</v>
      </c>
      <c r="D51" s="5">
        <v>7</v>
      </c>
      <c r="E51" s="69">
        <v>4.9890591300000002</v>
      </c>
      <c r="F51" s="26">
        <f t="shared" si="3"/>
        <v>1</v>
      </c>
      <c r="G51" s="52">
        <v>98.188000000000002</v>
      </c>
      <c r="H51" s="55">
        <v>547</v>
      </c>
      <c r="I51" s="56">
        <v>34.450000000000003</v>
      </c>
      <c r="J51" s="61">
        <v>3.6000000000000002E-4</v>
      </c>
      <c r="K51" s="56">
        <f t="shared" si="1"/>
        <v>272.74444444444441</v>
      </c>
      <c r="L51" s="52">
        <f t="shared" si="2"/>
        <v>0.27270580360696417</v>
      </c>
      <c r="M51" s="52">
        <v>0.27200000000000002</v>
      </c>
      <c r="N51" s="74">
        <v>-1.6800999999999999</v>
      </c>
      <c r="O51" s="77">
        <v>267.61</v>
      </c>
      <c r="P51" s="79">
        <v>3.3E-3</v>
      </c>
      <c r="Q51" s="28">
        <v>-6.4470999999999996E-6</v>
      </c>
      <c r="R51" s="82">
        <v>0.27279999999999999</v>
      </c>
      <c r="S51" s="83">
        <v>0.27729999999999999</v>
      </c>
      <c r="T51" s="84">
        <v>0.30159999999999998</v>
      </c>
      <c r="U51" s="91">
        <v>58.194000000000003</v>
      </c>
      <c r="V51" s="95">
        <v>-3415.1</v>
      </c>
      <c r="W51" s="98">
        <v>-19.294</v>
      </c>
      <c r="X51" s="29">
        <v>9.6703999999999991E-3</v>
      </c>
      <c r="Y51" s="30">
        <v>-2.4360999999999999E-15</v>
      </c>
      <c r="Z51" s="108">
        <v>110.20099999999999</v>
      </c>
      <c r="AA51" s="6">
        <v>0.53447999999999996</v>
      </c>
      <c r="AB51" s="7">
        <v>-1.5367E-3</v>
      </c>
      <c r="AC51" s="8">
        <v>2.3016000000000001E-6</v>
      </c>
      <c r="AD51" s="109">
        <v>0.18740000000000001</v>
      </c>
      <c r="AE51" s="29">
        <v>-9.9434999999999999E-5</v>
      </c>
      <c r="AF51" s="31">
        <v>-3.0315000000000001E-7</v>
      </c>
      <c r="AG51" s="112">
        <v>53.692</v>
      </c>
      <c r="AH51" s="113">
        <v>0.52</v>
      </c>
      <c r="AI51" s="114">
        <v>55.281999999999996</v>
      </c>
      <c r="AJ51" s="115">
        <v>1.2168000000000001</v>
      </c>
      <c r="AK51" s="35"/>
      <c r="AL51" s="35"/>
      <c r="AM51" s="35"/>
      <c r="AN51" s="35"/>
      <c r="AO51" s="35"/>
      <c r="AP51" s="35"/>
      <c r="AQ51" s="35"/>
      <c r="AR51" s="35"/>
      <c r="AS51" s="35"/>
      <c r="AT51" s="35"/>
      <c r="AU51" s="35"/>
      <c r="AV51" s="35"/>
    </row>
    <row r="52" spans="1:48" x14ac:dyDescent="0.2">
      <c r="A52" s="10" t="s">
        <v>48</v>
      </c>
      <c r="B52" s="5" t="s">
        <v>46</v>
      </c>
      <c r="C52" s="5" t="s">
        <v>254</v>
      </c>
      <c r="D52" s="5">
        <v>7</v>
      </c>
      <c r="E52" s="69">
        <v>1.161463345</v>
      </c>
      <c r="F52" s="26">
        <f t="shared" si="3"/>
        <v>0.23280208045960762</v>
      </c>
      <c r="G52" s="52">
        <v>98.188000000000002</v>
      </c>
      <c r="H52" s="55">
        <v>569.52</v>
      </c>
      <c r="I52" s="56">
        <v>33.979999999999997</v>
      </c>
      <c r="J52" s="61">
        <v>3.745E-4</v>
      </c>
      <c r="K52" s="56">
        <f t="shared" si="1"/>
        <v>262.5347593582888</v>
      </c>
      <c r="L52" s="52">
        <f t="shared" si="2"/>
        <v>0.26839596139486926</v>
      </c>
      <c r="M52" s="52">
        <v>0.27200000000000002</v>
      </c>
      <c r="N52" s="74">
        <v>-3.1046</v>
      </c>
      <c r="O52" s="77">
        <v>548.4</v>
      </c>
      <c r="P52" s="79">
        <v>5.4000000000000003E-3</v>
      </c>
      <c r="Q52" s="28">
        <v>-6.9666000000000004E-6</v>
      </c>
      <c r="R52" s="82">
        <v>0.26219999999999999</v>
      </c>
      <c r="S52" s="83">
        <v>0.26939999999999997</v>
      </c>
      <c r="T52" s="84">
        <v>0.2777</v>
      </c>
      <c r="U52" s="91">
        <v>36.363</v>
      </c>
      <c r="V52" s="95">
        <v>-3044.8</v>
      </c>
      <c r="W52" s="98">
        <v>-10.038</v>
      </c>
      <c r="X52" s="29">
        <v>3.5006999999999997E-11</v>
      </c>
      <c r="Y52" s="30">
        <v>3.2347000000000001E-6</v>
      </c>
      <c r="Z52" s="108">
        <v>109.80800000000001</v>
      </c>
      <c r="AA52" s="6">
        <v>0.41310999999999998</v>
      </c>
      <c r="AB52" s="7">
        <v>-1.2645E-3</v>
      </c>
      <c r="AC52" s="8">
        <v>1.9259999999999999E-6</v>
      </c>
      <c r="AD52" s="109">
        <v>0.19370000000000001</v>
      </c>
      <c r="AE52" s="29">
        <v>-1.2239E-4</v>
      </c>
      <c r="AF52" s="31">
        <v>-2.5081000000000001E-7</v>
      </c>
      <c r="AG52" s="112">
        <v>49.238999999999997</v>
      </c>
      <c r="AH52" s="113">
        <v>0.39100000000000001</v>
      </c>
      <c r="AI52" s="114">
        <v>56.982999999999997</v>
      </c>
      <c r="AJ52" s="115">
        <v>1.2043999999999999</v>
      </c>
      <c r="AK52" s="35"/>
      <c r="AL52" s="35"/>
      <c r="AM52" s="35"/>
      <c r="AN52" s="35"/>
      <c r="AO52" s="35"/>
      <c r="AP52" s="35"/>
      <c r="AQ52" s="35"/>
      <c r="AR52" s="35"/>
      <c r="AS52" s="35"/>
      <c r="AT52" s="35"/>
      <c r="AU52" s="35"/>
      <c r="AV52" s="35"/>
    </row>
    <row r="53" spans="1:48" x14ac:dyDescent="0.2">
      <c r="A53" s="10" t="s">
        <v>118</v>
      </c>
      <c r="B53" s="5" t="s">
        <v>46</v>
      </c>
      <c r="C53" s="5" t="s">
        <v>255</v>
      </c>
      <c r="D53" s="5">
        <v>7</v>
      </c>
      <c r="E53" s="69">
        <v>1.803068275</v>
      </c>
      <c r="F53" s="26">
        <f t="shared" si="3"/>
        <v>0.36140447086663413</v>
      </c>
      <c r="G53" s="52">
        <v>98.188000000000002</v>
      </c>
      <c r="H53" s="56">
        <v>572.19000000000005</v>
      </c>
      <c r="I53" s="56">
        <v>34.71</v>
      </c>
      <c r="J53" s="61">
        <v>3.68E-4</v>
      </c>
      <c r="K53" s="56">
        <f t="shared" si="1"/>
        <v>266.81521739130432</v>
      </c>
      <c r="L53" s="52">
        <f t="shared" si="2"/>
        <v>0.26850485860379114</v>
      </c>
      <c r="M53" s="52">
        <v>0.23499999999999999</v>
      </c>
      <c r="N53" s="74">
        <v>-1.9879</v>
      </c>
      <c r="O53" s="77">
        <v>508.06</v>
      </c>
      <c r="P53" s="79">
        <v>1.1999999999999999E-3</v>
      </c>
      <c r="Q53" s="28">
        <v>-2.7317999999999998E-6</v>
      </c>
      <c r="R53" s="88" t="s">
        <v>224</v>
      </c>
      <c r="S53" s="83">
        <v>0.3054</v>
      </c>
      <c r="T53" s="84">
        <v>0.32900000000000001</v>
      </c>
      <c r="U53" s="91">
        <v>38.095999999999997</v>
      </c>
      <c r="V53" s="95">
        <v>-3073.8</v>
      </c>
      <c r="W53" s="98">
        <v>-10.683999999999999</v>
      </c>
      <c r="X53" s="29">
        <v>-5.1765999999999997E-11</v>
      </c>
      <c r="Y53" s="30">
        <v>3.5281999999999999E-6</v>
      </c>
      <c r="Z53" s="108">
        <v>103.66800000000001</v>
      </c>
      <c r="AA53" s="6">
        <v>0.46217000000000003</v>
      </c>
      <c r="AB53" s="7">
        <v>-1.3973E-3</v>
      </c>
      <c r="AC53" s="8">
        <v>2.0549999999999998E-6</v>
      </c>
      <c r="AD53" s="109">
        <v>0.16819999999999999</v>
      </c>
      <c r="AE53" s="29">
        <v>-1.4187E-4</v>
      </c>
      <c r="AF53" s="31">
        <v>-1.5939E-7</v>
      </c>
      <c r="AG53" s="112">
        <v>49.418999999999997</v>
      </c>
      <c r="AH53" s="113">
        <v>0.41499999999999998</v>
      </c>
      <c r="AI53" s="114">
        <v>63.1</v>
      </c>
      <c r="AJ53" s="115">
        <v>1.353</v>
      </c>
      <c r="AK53" s="35"/>
      <c r="AL53" s="35"/>
      <c r="AM53" s="35"/>
      <c r="AN53" s="35"/>
      <c r="AO53" s="35"/>
      <c r="AP53" s="35"/>
      <c r="AQ53" s="35"/>
      <c r="AR53" s="35"/>
      <c r="AS53" s="35"/>
      <c r="AT53" s="35"/>
      <c r="AU53" s="35"/>
      <c r="AV53" s="35"/>
    </row>
    <row r="54" spans="1:48" x14ac:dyDescent="0.2">
      <c r="A54" s="11" t="s">
        <v>49</v>
      </c>
      <c r="B54" s="5" t="s">
        <v>50</v>
      </c>
      <c r="C54" s="5" t="s">
        <v>134</v>
      </c>
      <c r="D54" s="5">
        <v>8</v>
      </c>
      <c r="E54" s="69">
        <v>0</v>
      </c>
      <c r="F54" s="26">
        <f t="shared" ref="F54:F70" si="4">(E54-MIN($E$54:$E$77))/(MAX($E$54:$E$77)-MIN($E$54:$E$77))</f>
        <v>0</v>
      </c>
      <c r="G54" s="52">
        <v>112.215</v>
      </c>
      <c r="H54" s="55">
        <v>647.20000000000005</v>
      </c>
      <c r="I54" s="56">
        <v>35.5</v>
      </c>
      <c r="J54" s="61">
        <v>4.0999999999999999E-4</v>
      </c>
      <c r="K54" s="56">
        <f t="shared" si="1"/>
        <v>273.69512195121951</v>
      </c>
      <c r="L54" s="52">
        <f t="shared" si="2"/>
        <v>0.27049776495065586</v>
      </c>
      <c r="M54" s="52">
        <v>0.23599999999999999</v>
      </c>
      <c r="N54" s="74">
        <v>-1.5938000000000001</v>
      </c>
      <c r="O54" s="77">
        <v>524.19000000000005</v>
      </c>
      <c r="P54" s="79">
        <v>5.9999999999999995E-4</v>
      </c>
      <c r="Q54" s="28">
        <v>-2.1036000000000001E-6</v>
      </c>
      <c r="R54" s="82">
        <v>0.27789999999999998</v>
      </c>
      <c r="S54" s="83">
        <v>0.27100000000000002</v>
      </c>
      <c r="T54" s="84">
        <v>0.28570000000000001</v>
      </c>
      <c r="U54" s="91">
        <v>73.224999999999994</v>
      </c>
      <c r="V54" s="95">
        <v>-4454.1000000000004</v>
      </c>
      <c r="W54" s="98">
        <v>-24.824999999999999</v>
      </c>
      <c r="X54" s="29">
        <v>1.3715E-2</v>
      </c>
      <c r="Y54" s="30">
        <v>-2.4082999999999999E-6</v>
      </c>
      <c r="Z54" s="108">
        <v>142.279</v>
      </c>
      <c r="AA54" s="6">
        <v>0.44313000000000002</v>
      </c>
      <c r="AB54" s="7">
        <v>-1.0698000000000001E-3</v>
      </c>
      <c r="AC54" s="8">
        <v>1.3763000000000001E-6</v>
      </c>
      <c r="AD54" s="109">
        <v>0.1696</v>
      </c>
      <c r="AE54" s="29">
        <v>-5.7525999999999998E-5</v>
      </c>
      <c r="AF54" s="31">
        <v>-2.2459E-7</v>
      </c>
      <c r="AG54" s="112">
        <v>53.857999999999997</v>
      </c>
      <c r="AH54" s="113">
        <v>0.38</v>
      </c>
      <c r="AI54" s="114">
        <v>62.374000000000002</v>
      </c>
      <c r="AJ54" s="115">
        <v>1.2222</v>
      </c>
      <c r="AK54" s="35"/>
      <c r="AL54" s="35"/>
      <c r="AM54" s="35"/>
      <c r="AN54" s="35"/>
      <c r="AO54" s="35"/>
      <c r="AP54" s="35"/>
      <c r="AQ54" s="35"/>
      <c r="AR54" s="35"/>
      <c r="AS54" s="35"/>
      <c r="AT54" s="35"/>
      <c r="AU54" s="35"/>
      <c r="AV54" s="35"/>
    </row>
    <row r="55" spans="1:48" x14ac:dyDescent="0.2">
      <c r="A55" s="11" t="s">
        <v>51</v>
      </c>
      <c r="B55" s="5" t="s">
        <v>50</v>
      </c>
      <c r="C55" s="5" t="s">
        <v>290</v>
      </c>
      <c r="D55" s="5">
        <v>8</v>
      </c>
      <c r="E55" s="69">
        <v>3.6059898000000001</v>
      </c>
      <c r="F55" s="26">
        <f t="shared" si="4"/>
        <v>0.53083068324025828</v>
      </c>
      <c r="G55" s="52">
        <v>112.215</v>
      </c>
      <c r="H55" s="55">
        <v>598.15</v>
      </c>
      <c r="I55" s="56">
        <v>29.38</v>
      </c>
      <c r="J55" s="61">
        <v>4.6000000000000001E-4</v>
      </c>
      <c r="K55" s="56">
        <f t="shared" si="1"/>
        <v>243.94565217391306</v>
      </c>
      <c r="L55" s="52">
        <f t="shared" si="2"/>
        <v>0.27176247925530789</v>
      </c>
      <c r="M55" s="52">
        <v>0.23100000000000001</v>
      </c>
      <c r="N55" s="74">
        <v>1.1289</v>
      </c>
      <c r="O55" s="77">
        <v>-9.3400999999999996</v>
      </c>
      <c r="P55" s="79">
        <v>-4.5999999999999999E-3</v>
      </c>
      <c r="Q55" s="28">
        <v>7.9601000000000005E-7</v>
      </c>
      <c r="R55" s="82">
        <v>0.24399999999999999</v>
      </c>
      <c r="S55" s="83">
        <v>0.24529999999999999</v>
      </c>
      <c r="T55" s="84">
        <v>0.27710000000000001</v>
      </c>
      <c r="U55" s="91">
        <v>31.914999999999999</v>
      </c>
      <c r="V55" s="95">
        <v>-3025.3</v>
      </c>
      <c r="W55" s="98">
        <v>-8.3613</v>
      </c>
      <c r="X55" s="29">
        <v>5.7054999999999999E-12</v>
      </c>
      <c r="Y55" s="30">
        <v>1.9673000000000002E-6</v>
      </c>
      <c r="Z55" s="108">
        <v>103.345</v>
      </c>
      <c r="AA55" s="6">
        <v>0.77049000000000001</v>
      </c>
      <c r="AB55" s="7">
        <v>-2.2239999999999998E-3</v>
      </c>
      <c r="AC55" s="8">
        <v>2.8466E-6</v>
      </c>
      <c r="AD55" s="109">
        <v>0.17879999999999999</v>
      </c>
      <c r="AE55" s="29">
        <v>-9.4201000000000002E-5</v>
      </c>
      <c r="AF55" s="31">
        <v>-2.3166E-7</v>
      </c>
      <c r="AG55" s="112">
        <v>52.6</v>
      </c>
      <c r="AH55" s="113">
        <v>0.42299999999999999</v>
      </c>
      <c r="AI55" s="114">
        <v>55.436999999999998</v>
      </c>
      <c r="AJ55" s="115">
        <v>1.2166999999999999</v>
      </c>
      <c r="AK55" s="35"/>
      <c r="AL55" s="35"/>
      <c r="AM55" s="35"/>
      <c r="AN55" s="35"/>
      <c r="AO55" s="35"/>
      <c r="AP55" s="35"/>
      <c r="AQ55" s="35"/>
      <c r="AR55" s="35"/>
      <c r="AS55" s="35"/>
      <c r="AT55" s="35"/>
      <c r="AU55" s="35"/>
      <c r="AV55" s="35"/>
    </row>
    <row r="56" spans="1:48" x14ac:dyDescent="0.2">
      <c r="A56" s="11" t="s">
        <v>52</v>
      </c>
      <c r="B56" s="5" t="s">
        <v>50</v>
      </c>
      <c r="C56" s="5" t="s">
        <v>257</v>
      </c>
      <c r="D56" s="5">
        <v>8</v>
      </c>
      <c r="E56" s="69">
        <v>4.9781454275000003</v>
      </c>
      <c r="F56" s="26">
        <f t="shared" si="4"/>
        <v>0.73282302089406715</v>
      </c>
      <c r="G56" s="52">
        <v>112.215</v>
      </c>
      <c r="H56" s="55">
        <v>591.15</v>
      </c>
      <c r="I56" s="56">
        <v>29.38</v>
      </c>
      <c r="J56" s="61">
        <v>4.4999999999999999E-4</v>
      </c>
      <c r="K56" s="56">
        <f t="shared" si="1"/>
        <v>249.36666666666665</v>
      </c>
      <c r="L56" s="52">
        <f t="shared" si="2"/>
        <v>0.26900267031082786</v>
      </c>
      <c r="M56" s="52">
        <v>0.23300000000000001</v>
      </c>
      <c r="N56" s="74">
        <v>1.6875</v>
      </c>
      <c r="O56" s="77">
        <v>-95.736000000000004</v>
      </c>
      <c r="P56" s="79">
        <v>-5.7999999999999996E-3</v>
      </c>
      <c r="Q56" s="28">
        <v>1.6213E-6</v>
      </c>
      <c r="R56" s="82">
        <v>0.24940000000000001</v>
      </c>
      <c r="S56" s="83">
        <v>0.25140000000000001</v>
      </c>
      <c r="T56" s="84">
        <v>0.27760000000000001</v>
      </c>
      <c r="U56" s="91">
        <v>33.133000000000003</v>
      </c>
      <c r="V56" s="95">
        <v>-3008.4</v>
      </c>
      <c r="W56" s="98">
        <v>-8.8498000000000001</v>
      </c>
      <c r="X56" s="29">
        <v>-4.3620999999999999E-10</v>
      </c>
      <c r="Y56" s="30">
        <v>2.3704000000000002E-6</v>
      </c>
      <c r="Z56" s="108">
        <v>45.883000000000003</v>
      </c>
      <c r="AA56" s="6">
        <v>1.2604</v>
      </c>
      <c r="AB56" s="7">
        <v>-3.5092000000000001E-3</v>
      </c>
      <c r="AC56" s="8">
        <v>3.9654000000000002E-6</v>
      </c>
      <c r="AD56" s="109">
        <v>0.1741</v>
      </c>
      <c r="AE56" s="29">
        <v>-7.4821999999999996E-5</v>
      </c>
      <c r="AF56" s="31">
        <v>-2.5922000000000001E-7</v>
      </c>
      <c r="AG56" s="112">
        <v>50.423999999999999</v>
      </c>
      <c r="AH56" s="113">
        <v>0.40400000000000003</v>
      </c>
      <c r="AI56" s="114">
        <v>55.5</v>
      </c>
      <c r="AJ56" s="115">
        <v>1.2153</v>
      </c>
      <c r="AK56" s="35"/>
      <c r="AL56" s="35"/>
      <c r="AM56" s="35"/>
      <c r="AN56" s="35"/>
      <c r="AO56" s="35"/>
      <c r="AP56" s="35"/>
      <c r="AQ56" s="35"/>
      <c r="AR56" s="35"/>
      <c r="AS56" s="35"/>
      <c r="AT56" s="35"/>
      <c r="AU56" s="35"/>
      <c r="AV56" s="35"/>
    </row>
    <row r="57" spans="1:48" x14ac:dyDescent="0.2">
      <c r="A57" s="11" t="s">
        <v>53</v>
      </c>
      <c r="B57" s="5" t="s">
        <v>50</v>
      </c>
      <c r="C57" s="5" t="s">
        <v>291</v>
      </c>
      <c r="D57" s="5">
        <v>8</v>
      </c>
      <c r="E57" s="69">
        <v>3.323946925</v>
      </c>
      <c r="F57" s="26">
        <f t="shared" si="4"/>
        <v>0.48931170500041504</v>
      </c>
      <c r="G57" s="52">
        <v>112.215</v>
      </c>
      <c r="H57" s="55">
        <v>606.15</v>
      </c>
      <c r="I57" s="56">
        <v>29.38</v>
      </c>
      <c r="J57" s="61">
        <v>4.6000000000000001E-4</v>
      </c>
      <c r="K57" s="56">
        <f t="shared" si="1"/>
        <v>243.94565217391306</v>
      </c>
      <c r="L57" s="52">
        <f t="shared" si="2"/>
        <v>0.26817574357265106</v>
      </c>
      <c r="M57" s="52">
        <v>0.23200000000000001</v>
      </c>
      <c r="N57" s="74">
        <v>0.61939999999999995</v>
      </c>
      <c r="O57" s="77">
        <v>228.82</v>
      </c>
      <c r="P57" s="79">
        <v>-5.1000000000000004E-3</v>
      </c>
      <c r="Q57" s="28">
        <v>2.0513000000000002E-6</v>
      </c>
      <c r="R57" s="82">
        <v>0.24399999999999999</v>
      </c>
      <c r="S57" s="83">
        <v>0.24360000000000001</v>
      </c>
      <c r="T57" s="84">
        <v>0.2681</v>
      </c>
      <c r="U57" s="91">
        <v>32.164000000000001</v>
      </c>
      <c r="V57" s="95">
        <v>-3072.8</v>
      </c>
      <c r="W57" s="98">
        <v>-8.4344000000000001</v>
      </c>
      <c r="X57" s="29">
        <v>6.8942999999999997E-10</v>
      </c>
      <c r="Y57" s="30">
        <v>1.9558E-6</v>
      </c>
      <c r="Z57" s="108">
        <v>73.911000000000001</v>
      </c>
      <c r="AA57" s="6">
        <v>1.0319</v>
      </c>
      <c r="AB57" s="7">
        <v>-2.8668999999999999E-3</v>
      </c>
      <c r="AC57" s="8">
        <v>3.3195000000000002E-6</v>
      </c>
      <c r="AD57" s="109">
        <v>0.17610000000000001</v>
      </c>
      <c r="AE57" s="29">
        <v>-8.0582999999999997E-5</v>
      </c>
      <c r="AF57" s="31">
        <v>-2.3919000000000001E-7</v>
      </c>
      <c r="AG57" s="112">
        <v>52.847999999999999</v>
      </c>
      <c r="AH57" s="113">
        <v>0.41599999999999998</v>
      </c>
      <c r="AI57" s="114">
        <v>60.890999999999998</v>
      </c>
      <c r="AJ57" s="115">
        <v>1.3037000000000001</v>
      </c>
      <c r="AK57" s="35"/>
      <c r="AL57" s="35"/>
      <c r="AM57" s="35"/>
      <c r="AN57" s="35"/>
      <c r="AO57" s="35"/>
      <c r="AP57" s="35"/>
      <c r="AQ57" s="35"/>
      <c r="AR57" s="35"/>
      <c r="AS57" s="35"/>
      <c r="AT57" s="35"/>
      <c r="AU57" s="35"/>
      <c r="AV57" s="35"/>
    </row>
    <row r="58" spans="1:48" x14ac:dyDescent="0.2">
      <c r="A58" s="11" t="s">
        <v>54</v>
      </c>
      <c r="B58" s="5" t="s">
        <v>50</v>
      </c>
      <c r="C58" s="5" t="s">
        <v>292</v>
      </c>
      <c r="D58" s="5">
        <v>8</v>
      </c>
      <c r="E58" s="69">
        <v>3.3234917300000002</v>
      </c>
      <c r="F58" s="26">
        <f t="shared" si="4"/>
        <v>0.48924469663759124</v>
      </c>
      <c r="G58" s="52">
        <v>112.215</v>
      </c>
      <c r="H58" s="55">
        <v>596.15</v>
      </c>
      <c r="I58" s="56">
        <v>29.38</v>
      </c>
      <c r="J58" s="61">
        <v>4.6000000000000001E-4</v>
      </c>
      <c r="K58" s="56">
        <f t="shared" si="1"/>
        <v>243.94565217391306</v>
      </c>
      <c r="L58" s="52">
        <f t="shared" si="2"/>
        <v>0.27267420442264939</v>
      </c>
      <c r="M58" s="52">
        <v>0.23799999999999999</v>
      </c>
      <c r="N58" s="74">
        <v>1.1272</v>
      </c>
      <c r="O58" s="77">
        <v>-12.522</v>
      </c>
      <c r="P58" s="79">
        <v>-4.4999999999999997E-3</v>
      </c>
      <c r="Q58" s="28">
        <v>7.0419999999999997E-7</v>
      </c>
      <c r="R58" s="82">
        <v>0.24399999999999999</v>
      </c>
      <c r="S58" s="83">
        <v>0.25030000000000002</v>
      </c>
      <c r="T58" s="84">
        <v>0.26579999999999998</v>
      </c>
      <c r="U58" s="91">
        <v>31.936</v>
      </c>
      <c r="V58" s="95">
        <v>-2988.9</v>
      </c>
      <c r="W58" s="98">
        <v>-8.4129000000000005</v>
      </c>
      <c r="X58" s="29">
        <v>-6.9873999999999996E-11</v>
      </c>
      <c r="Y58" s="30">
        <v>2.1641000000000002E-6</v>
      </c>
      <c r="Z58" s="108">
        <v>106.38200000000001</v>
      </c>
      <c r="AA58" s="6">
        <v>0.72687999999999997</v>
      </c>
      <c r="AB58" s="7">
        <v>-2.1050999999999999E-3</v>
      </c>
      <c r="AC58" s="8">
        <v>2.7006999999999998E-6</v>
      </c>
      <c r="AD58" s="109">
        <v>0.17899999999999999</v>
      </c>
      <c r="AE58" s="29">
        <v>-9.4585000000000003E-5</v>
      </c>
      <c r="AF58" s="31">
        <v>-2.3349000000000001E-7</v>
      </c>
      <c r="AG58" s="112">
        <v>51.194000000000003</v>
      </c>
      <c r="AH58" s="113">
        <v>0.40500000000000003</v>
      </c>
      <c r="AI58" s="114">
        <v>54.223999999999997</v>
      </c>
      <c r="AJ58" s="115">
        <v>1.2017</v>
      </c>
      <c r="AK58" s="35"/>
      <c r="AL58" s="35"/>
      <c r="AM58" s="35"/>
      <c r="AN58" s="35"/>
      <c r="AO58" s="35"/>
      <c r="AP58" s="35"/>
      <c r="AQ58" s="35"/>
      <c r="AR58" s="35"/>
      <c r="AS58" s="35"/>
      <c r="AT58" s="35"/>
      <c r="AU58" s="35"/>
      <c r="AV58" s="35"/>
    </row>
    <row r="59" spans="1:48" x14ac:dyDescent="0.2">
      <c r="A59" s="11" t="s">
        <v>55</v>
      </c>
      <c r="B59" s="5" t="s">
        <v>50</v>
      </c>
      <c r="C59" s="5" t="s">
        <v>293</v>
      </c>
      <c r="D59" s="5">
        <v>8</v>
      </c>
      <c r="E59" s="69">
        <v>3.6090054075000002</v>
      </c>
      <c r="F59" s="26">
        <f t="shared" si="4"/>
        <v>0.53127460490348921</v>
      </c>
      <c r="G59" s="52">
        <v>112.215</v>
      </c>
      <c r="H59" s="55">
        <v>598</v>
      </c>
      <c r="I59" s="56">
        <v>29.38</v>
      </c>
      <c r="J59" s="61">
        <v>4.6000000000000001E-4</v>
      </c>
      <c r="K59" s="56">
        <f t="shared" si="1"/>
        <v>243.94565217391306</v>
      </c>
      <c r="L59" s="52">
        <f t="shared" si="2"/>
        <v>0.27183064710127497</v>
      </c>
      <c r="M59" s="52">
        <v>0.23400000000000001</v>
      </c>
      <c r="N59" s="74">
        <v>-4.9313000000000002</v>
      </c>
      <c r="O59" s="77">
        <v>817.72</v>
      </c>
      <c r="P59" s="79">
        <v>9.4999999999999998E-3</v>
      </c>
      <c r="Q59" s="28">
        <v>-9.7697999999999992E-6</v>
      </c>
      <c r="R59" s="82">
        <v>0.24399999999999999</v>
      </c>
      <c r="S59" s="83">
        <v>0.24440000000000001</v>
      </c>
      <c r="T59" s="84">
        <v>0.27800000000000002</v>
      </c>
      <c r="U59" s="91">
        <v>32.438000000000002</v>
      </c>
      <c r="V59" s="95">
        <v>-3055</v>
      </c>
      <c r="W59" s="98">
        <v>-8.5372000000000003</v>
      </c>
      <c r="X59" s="29">
        <v>2.2892E-10</v>
      </c>
      <c r="Y59" s="30">
        <v>2.0099E-6</v>
      </c>
      <c r="Z59" s="108">
        <v>104.90600000000001</v>
      </c>
      <c r="AA59" s="6">
        <v>0.75946999999999998</v>
      </c>
      <c r="AB59" s="7">
        <v>-2.1970000000000002E-3</v>
      </c>
      <c r="AC59" s="8">
        <v>2.8318000000000001E-6</v>
      </c>
      <c r="AD59" s="109">
        <v>0.17910000000000001</v>
      </c>
      <c r="AE59" s="29">
        <v>-9.5043000000000005E-5</v>
      </c>
      <c r="AF59" s="31">
        <v>-2.3111999999999999E-7</v>
      </c>
      <c r="AG59" s="112">
        <v>52.97</v>
      </c>
      <c r="AH59" s="113">
        <v>0.42599999999999999</v>
      </c>
      <c r="AI59" s="114">
        <v>58.13</v>
      </c>
      <c r="AJ59" s="115">
        <v>1.2726</v>
      </c>
      <c r="AK59" s="35"/>
      <c r="AL59" s="35"/>
      <c r="AM59" s="35"/>
      <c r="AN59" s="35"/>
      <c r="AO59" s="35"/>
      <c r="AP59" s="35"/>
      <c r="AQ59" s="35"/>
      <c r="AR59" s="35"/>
      <c r="AS59" s="35"/>
      <c r="AT59" s="35"/>
      <c r="AU59" s="35"/>
      <c r="AV59" s="35"/>
    </row>
    <row r="60" spans="1:48" x14ac:dyDescent="0.2">
      <c r="A60" s="11" t="s">
        <v>56</v>
      </c>
      <c r="B60" s="5" t="s">
        <v>50</v>
      </c>
      <c r="C60" s="5" t="s">
        <v>294</v>
      </c>
      <c r="D60" s="5">
        <v>8</v>
      </c>
      <c r="E60" s="69">
        <v>3.6092343150000001</v>
      </c>
      <c r="F60" s="26">
        <f t="shared" si="4"/>
        <v>0.53130830192743084</v>
      </c>
      <c r="G60" s="52">
        <v>112.215</v>
      </c>
      <c r="H60" s="55">
        <v>590.15</v>
      </c>
      <c r="I60" s="56">
        <v>29.38</v>
      </c>
      <c r="J60" s="61">
        <v>4.4999999999999999E-4</v>
      </c>
      <c r="K60" s="56">
        <f t="shared" si="1"/>
        <v>249.36666666666665</v>
      </c>
      <c r="L60" s="52">
        <f t="shared" si="2"/>
        <v>0.26945849115351334</v>
      </c>
      <c r="M60" s="52">
        <v>0.23699999999999999</v>
      </c>
      <c r="N60" s="74">
        <v>-2.1404999999999998</v>
      </c>
      <c r="O60" s="77">
        <v>491.24</v>
      </c>
      <c r="P60" s="79">
        <v>2.3E-3</v>
      </c>
      <c r="Q60" s="28">
        <v>-3.8951000000000002E-6</v>
      </c>
      <c r="R60" s="82">
        <v>0.24940000000000001</v>
      </c>
      <c r="S60" s="83">
        <v>0.2586</v>
      </c>
      <c r="T60" s="84">
        <v>0.27750000000000002</v>
      </c>
      <c r="U60" s="91">
        <v>32.573</v>
      </c>
      <c r="V60" s="95">
        <v>-2987.2</v>
      </c>
      <c r="W60" s="98">
        <v>-8.6494</v>
      </c>
      <c r="X60" s="29">
        <v>-2.1354999999999999E-9</v>
      </c>
      <c r="Y60" s="30">
        <v>2.2946E-6</v>
      </c>
      <c r="Z60" s="108">
        <v>55.054000000000002</v>
      </c>
      <c r="AA60" s="6">
        <v>1.1928000000000001</v>
      </c>
      <c r="AB60" s="7">
        <v>-3.3306E-3</v>
      </c>
      <c r="AC60" s="8">
        <v>3.7992E-6</v>
      </c>
      <c r="AD60" s="109">
        <v>0.17460000000000001</v>
      </c>
      <c r="AE60" s="29">
        <v>-7.6136000000000004E-5</v>
      </c>
      <c r="AF60" s="31">
        <v>-2.5922000000000001E-7</v>
      </c>
      <c r="AG60" s="112">
        <v>50.470999999999997</v>
      </c>
      <c r="AH60" s="113">
        <v>0.40300000000000002</v>
      </c>
      <c r="AI60" s="114">
        <v>55.6</v>
      </c>
      <c r="AJ60" s="115">
        <v>1.2846</v>
      </c>
      <c r="AK60" s="35"/>
      <c r="AL60" s="35"/>
      <c r="AM60" s="35"/>
      <c r="AN60" s="35"/>
      <c r="AO60" s="35"/>
      <c r="AP60" s="35"/>
      <c r="AQ60" s="35"/>
      <c r="AR60" s="35"/>
      <c r="AS60" s="35"/>
      <c r="AT60" s="35"/>
      <c r="AU60" s="35"/>
      <c r="AV60" s="35"/>
    </row>
    <row r="61" spans="1:48" x14ac:dyDescent="0.2">
      <c r="A61" s="11" t="s">
        <v>57</v>
      </c>
      <c r="B61" s="5" t="s">
        <v>50</v>
      </c>
      <c r="C61" s="5" t="s">
        <v>295</v>
      </c>
      <c r="D61" s="5">
        <v>8</v>
      </c>
      <c r="E61" s="69">
        <v>3.6038301074999999</v>
      </c>
      <c r="F61" s="26">
        <f t="shared" si="4"/>
        <v>0.53051275914480911</v>
      </c>
      <c r="G61" s="52">
        <v>112.215</v>
      </c>
      <c r="H61" s="55">
        <v>591.15</v>
      </c>
      <c r="I61" s="56">
        <v>29.38</v>
      </c>
      <c r="J61" s="61">
        <v>4.4999999999999999E-4</v>
      </c>
      <c r="K61" s="56">
        <f t="shared" si="1"/>
        <v>249.36666666666665</v>
      </c>
      <c r="L61" s="52">
        <f t="shared" si="2"/>
        <v>0.26900267031082786</v>
      </c>
      <c r="M61" s="52">
        <v>0.23699999999999999</v>
      </c>
      <c r="N61" s="74">
        <v>1.6140000000000001</v>
      </c>
      <c r="O61" s="77">
        <v>-85.231999999999999</v>
      </c>
      <c r="P61" s="79">
        <v>-5.5999999999999999E-3</v>
      </c>
      <c r="Q61" s="28">
        <v>1.4727999999999999E-6</v>
      </c>
      <c r="R61" s="82">
        <v>0.24940000000000001</v>
      </c>
      <c r="S61" s="83">
        <v>0.25580000000000003</v>
      </c>
      <c r="T61" s="84">
        <v>0.28389999999999999</v>
      </c>
      <c r="U61" s="91">
        <v>32.478000000000002</v>
      </c>
      <c r="V61" s="95">
        <v>-3006.7</v>
      </c>
      <c r="W61" s="98">
        <v>-8.5896000000000008</v>
      </c>
      <c r="X61" s="29">
        <v>7.0257999999999994E-11</v>
      </c>
      <c r="Y61" s="30">
        <v>2.1739000000000001E-6</v>
      </c>
      <c r="Z61" s="108">
        <v>93.2</v>
      </c>
      <c r="AA61" s="6">
        <v>0.84033000000000002</v>
      </c>
      <c r="AB61" s="7">
        <v>-2.4187000000000002E-3</v>
      </c>
      <c r="AC61" s="8">
        <v>3.0292000000000002E-6</v>
      </c>
      <c r="AD61" s="109">
        <v>0.17799999999999999</v>
      </c>
      <c r="AE61" s="29">
        <v>-9.0792999999999996E-5</v>
      </c>
      <c r="AF61" s="31">
        <v>-2.4228000000000002E-7</v>
      </c>
      <c r="AG61" s="112">
        <v>51.53</v>
      </c>
      <c r="AH61" s="113">
        <v>0.41499999999999998</v>
      </c>
      <c r="AI61" s="114">
        <v>54.17</v>
      </c>
      <c r="AJ61" s="115">
        <v>1.246</v>
      </c>
      <c r="AK61" s="35"/>
      <c r="AL61" s="35"/>
      <c r="AM61" s="35"/>
      <c r="AN61" s="35"/>
      <c r="AO61" s="35"/>
      <c r="AP61" s="35"/>
      <c r="AQ61" s="35"/>
      <c r="AR61" s="35"/>
      <c r="AS61" s="35"/>
      <c r="AT61" s="35"/>
      <c r="AU61" s="35"/>
      <c r="AV61" s="35"/>
    </row>
    <row r="62" spans="1:48" x14ac:dyDescent="0.2">
      <c r="A62" s="11" t="s">
        <v>58</v>
      </c>
      <c r="B62" s="5" t="s">
        <v>50</v>
      </c>
      <c r="C62" s="5" t="s">
        <v>258</v>
      </c>
      <c r="D62" s="5">
        <v>8</v>
      </c>
      <c r="E62" s="69">
        <v>1.1574984450000001</v>
      </c>
      <c r="F62" s="26">
        <f t="shared" si="4"/>
        <v>0.17039307499119566</v>
      </c>
      <c r="G62" s="52">
        <v>112.215</v>
      </c>
      <c r="H62" s="55">
        <v>609.15</v>
      </c>
      <c r="I62" s="56">
        <v>30.4</v>
      </c>
      <c r="J62" s="61">
        <v>4.4999999999999999E-4</v>
      </c>
      <c r="K62" s="56">
        <f t="shared" si="1"/>
        <v>249.36666666666665</v>
      </c>
      <c r="L62" s="52">
        <f t="shared" si="2"/>
        <v>0.27011694464326413</v>
      </c>
      <c r="M62" s="52">
        <v>0.246</v>
      </c>
      <c r="N62" s="74">
        <v>-1.6818</v>
      </c>
      <c r="O62" s="77">
        <v>453.74</v>
      </c>
      <c r="P62" s="79">
        <v>1.1000000000000001E-3</v>
      </c>
      <c r="Q62" s="28">
        <v>-2.7698999999999999E-6</v>
      </c>
      <c r="R62" s="82">
        <v>0.24940000000000001</v>
      </c>
      <c r="S62" s="83">
        <v>0.25380000000000003</v>
      </c>
      <c r="T62" s="84">
        <v>0.26750000000000002</v>
      </c>
      <c r="U62" s="91">
        <v>32.709000000000003</v>
      </c>
      <c r="V62" s="95">
        <v>-3128.3</v>
      </c>
      <c r="W62" s="98">
        <v>-8.6022999999999996</v>
      </c>
      <c r="X62" s="29">
        <v>-3.9267999999999999E-11</v>
      </c>
      <c r="Y62" s="30">
        <v>1.9935000000000001E-6</v>
      </c>
      <c r="Z62" s="108">
        <v>122.282</v>
      </c>
      <c r="AA62" s="6">
        <v>0.55767</v>
      </c>
      <c r="AB62" s="7">
        <v>-1.6019999999999999E-3</v>
      </c>
      <c r="AC62" s="8">
        <v>2.1615E-6</v>
      </c>
      <c r="AD62" s="109">
        <v>0.23849999999999999</v>
      </c>
      <c r="AE62" s="29">
        <v>-5.6457999999999996E-4</v>
      </c>
      <c r="AF62" s="31">
        <v>5.2083000000000004E-7</v>
      </c>
      <c r="AG62" s="112">
        <v>54.124000000000002</v>
      </c>
      <c r="AH62" s="113">
        <v>0.42099999999999999</v>
      </c>
      <c r="AI62" s="114">
        <v>60.1</v>
      </c>
      <c r="AJ62" s="115">
        <v>1.302</v>
      </c>
      <c r="AK62" s="35"/>
      <c r="AL62" s="35"/>
      <c r="AM62" s="35"/>
      <c r="AN62" s="35"/>
      <c r="AO62" s="35"/>
      <c r="AP62" s="35"/>
      <c r="AQ62" s="35"/>
      <c r="AR62" s="35"/>
      <c r="AS62" s="35"/>
      <c r="AT62" s="35"/>
      <c r="AU62" s="35"/>
      <c r="AV62" s="35"/>
    </row>
    <row r="63" spans="1:48" x14ac:dyDescent="0.2">
      <c r="A63" s="11" t="s">
        <v>59</v>
      </c>
      <c r="B63" s="5" t="s">
        <v>50</v>
      </c>
      <c r="C63" s="5" t="s">
        <v>259</v>
      </c>
      <c r="D63" s="5">
        <v>8</v>
      </c>
      <c r="E63" s="69">
        <v>3.3305365600000001</v>
      </c>
      <c r="F63" s="26">
        <f t="shared" si="4"/>
        <v>0.49028175223941556</v>
      </c>
      <c r="G63" s="52">
        <v>112.215</v>
      </c>
      <c r="H63" s="55">
        <v>596.4</v>
      </c>
      <c r="I63" s="56">
        <v>30.26</v>
      </c>
      <c r="J63" s="61">
        <v>4.3350000000000002E-4</v>
      </c>
      <c r="K63" s="56">
        <f t="shared" si="1"/>
        <v>259.15704387990763</v>
      </c>
      <c r="L63" s="52">
        <f t="shared" si="2"/>
        <v>0.26424645217145221</v>
      </c>
      <c r="M63" s="52">
        <v>0.28899999999999998</v>
      </c>
      <c r="N63" s="74">
        <v>-3.3572000000000002</v>
      </c>
      <c r="O63" s="77">
        <v>589.36</v>
      </c>
      <c r="P63" s="79">
        <v>6.1999999999999998E-3</v>
      </c>
      <c r="Q63" s="28">
        <v>-7.4514999999999997E-6</v>
      </c>
      <c r="R63" s="82">
        <v>0.25890000000000002</v>
      </c>
      <c r="S63" s="83">
        <v>0.26369999999999999</v>
      </c>
      <c r="T63" s="84">
        <v>0.28570000000000001</v>
      </c>
      <c r="U63" s="91">
        <v>16.779</v>
      </c>
      <c r="V63" s="95">
        <v>-2420.5</v>
      </c>
      <c r="W63" s="98">
        <v>-3.0135999999999998</v>
      </c>
      <c r="X63" s="29">
        <v>0</v>
      </c>
      <c r="Y63" s="31">
        <v>0</v>
      </c>
      <c r="Z63" s="108">
        <v>146.76499999999999</v>
      </c>
      <c r="AA63" s="6">
        <v>0.43786000000000003</v>
      </c>
      <c r="AB63" s="7">
        <v>-1.1831999999999999E-3</v>
      </c>
      <c r="AC63" s="8">
        <v>1.8245000000000001E-6</v>
      </c>
      <c r="AD63" s="109">
        <v>0.18179999999999999</v>
      </c>
      <c r="AE63" s="29">
        <v>-1.0157000000000001E-4</v>
      </c>
      <c r="AF63" s="31">
        <v>-2.2846E-7</v>
      </c>
      <c r="AG63" s="112">
        <v>51.652000000000001</v>
      </c>
      <c r="AH63" s="113">
        <v>0.38</v>
      </c>
      <c r="AI63" s="114">
        <v>57.524000000000001</v>
      </c>
      <c r="AJ63" s="115">
        <v>1.2222</v>
      </c>
      <c r="AK63" s="35"/>
      <c r="AL63" s="35"/>
      <c r="AM63" s="35"/>
      <c r="AN63" s="35"/>
      <c r="AO63" s="35"/>
      <c r="AP63" s="35"/>
      <c r="AQ63" s="35"/>
      <c r="AR63" s="35"/>
      <c r="AS63" s="35"/>
      <c r="AT63" s="35"/>
      <c r="AU63" s="35"/>
      <c r="AV63" s="35"/>
    </row>
    <row r="64" spans="1:48" x14ac:dyDescent="0.2">
      <c r="A64" s="11" t="s">
        <v>60</v>
      </c>
      <c r="B64" s="5" t="s">
        <v>50</v>
      </c>
      <c r="C64" s="5" t="s">
        <v>260</v>
      </c>
      <c r="D64" s="5">
        <v>8</v>
      </c>
      <c r="E64" s="69">
        <v>3.9558128662500001</v>
      </c>
      <c r="F64" s="26">
        <f t="shared" si="4"/>
        <v>0.58232745044428358</v>
      </c>
      <c r="G64" s="52">
        <v>112.215</v>
      </c>
      <c r="H64" s="55">
        <v>582</v>
      </c>
      <c r="I64" s="56">
        <v>30.2</v>
      </c>
      <c r="J64" s="61">
        <v>4.28E-4</v>
      </c>
      <c r="K64" s="56">
        <f t="shared" si="1"/>
        <v>262.18457943925239</v>
      </c>
      <c r="L64" s="52">
        <f t="shared" si="2"/>
        <v>0.26712695102121453</v>
      </c>
      <c r="M64" s="52">
        <v>0.33</v>
      </c>
      <c r="N64" s="74">
        <v>-3.4405000000000001</v>
      </c>
      <c r="O64" s="77">
        <v>578.55999999999995</v>
      </c>
      <c r="P64" s="79">
        <v>6.7999999999999996E-3</v>
      </c>
      <c r="Q64" s="28">
        <v>-8.3664000000000001E-6</v>
      </c>
      <c r="R64" s="82">
        <v>0.26369999999999999</v>
      </c>
      <c r="S64" s="83">
        <v>0.2656</v>
      </c>
      <c r="T64" s="84">
        <v>0.28570000000000001</v>
      </c>
      <c r="U64" s="91">
        <v>11.103</v>
      </c>
      <c r="V64" s="95">
        <v>-2575.6999999999998</v>
      </c>
      <c r="W64" s="98">
        <v>0.69089999999999996</v>
      </c>
      <c r="X64" s="29">
        <v>-1.2137E-2</v>
      </c>
      <c r="Y64" s="30">
        <v>8.3378E-6</v>
      </c>
      <c r="Z64" s="108">
        <v>149.26599999999999</v>
      </c>
      <c r="AA64" s="6">
        <v>0.52568999999999999</v>
      </c>
      <c r="AB64" s="7">
        <v>-1.5767000000000001E-3</v>
      </c>
      <c r="AC64" s="8">
        <v>2.413E-6</v>
      </c>
      <c r="AD64" s="109">
        <v>0.186</v>
      </c>
      <c r="AE64" s="29">
        <v>-1.1322E-4</v>
      </c>
      <c r="AF64" s="31">
        <v>-2.3438000000000001E-7</v>
      </c>
      <c r="AG64" s="112">
        <v>50.481000000000002</v>
      </c>
      <c r="AH64" s="113">
        <v>0.36899999999999999</v>
      </c>
      <c r="AI64" s="114">
        <v>58.826000000000001</v>
      </c>
      <c r="AJ64" s="115">
        <v>1.238</v>
      </c>
      <c r="AK64" s="35"/>
      <c r="AL64" s="35"/>
      <c r="AM64" s="35"/>
      <c r="AN64" s="35"/>
      <c r="AO64" s="35"/>
      <c r="AP64" s="35"/>
      <c r="AQ64" s="35"/>
      <c r="AR64" s="35"/>
      <c r="AS64" s="35"/>
      <c r="AT64" s="35"/>
      <c r="AU64" s="35"/>
      <c r="AV64" s="35"/>
    </row>
    <row r="65" spans="1:48" x14ac:dyDescent="0.2">
      <c r="A65" s="11" t="s">
        <v>61</v>
      </c>
      <c r="B65" s="5" t="s">
        <v>50</v>
      </c>
      <c r="C65" s="5" t="s">
        <v>296</v>
      </c>
      <c r="D65" s="5">
        <v>8</v>
      </c>
      <c r="E65" s="69">
        <v>2.6814836400000002</v>
      </c>
      <c r="F65" s="26">
        <f t="shared" si="4"/>
        <v>0.39473594537587847</v>
      </c>
      <c r="G65" s="52">
        <v>112.215</v>
      </c>
      <c r="H65" s="55">
        <v>597.34</v>
      </c>
      <c r="I65" s="56">
        <v>29.57</v>
      </c>
      <c r="J65" s="61">
        <v>4.2349999999999999E-4</v>
      </c>
      <c r="K65" s="56">
        <f t="shared" si="1"/>
        <v>265.28368794326246</v>
      </c>
      <c r="L65" s="52">
        <f t="shared" si="2"/>
        <v>0.25186050749131828</v>
      </c>
      <c r="M65" s="52">
        <v>0.28999999999999998</v>
      </c>
      <c r="N65" s="74">
        <v>-2.9268999999999998</v>
      </c>
      <c r="O65" s="77">
        <v>536.96</v>
      </c>
      <c r="P65" s="79">
        <v>5.1000000000000004E-3</v>
      </c>
      <c r="Q65" s="28">
        <v>-6.6093000000000004E-6</v>
      </c>
      <c r="R65" s="82">
        <v>0.26500000000000001</v>
      </c>
      <c r="S65" s="83">
        <v>0.26790000000000003</v>
      </c>
      <c r="T65" s="84">
        <v>0.28570000000000001</v>
      </c>
      <c r="U65" s="91">
        <v>17.768000000000001</v>
      </c>
      <c r="V65" s="95">
        <v>-2493.6999999999998</v>
      </c>
      <c r="W65" s="98">
        <v>-3.3311000000000002</v>
      </c>
      <c r="X65" s="29">
        <v>0</v>
      </c>
      <c r="Y65" s="31">
        <v>0</v>
      </c>
      <c r="Z65" s="108">
        <v>144.63800000000001</v>
      </c>
      <c r="AA65" s="6">
        <v>0.43564999999999998</v>
      </c>
      <c r="AB65" s="7">
        <v>-1.1734E-3</v>
      </c>
      <c r="AC65" s="8">
        <v>1.7892E-6</v>
      </c>
      <c r="AD65" s="109">
        <v>0.18190000000000001</v>
      </c>
      <c r="AE65" s="29">
        <v>-9.9618999999999996E-5</v>
      </c>
      <c r="AF65" s="31">
        <v>-2.3069999999999999E-7</v>
      </c>
      <c r="AG65" s="112">
        <v>51.893000000000001</v>
      </c>
      <c r="AH65" s="113">
        <v>0.38</v>
      </c>
      <c r="AI65" s="114">
        <v>57.04</v>
      </c>
      <c r="AJ65" s="115">
        <v>1.2222</v>
      </c>
      <c r="AK65" s="35"/>
      <c r="AL65" s="35"/>
      <c r="AM65" s="35"/>
      <c r="AN65" s="35"/>
      <c r="AO65" s="35"/>
      <c r="AP65" s="35"/>
      <c r="AQ65" s="35"/>
      <c r="AR65" s="35"/>
      <c r="AS65" s="35"/>
      <c r="AT65" s="35"/>
      <c r="AU65" s="35"/>
      <c r="AV65" s="35"/>
    </row>
    <row r="66" spans="1:48" x14ac:dyDescent="0.2">
      <c r="A66" s="11" t="s">
        <v>62</v>
      </c>
      <c r="B66" s="5" t="s">
        <v>50</v>
      </c>
      <c r="C66" s="5" t="s">
        <v>297</v>
      </c>
      <c r="D66" s="5">
        <v>8</v>
      </c>
      <c r="E66" s="69">
        <v>2.9675746525000002</v>
      </c>
      <c r="F66" s="26">
        <f t="shared" si="4"/>
        <v>0.43685084199435265</v>
      </c>
      <c r="G66" s="52">
        <v>112.215</v>
      </c>
      <c r="H66" s="55">
        <v>586.99</v>
      </c>
      <c r="I66" s="56">
        <v>29.57</v>
      </c>
      <c r="J66" s="61">
        <v>4.2349999999999999E-4</v>
      </c>
      <c r="K66" s="56">
        <f t="shared" si="1"/>
        <v>265.28368794326246</v>
      </c>
      <c r="L66" s="52">
        <f t="shared" si="2"/>
        <v>0.25630139447837963</v>
      </c>
      <c r="M66" s="52">
        <v>0.28999999999999998</v>
      </c>
      <c r="N66" s="74">
        <v>-2.4780000000000002</v>
      </c>
      <c r="O66" s="77">
        <v>459.78</v>
      </c>
      <c r="P66" s="79">
        <v>4.1999999999999997E-3</v>
      </c>
      <c r="Q66" s="28">
        <v>-6.1618E-6</v>
      </c>
      <c r="R66" s="82">
        <v>0.26500000000000001</v>
      </c>
      <c r="S66" s="83">
        <v>0.27389999999999998</v>
      </c>
      <c r="T66" s="84">
        <v>0.28570000000000001</v>
      </c>
      <c r="U66" s="91">
        <v>17.803000000000001</v>
      </c>
      <c r="V66" s="95">
        <v>-2454.5</v>
      </c>
      <c r="W66" s="98">
        <v>-3.3500999999999999</v>
      </c>
      <c r="X66" s="29">
        <v>0</v>
      </c>
      <c r="Y66" s="31">
        <v>0</v>
      </c>
      <c r="Z66" s="108">
        <v>139.273</v>
      </c>
      <c r="AA66" s="6">
        <v>0.47765000000000002</v>
      </c>
      <c r="AB66" s="7">
        <v>-1.3016E-3</v>
      </c>
      <c r="AC66" s="8">
        <v>1.9350000000000001E-6</v>
      </c>
      <c r="AD66" s="109">
        <v>0.18029999999999999</v>
      </c>
      <c r="AE66" s="29">
        <v>-9.4531999999999995E-5</v>
      </c>
      <c r="AF66" s="31">
        <v>-2.4600000000000001E-7</v>
      </c>
      <c r="AG66" s="112">
        <v>50.951000000000001</v>
      </c>
      <c r="AH66" s="113">
        <v>0.38</v>
      </c>
      <c r="AI66" s="114">
        <v>56.692</v>
      </c>
      <c r="AJ66" s="115">
        <v>1.2222</v>
      </c>
      <c r="AK66" s="35"/>
      <c r="AL66" s="35"/>
      <c r="AM66" s="35"/>
      <c r="AN66" s="35"/>
      <c r="AO66" s="35"/>
      <c r="AP66" s="35"/>
      <c r="AQ66" s="35"/>
      <c r="AR66" s="35"/>
      <c r="AS66" s="35"/>
      <c r="AT66" s="35"/>
      <c r="AU66" s="35"/>
      <c r="AV66" s="35"/>
    </row>
    <row r="67" spans="1:48" x14ac:dyDescent="0.2">
      <c r="A67" s="11" t="s">
        <v>148</v>
      </c>
      <c r="B67" s="5" t="s">
        <v>50</v>
      </c>
      <c r="C67" s="5" t="s">
        <v>298</v>
      </c>
      <c r="D67" s="5">
        <v>8</v>
      </c>
      <c r="E67" s="69">
        <v>2.6806619999999999</v>
      </c>
      <c r="F67" s="26">
        <f t="shared" si="4"/>
        <v>0.39461499336359668</v>
      </c>
      <c r="G67" s="52">
        <v>112.215</v>
      </c>
      <c r="H67" s="56">
        <v>587.14</v>
      </c>
      <c r="I67" s="56">
        <v>29.57</v>
      </c>
      <c r="J67" s="61">
        <v>4.2349999999999999E-4</v>
      </c>
      <c r="K67" s="56">
        <f t="shared" si="1"/>
        <v>265.28368794326246</v>
      </c>
      <c r="L67" s="52">
        <f t="shared" si="2"/>
        <v>0.25623591570130477</v>
      </c>
      <c r="M67" s="52">
        <v>0.28999999999999998</v>
      </c>
      <c r="N67" s="74">
        <v>-2.4851999999999999</v>
      </c>
      <c r="O67" s="77">
        <v>460.98</v>
      </c>
      <c r="P67" s="79">
        <v>4.1999999999999997E-3</v>
      </c>
      <c r="Q67" s="28">
        <v>-6.1695E-6</v>
      </c>
      <c r="R67" s="85" t="str" cm="1">
        <f t="array" ref="R67">LEFT(INDEX($R$54:$R$77, MATCH(MIN(IF(ABS($E$54:$E$77-E67)&lt;&gt;0, ABS($E$54:$E$77-E67))), IF(ABS($E$54:$E$77-E67)&lt;&gt;0, ABS($E$54:$E$77-E67)), 0)),6)</f>
        <v>0.265</v>
      </c>
      <c r="S67" s="86" cm="1">
        <f t="array" ref="S67">INDEX($S$54:$S$77, MATCH(MIN(IF(ABS($E$54:$E$77-E67)&lt;&gt;0, ABS($E$54:$E$77-E67))), IF(ABS($E$54:$E$77-E67)&lt;&gt;0, ABS($E$54:$E$77-E67)), 0))</f>
        <v>0.26790000000000003</v>
      </c>
      <c r="T67" s="87" cm="1">
        <f t="array" ref="T67">INDEX($T$54:$T$77, MATCH(MIN(IF(ABS($E$54:$E$77-E67)&lt;&gt;0, ABS($E$54:$E$77-E67))), IF(ABS($E$54:$E$77-E67)&lt;&gt;0, ABS($E$54:$E$77-E67)), 0))</f>
        <v>0.28570000000000001</v>
      </c>
      <c r="U67" s="92">
        <v>17.379000000000001</v>
      </c>
      <c r="V67" s="96">
        <v>-2426.9</v>
      </c>
      <c r="W67" s="99">
        <v>-3.2145000000000001</v>
      </c>
      <c r="X67" s="29">
        <v>0</v>
      </c>
      <c r="Y67" s="29">
        <v>0</v>
      </c>
      <c r="Z67" s="108">
        <v>143.32</v>
      </c>
      <c r="AA67" s="6">
        <v>0.44542999999999999</v>
      </c>
      <c r="AB67" s="7">
        <v>-1.2186E-3</v>
      </c>
      <c r="AC67" s="8">
        <v>1.8667000000000001E-6</v>
      </c>
      <c r="AD67" s="109">
        <v>0.1817</v>
      </c>
      <c r="AE67" s="29">
        <v>-1.0092E-4</v>
      </c>
      <c r="AF67" s="31">
        <v>-2.3885E-7</v>
      </c>
      <c r="AG67" s="112">
        <v>50.963999999999999</v>
      </c>
      <c r="AH67" s="113">
        <v>0.38</v>
      </c>
      <c r="AI67" s="114">
        <v>56.697000000000003</v>
      </c>
      <c r="AJ67" s="115">
        <v>1.2222</v>
      </c>
      <c r="AK67" s="35"/>
      <c r="AL67" s="35"/>
      <c r="AM67" s="35"/>
      <c r="AN67" s="35"/>
      <c r="AO67" s="35"/>
      <c r="AP67" s="35"/>
      <c r="AQ67" s="35"/>
      <c r="AR67" s="35"/>
      <c r="AS67" s="35"/>
      <c r="AT67" s="35"/>
      <c r="AU67" s="35"/>
      <c r="AV67" s="35"/>
    </row>
    <row r="68" spans="1:48" x14ac:dyDescent="0.2">
      <c r="A68" s="11" t="s">
        <v>63</v>
      </c>
      <c r="B68" s="5" t="s">
        <v>50</v>
      </c>
      <c r="C68" s="5" t="s">
        <v>299</v>
      </c>
      <c r="D68" s="5">
        <v>8</v>
      </c>
      <c r="E68" s="69">
        <v>2.9675011112499998</v>
      </c>
      <c r="F68" s="26">
        <f t="shared" si="4"/>
        <v>0.43684001613123341</v>
      </c>
      <c r="G68" s="52">
        <v>112.215</v>
      </c>
      <c r="H68" s="55">
        <v>586.99</v>
      </c>
      <c r="I68" s="56">
        <v>29.57</v>
      </c>
      <c r="J68" s="61">
        <v>4.2349999999999999E-4</v>
      </c>
      <c r="K68" s="56">
        <f t="shared" si="1"/>
        <v>265.28368794326246</v>
      </c>
      <c r="L68" s="52">
        <f t="shared" si="2"/>
        <v>0.25630139447837963</v>
      </c>
      <c r="M68" s="52">
        <v>0.28999999999999998</v>
      </c>
      <c r="N68" s="74">
        <v>-2.4780000000000002</v>
      </c>
      <c r="O68" s="77">
        <v>459.78</v>
      </c>
      <c r="P68" s="79">
        <v>4.1999999999999997E-3</v>
      </c>
      <c r="Q68" s="28">
        <v>-6.1618E-6</v>
      </c>
      <c r="R68" s="82">
        <v>0.26500000000000001</v>
      </c>
      <c r="S68" s="83">
        <v>0.27389999999999998</v>
      </c>
      <c r="T68" s="84">
        <v>0.28570000000000001</v>
      </c>
      <c r="U68" s="91">
        <v>16.887</v>
      </c>
      <c r="V68" s="95">
        <v>-2393.6</v>
      </c>
      <c r="W68" s="98">
        <v>-3.0569000000000002</v>
      </c>
      <c r="X68" s="29">
        <v>0</v>
      </c>
      <c r="Y68" s="31">
        <v>0</v>
      </c>
      <c r="Z68" s="108">
        <v>143.91999999999999</v>
      </c>
      <c r="AA68" s="6">
        <v>0.44080000000000003</v>
      </c>
      <c r="AB68" s="7">
        <v>-1.2061999999999999E-3</v>
      </c>
      <c r="AC68" s="8">
        <v>1.8544E-6</v>
      </c>
      <c r="AD68" s="109">
        <v>0.18190000000000001</v>
      </c>
      <c r="AE68" s="29">
        <v>-1.0163E-4</v>
      </c>
      <c r="AF68" s="31">
        <v>-2.3822E-7</v>
      </c>
      <c r="AG68" s="112">
        <v>50.951000000000001</v>
      </c>
      <c r="AH68" s="113">
        <v>0.38</v>
      </c>
      <c r="AI68" s="114">
        <v>56.692</v>
      </c>
      <c r="AJ68" s="115">
        <v>1.2222</v>
      </c>
      <c r="AK68" s="35"/>
      <c r="AL68" s="35"/>
      <c r="AM68" s="35"/>
      <c r="AN68" s="35"/>
      <c r="AO68" s="35"/>
      <c r="AP68" s="35"/>
      <c r="AQ68" s="35"/>
      <c r="AR68" s="35"/>
      <c r="AS68" s="35"/>
      <c r="AT68" s="35"/>
      <c r="AU68" s="35"/>
      <c r="AV68" s="35"/>
    </row>
    <row r="69" spans="1:48" ht="17" customHeight="1" x14ac:dyDescent="0.2">
      <c r="A69" s="11" t="s">
        <v>64</v>
      </c>
      <c r="B69" s="5" t="s">
        <v>50</v>
      </c>
      <c r="C69" s="5" t="s">
        <v>261</v>
      </c>
      <c r="D69" s="5">
        <v>8</v>
      </c>
      <c r="E69" s="69">
        <v>1.1600885249999999</v>
      </c>
      <c r="F69" s="26">
        <f t="shared" si="4"/>
        <v>0.17077435558606779</v>
      </c>
      <c r="G69" s="52">
        <v>112.215</v>
      </c>
      <c r="H69" s="55">
        <v>603</v>
      </c>
      <c r="I69" s="56">
        <v>30</v>
      </c>
      <c r="J69" s="61">
        <v>4.2499999999999998E-4</v>
      </c>
      <c r="K69" s="56">
        <f t="shared" si="1"/>
        <v>264.03529411764703</v>
      </c>
      <c r="L69" s="52">
        <f t="shared" si="2"/>
        <v>0.25432136885933582</v>
      </c>
      <c r="M69" s="52">
        <v>0.27200000000000002</v>
      </c>
      <c r="N69" s="74">
        <v>-3.9428000000000001</v>
      </c>
      <c r="O69" s="77">
        <v>691.07</v>
      </c>
      <c r="P69" s="79">
        <v>7.1999999999999998E-3</v>
      </c>
      <c r="Q69" s="28">
        <v>-7.9215000000000003E-6</v>
      </c>
      <c r="R69" s="82">
        <v>0.2641</v>
      </c>
      <c r="S69" s="83">
        <v>0.27010000000000001</v>
      </c>
      <c r="T69" s="84">
        <v>0.2903</v>
      </c>
      <c r="U69" s="91">
        <v>33.921999999999997</v>
      </c>
      <c r="V69" s="95">
        <v>-3209.7</v>
      </c>
      <c r="W69" s="98">
        <v>-8.9914000000000005</v>
      </c>
      <c r="X69" s="29">
        <v>-3.2991999999999998E-11</v>
      </c>
      <c r="Y69" s="30">
        <v>2.0684E-6</v>
      </c>
      <c r="Z69" s="108">
        <v>129.59899999999999</v>
      </c>
      <c r="AA69" s="6">
        <v>0.55398999999999998</v>
      </c>
      <c r="AB69" s="7">
        <v>-1.5899E-3</v>
      </c>
      <c r="AC69" s="8">
        <v>2.2092E-6</v>
      </c>
      <c r="AD69" s="109">
        <v>0.18240000000000001</v>
      </c>
      <c r="AE69" s="29">
        <v>-1.0245E-4</v>
      </c>
      <c r="AF69" s="31">
        <v>-2.2172999999999999E-7</v>
      </c>
      <c r="AG69" s="112">
        <v>55.488</v>
      </c>
      <c r="AH69" s="113">
        <v>0.42599999999999999</v>
      </c>
      <c r="AI69" s="114">
        <v>56.933999999999997</v>
      </c>
      <c r="AJ69" s="115">
        <v>1.2410000000000001</v>
      </c>
      <c r="AK69" s="35"/>
      <c r="AL69" s="35"/>
      <c r="AM69" s="35"/>
      <c r="AN69" s="35"/>
      <c r="AO69" s="35"/>
      <c r="AP69" s="35"/>
      <c r="AQ69" s="35"/>
      <c r="AR69" s="35"/>
      <c r="AS69" s="35"/>
      <c r="AT69" s="35"/>
      <c r="AU69" s="35"/>
      <c r="AV69" s="35"/>
    </row>
    <row r="70" spans="1:48" x14ac:dyDescent="0.2">
      <c r="A70" s="11" t="s">
        <v>149</v>
      </c>
      <c r="B70" s="5" t="s">
        <v>50</v>
      </c>
      <c r="C70" s="5" t="s">
        <v>300</v>
      </c>
      <c r="D70" s="5">
        <v>8</v>
      </c>
      <c r="E70" s="69">
        <v>5.1359275912499998</v>
      </c>
      <c r="F70" s="26">
        <f t="shared" si="4"/>
        <v>0.75604982363947104</v>
      </c>
      <c r="G70" s="52">
        <v>112.215</v>
      </c>
      <c r="H70" s="70">
        <v>582.21</v>
      </c>
      <c r="I70" s="63" t="s">
        <v>226</v>
      </c>
      <c r="J70" s="64" t="s">
        <v>227</v>
      </c>
      <c r="K70" s="56">
        <f t="shared" si="1"/>
        <v>265.91232227488155</v>
      </c>
      <c r="L70" s="52">
        <f t="shared" si="2"/>
        <v>0.24881510336112514</v>
      </c>
      <c r="M70" s="67">
        <v>0.23300000000000001</v>
      </c>
      <c r="N70" s="74">
        <v>-0.84819999999999995</v>
      </c>
      <c r="O70" s="77">
        <v>240.43</v>
      </c>
      <c r="P70" s="79">
        <v>2.9999999999999997E-4</v>
      </c>
      <c r="Q70" s="28">
        <v>-3.1145E-6</v>
      </c>
      <c r="R70" s="82">
        <v>0.2656</v>
      </c>
      <c r="S70" s="83">
        <v>0.27550000000000002</v>
      </c>
      <c r="T70" s="83">
        <v>0.28570000000000001</v>
      </c>
      <c r="U70" s="92">
        <v>17.646999999999998</v>
      </c>
      <c r="V70" s="96">
        <v>-2395</v>
      </c>
      <c r="W70" s="99">
        <v>-3.3283999999999998</v>
      </c>
      <c r="X70" s="29">
        <v>0</v>
      </c>
      <c r="Y70" s="29">
        <v>0</v>
      </c>
      <c r="Z70" s="108">
        <v>147.846</v>
      </c>
      <c r="AA70" s="6">
        <v>0.40166000000000002</v>
      </c>
      <c r="AB70" s="7">
        <v>-1.1111999999999999E-3</v>
      </c>
      <c r="AC70" s="8">
        <v>1.7888999999999999E-6</v>
      </c>
      <c r="AD70" s="109">
        <v>0.183</v>
      </c>
      <c r="AE70" s="29">
        <v>-1.1018000000000001E-4</v>
      </c>
      <c r="AF70" s="31">
        <v>-2.3216000000000001E-7</v>
      </c>
      <c r="AG70" s="112">
        <v>49.685000000000002</v>
      </c>
      <c r="AH70" s="113">
        <v>0.38</v>
      </c>
      <c r="AI70" s="114">
        <v>55.371000000000002</v>
      </c>
      <c r="AJ70" s="115">
        <v>1.2222</v>
      </c>
      <c r="AK70" s="35"/>
      <c r="AL70" s="35"/>
      <c r="AM70" s="35"/>
      <c r="AN70" s="35"/>
      <c r="AO70" s="35"/>
      <c r="AP70" s="35"/>
      <c r="AQ70" s="35"/>
      <c r="AR70" s="35"/>
      <c r="AS70" s="35"/>
      <c r="AT70" s="35"/>
      <c r="AU70" s="35"/>
      <c r="AV70" s="35"/>
    </row>
    <row r="71" spans="1:48" x14ac:dyDescent="0.2">
      <c r="A71" s="11" t="s">
        <v>65</v>
      </c>
      <c r="B71" s="5" t="s">
        <v>50</v>
      </c>
      <c r="C71" s="5" t="s">
        <v>301</v>
      </c>
      <c r="D71" s="5">
        <v>8</v>
      </c>
      <c r="E71" s="69">
        <v>4.8502997499999996</v>
      </c>
      <c r="F71" s="26">
        <f t="shared" ref="F71:F77" si="5">(E71-MIN($E$54:$E$77))/(MAX($E$54:$E$77)-MIN($E$54:$E$77))</f>
        <v>0.71400310955193325</v>
      </c>
      <c r="G71" s="52">
        <v>112.215</v>
      </c>
      <c r="H71" s="55">
        <v>572.46</v>
      </c>
      <c r="I71" s="63" t="s">
        <v>226</v>
      </c>
      <c r="J71" s="64" t="s">
        <v>227</v>
      </c>
      <c r="K71" s="56">
        <f t="shared" si="1"/>
        <v>265.91232227488155</v>
      </c>
      <c r="L71" s="52">
        <f t="shared" si="2"/>
        <v>0.25305286190804716</v>
      </c>
      <c r="M71" s="116">
        <v>0.23300000000000001</v>
      </c>
      <c r="N71" s="74">
        <v>-0.1152</v>
      </c>
      <c r="O71" s="77">
        <v>128.72</v>
      </c>
      <c r="P71" s="79">
        <v>-1.4E-3</v>
      </c>
      <c r="Q71" s="28">
        <v>-2.0408E-6</v>
      </c>
      <c r="R71" s="82">
        <v>0.2656</v>
      </c>
      <c r="S71" s="83">
        <v>0.2782</v>
      </c>
      <c r="T71" s="84">
        <v>0.28570000000000001</v>
      </c>
      <c r="U71" s="91">
        <v>17.123999999999999</v>
      </c>
      <c r="V71" s="95">
        <v>-2322.5</v>
      </c>
      <c r="W71" s="98">
        <v>-3.1680999999999999</v>
      </c>
      <c r="X71" s="29">
        <v>0</v>
      </c>
      <c r="Y71" s="31">
        <v>0</v>
      </c>
      <c r="Z71" s="108">
        <v>142.06100000000001</v>
      </c>
      <c r="AA71" s="6">
        <v>0.44724999999999998</v>
      </c>
      <c r="AB71" s="7">
        <v>-1.2531E-3</v>
      </c>
      <c r="AC71" s="8">
        <v>1.9595E-6</v>
      </c>
      <c r="AD71" s="109">
        <v>0.18149999999999999</v>
      </c>
      <c r="AE71" s="29">
        <v>-1.0535E-4</v>
      </c>
      <c r="AF71" s="31">
        <v>-2.4727999999999997E-7</v>
      </c>
      <c r="AG71" s="112">
        <v>48.811999999999998</v>
      </c>
      <c r="AH71" s="113">
        <v>0.38</v>
      </c>
      <c r="AI71" s="114">
        <v>55.045000000000002</v>
      </c>
      <c r="AJ71" s="115">
        <v>1.2222</v>
      </c>
      <c r="AK71" s="35"/>
      <c r="AL71" s="35"/>
      <c r="AM71" s="35"/>
      <c r="AN71" s="35"/>
      <c r="AO71" s="35"/>
      <c r="AP71" s="35"/>
      <c r="AQ71" s="35"/>
      <c r="AR71" s="35"/>
      <c r="AS71" s="35"/>
      <c r="AT71" s="35"/>
      <c r="AU71" s="35"/>
      <c r="AV71" s="35"/>
    </row>
    <row r="72" spans="1:48" x14ac:dyDescent="0.2">
      <c r="A72" s="11" t="s">
        <v>66</v>
      </c>
      <c r="B72" s="5" t="s">
        <v>50</v>
      </c>
      <c r="C72" s="5" t="s">
        <v>262</v>
      </c>
      <c r="D72" s="5">
        <v>8</v>
      </c>
      <c r="E72" s="69">
        <v>6.7931073199999998</v>
      </c>
      <c r="F72" s="26">
        <f t="shared" si="5"/>
        <v>1</v>
      </c>
      <c r="G72" s="52">
        <v>112.215</v>
      </c>
      <c r="H72" s="55">
        <v>571.29999999999995</v>
      </c>
      <c r="I72" s="63" t="s">
        <v>228</v>
      </c>
      <c r="J72" s="64" t="s">
        <v>229</v>
      </c>
      <c r="K72" s="56">
        <f t="shared" si="1"/>
        <v>266.54394299287412</v>
      </c>
      <c r="L72" s="52">
        <f t="shared" si="2"/>
        <v>0.27539059531117627</v>
      </c>
      <c r="M72" s="68" t="s">
        <v>231</v>
      </c>
      <c r="N72" s="74">
        <v>-2.1698</v>
      </c>
      <c r="O72" s="77">
        <v>383.16</v>
      </c>
      <c r="P72" s="79">
        <v>3.8E-3</v>
      </c>
      <c r="Q72" s="28">
        <v>-6.0711000000000002E-6</v>
      </c>
      <c r="R72" s="82">
        <v>0.26619999999999999</v>
      </c>
      <c r="S72" s="83">
        <v>0.28120000000000001</v>
      </c>
      <c r="T72" s="84">
        <v>0.28570000000000001</v>
      </c>
      <c r="U72" s="91">
        <v>16.562999999999999</v>
      </c>
      <c r="V72" s="95">
        <v>-2260.3000000000002</v>
      </c>
      <c r="W72" s="98">
        <v>-2.9883999999999999</v>
      </c>
      <c r="X72" s="29">
        <v>0</v>
      </c>
      <c r="Y72" s="31">
        <v>0</v>
      </c>
      <c r="Z72" s="108">
        <v>145.22200000000001</v>
      </c>
      <c r="AA72" s="6">
        <v>0.37176999999999999</v>
      </c>
      <c r="AB72" s="7">
        <v>-1.0380999999999999E-3</v>
      </c>
      <c r="AC72" s="8">
        <v>1.7320000000000001E-6</v>
      </c>
      <c r="AD72" s="109">
        <v>0.18160000000000001</v>
      </c>
      <c r="AE72" s="29">
        <v>-1.1534E-4</v>
      </c>
      <c r="AF72" s="31">
        <v>-2.3211999999999999E-7</v>
      </c>
      <c r="AG72" s="112">
        <v>47.805</v>
      </c>
      <c r="AH72" s="113">
        <v>0.38</v>
      </c>
      <c r="AI72" s="114">
        <v>56.762</v>
      </c>
      <c r="AJ72" s="115">
        <v>1.2222</v>
      </c>
      <c r="AK72" s="35"/>
      <c r="AL72" s="35"/>
      <c r="AM72" s="35"/>
      <c r="AN72" s="35"/>
      <c r="AO72" s="35"/>
      <c r="AP72" s="35"/>
      <c r="AQ72" s="35"/>
      <c r="AR72" s="35"/>
      <c r="AS72" s="35"/>
      <c r="AT72" s="35"/>
      <c r="AU72" s="35"/>
      <c r="AV72" s="35"/>
    </row>
    <row r="73" spans="1:48" x14ac:dyDescent="0.2">
      <c r="A73" s="11" t="s">
        <v>67</v>
      </c>
      <c r="B73" s="5" t="s">
        <v>50</v>
      </c>
      <c r="C73" s="5" t="s">
        <v>302</v>
      </c>
      <c r="D73" s="5">
        <v>8</v>
      </c>
      <c r="E73" s="69">
        <v>4.84972125</v>
      </c>
      <c r="F73" s="26">
        <f t="shared" si="5"/>
        <v>0.71391794970199296</v>
      </c>
      <c r="G73" s="52">
        <v>112.215</v>
      </c>
      <c r="H73" s="55">
        <v>583.36</v>
      </c>
      <c r="I73" s="65" t="str" cm="1">
        <f t="array" ref="I73">LEFT(INDEX($I$54:$I$77, MATCH(MIN(IF(ABS($E$54:$E$77-E73)&lt;&gt;0, ABS($E$54:$E$77-E73))), IF(ABS($E$54:$E$77-E73)&lt;&gt;0, ABS($E$54:$E$77-E73)), 0)),5)</f>
        <v>28.54</v>
      </c>
      <c r="J73" s="66" t="str" cm="1">
        <f t="array" ref="J73">LEFT(INDEX($J$54:$J$77, MATCH(MIN(IF(ABS($E$54:$E$77-E73)&lt;&gt;0, ABS($E$54:$E$77-E73))), IF(ABS($E$54:$E$77-E73)&lt;&gt;0, ABS($E$54:$E$77-E73)), 0)),8)</f>
        <v>0.000422</v>
      </c>
      <c r="K73" s="56">
        <f t="shared" si="1"/>
        <v>265.91232227488155</v>
      </c>
      <c r="L73" s="52">
        <f t="shared" si="2"/>
        <v>0.24832460458015748</v>
      </c>
      <c r="M73" s="67" t="str" cm="1">
        <f t="array" ref="M73">LEFT(INDEX($M$54:$M$77, MATCH(MIN(IF(ABS($E$54:$E$77-E73)&lt;&gt;0, ABS($E$54:$E$77-E73))), IF(ABS($E$54:$E$77-E73)&lt;&gt;0, ABS($E$54:$E$77-E73)), 0)),5)</f>
        <v>0.233</v>
      </c>
      <c r="N73" s="74">
        <v>-0.92510000000000003</v>
      </c>
      <c r="O73" s="77">
        <v>252.39</v>
      </c>
      <c r="P73" s="79">
        <v>4.0000000000000002E-4</v>
      </c>
      <c r="Q73" s="28">
        <v>-3.2219E-6</v>
      </c>
      <c r="R73" s="82">
        <v>0.2656</v>
      </c>
      <c r="S73" s="83">
        <v>0.27260000000000001</v>
      </c>
      <c r="T73" s="84">
        <v>0.28570000000000001</v>
      </c>
      <c r="U73" s="91">
        <v>17.846</v>
      </c>
      <c r="V73" s="95">
        <v>-2412.6999999999998</v>
      </c>
      <c r="W73" s="98">
        <v>-3.3912</v>
      </c>
      <c r="X73" s="29">
        <v>0</v>
      </c>
      <c r="Y73" s="31">
        <v>0</v>
      </c>
      <c r="Z73" s="108">
        <v>143.346</v>
      </c>
      <c r="AA73" s="6">
        <v>0.43714999999999998</v>
      </c>
      <c r="AB73" s="7">
        <v>-1.2034000000000001E-3</v>
      </c>
      <c r="AC73" s="8">
        <v>1.8703999999999999E-6</v>
      </c>
      <c r="AD73" s="109">
        <v>0.18160000000000001</v>
      </c>
      <c r="AE73" s="29">
        <v>-1.0357E-4</v>
      </c>
      <c r="AF73" s="31">
        <v>-2.3836E-7</v>
      </c>
      <c r="AG73" s="112">
        <v>49.787999999999997</v>
      </c>
      <c r="AH73" s="113">
        <v>0.38</v>
      </c>
      <c r="AI73" s="114">
        <v>55.408999999999999</v>
      </c>
      <c r="AJ73" s="115">
        <v>1.2222</v>
      </c>
      <c r="AK73" s="35"/>
      <c r="AL73" s="35"/>
      <c r="AM73" s="35"/>
      <c r="AN73" s="35"/>
      <c r="AO73" s="35"/>
      <c r="AP73" s="35"/>
      <c r="AQ73" s="35"/>
      <c r="AR73" s="35"/>
      <c r="AS73" s="35"/>
      <c r="AT73" s="35"/>
      <c r="AU73" s="35"/>
      <c r="AV73" s="35"/>
    </row>
    <row r="74" spans="1:48" x14ac:dyDescent="0.2">
      <c r="A74" s="11" t="s">
        <v>68</v>
      </c>
      <c r="B74" s="5" t="s">
        <v>50</v>
      </c>
      <c r="C74" s="5" t="s">
        <v>263</v>
      </c>
      <c r="D74" s="5">
        <v>8</v>
      </c>
      <c r="E74" s="69">
        <v>6.3369718449999999</v>
      </c>
      <c r="F74" s="26">
        <f t="shared" si="5"/>
        <v>0.93285319169666825</v>
      </c>
      <c r="G74" s="52">
        <v>112.215</v>
      </c>
      <c r="H74" s="55">
        <v>584.65</v>
      </c>
      <c r="I74" s="63" t="s">
        <v>228</v>
      </c>
      <c r="J74" s="64" t="s">
        <v>229</v>
      </c>
      <c r="K74" s="56">
        <f t="shared" si="1"/>
        <v>266.54394299287412</v>
      </c>
      <c r="L74" s="52">
        <f t="shared" si="2"/>
        <v>0.2691022784593774</v>
      </c>
      <c r="M74" s="68" t="s">
        <v>232</v>
      </c>
      <c r="N74" s="74">
        <v>-2.8169</v>
      </c>
      <c r="O74" s="77">
        <v>491.58</v>
      </c>
      <c r="P74" s="79">
        <v>5.1000000000000004E-3</v>
      </c>
      <c r="Q74" s="28">
        <v>-6.7617E-6</v>
      </c>
      <c r="R74" s="82">
        <v>0.26619999999999999</v>
      </c>
      <c r="S74" s="83">
        <v>0.27279999999999999</v>
      </c>
      <c r="T74" s="84">
        <v>0.28570000000000001</v>
      </c>
      <c r="U74" s="91">
        <v>16.922000000000001</v>
      </c>
      <c r="V74" s="95">
        <v>-2334.8000000000002</v>
      </c>
      <c r="W74" s="98">
        <v>-3.0939999999999999</v>
      </c>
      <c r="X74" s="29">
        <v>0</v>
      </c>
      <c r="Y74" s="31">
        <v>0</v>
      </c>
      <c r="Z74" s="108">
        <v>119.30200000000001</v>
      </c>
      <c r="AA74" s="6">
        <v>0.57965999999999995</v>
      </c>
      <c r="AB74" s="7">
        <v>-1.5579000000000001E-3</v>
      </c>
      <c r="AC74" s="8">
        <v>2.1291999999999999E-6</v>
      </c>
      <c r="AD74" s="109">
        <v>0.17230000000000001</v>
      </c>
      <c r="AE74" s="29">
        <v>-7.0263000000000001E-5</v>
      </c>
      <c r="AF74" s="31">
        <v>-2.6927999999999999E-7</v>
      </c>
      <c r="AG74" s="112">
        <v>48.978999999999999</v>
      </c>
      <c r="AH74" s="113">
        <v>0.38</v>
      </c>
      <c r="AI74" s="114">
        <v>57.222999999999999</v>
      </c>
      <c r="AJ74" s="115">
        <v>1.2222</v>
      </c>
      <c r="AK74" s="35"/>
      <c r="AL74" s="35"/>
      <c r="AM74" s="35"/>
      <c r="AN74" s="35"/>
      <c r="AO74" s="35"/>
      <c r="AP74" s="35"/>
      <c r="AQ74" s="35"/>
      <c r="AR74" s="35"/>
      <c r="AS74" s="35"/>
      <c r="AT74" s="35"/>
      <c r="AU74" s="35"/>
      <c r="AV74" s="35"/>
    </row>
    <row r="75" spans="1:48" x14ac:dyDescent="0.2">
      <c r="A75" s="11" t="s">
        <v>69</v>
      </c>
      <c r="B75" s="5" t="s">
        <v>50</v>
      </c>
      <c r="C75" s="5" t="s">
        <v>303</v>
      </c>
      <c r="D75" s="5">
        <v>8</v>
      </c>
      <c r="E75" s="69">
        <v>5.1353430862499998</v>
      </c>
      <c r="F75" s="26">
        <f t="shared" si="5"/>
        <v>0.75596377980526297</v>
      </c>
      <c r="G75" s="52">
        <v>112.215</v>
      </c>
      <c r="H75" s="55">
        <v>571.1</v>
      </c>
      <c r="I75" s="65" t="str" cm="1">
        <f t="array" aca="1" ref="I75" ca="1">LEFT(INDEX($I$54:$I$77, MATCH(MIN(IF(ABS($E$54:$E$77-E75)&lt;&gt;0, ABS($E$54:$E$77-E75))), IF(ABS($E$54:$E$77-E75)&lt;&gt;0, ABS($E$54:$E$77-E75)), 0)),5)</f>
        <v>28.54</v>
      </c>
      <c r="J75" s="66" t="str" cm="1">
        <f t="array" aca="1" ref="J75" ca="1">LEFT(INDEX($J$54:$J$77, MATCH(MIN(IF(ABS($E$54:$E$77-E75)&lt;&gt;0, ABS($E$54:$E$77-E75))), IF(ABS($E$54:$E$77-E75)&lt;&gt;0, ABS($E$54:$E$77-E75)), 0)),8)</f>
        <v>0.000422</v>
      </c>
      <c r="K75" s="56">
        <f t="shared" ca="1" si="1"/>
        <v>265.91232227488155</v>
      </c>
      <c r="L75" s="52">
        <f t="shared" ca="1" si="2"/>
        <v>0.2536554742214685</v>
      </c>
      <c r="M75" s="67">
        <v>0.23300000000000001</v>
      </c>
      <c r="N75" s="74">
        <v>-4.0000000000000002E-4</v>
      </c>
      <c r="O75" s="77">
        <v>111.55</v>
      </c>
      <c r="P75" s="79">
        <v>-1.6000000000000001E-3</v>
      </c>
      <c r="Q75" s="28">
        <v>-1.8651999999999999E-6</v>
      </c>
      <c r="R75" s="82">
        <v>0.2656</v>
      </c>
      <c r="S75" s="83">
        <v>0.28070000000000001</v>
      </c>
      <c r="T75" s="84">
        <v>0.28570000000000001</v>
      </c>
      <c r="U75" s="91">
        <v>17.581</v>
      </c>
      <c r="V75" s="95">
        <v>-2346.9</v>
      </c>
      <c r="W75" s="98">
        <v>-3.3161</v>
      </c>
      <c r="X75" s="29">
        <v>0</v>
      </c>
      <c r="Y75" s="31">
        <v>0</v>
      </c>
      <c r="Z75" s="108">
        <v>147.846</v>
      </c>
      <c r="AA75" s="6">
        <v>0.40166000000000002</v>
      </c>
      <c r="AB75" s="7">
        <v>-1.1111999999999999E-3</v>
      </c>
      <c r="AC75" s="8">
        <v>1.7888999999999999E-6</v>
      </c>
      <c r="AD75" s="109">
        <v>0.18279999999999999</v>
      </c>
      <c r="AE75" s="29">
        <v>-1.1145999999999999E-4</v>
      </c>
      <c r="AF75" s="31">
        <v>-2.4175E-7</v>
      </c>
      <c r="AG75" s="112">
        <v>48.69</v>
      </c>
      <c r="AH75" s="113">
        <v>0.38</v>
      </c>
      <c r="AI75" s="114">
        <v>54.999000000000002</v>
      </c>
      <c r="AJ75" s="115">
        <v>1.2222</v>
      </c>
      <c r="AK75" s="35"/>
      <c r="AL75" s="35"/>
      <c r="AM75" s="35"/>
      <c r="AN75" s="35"/>
      <c r="AO75" s="35"/>
      <c r="AP75" s="35"/>
      <c r="AQ75" s="35"/>
      <c r="AR75" s="35"/>
      <c r="AS75" s="35"/>
      <c r="AT75" s="35"/>
      <c r="AU75" s="35"/>
      <c r="AV75" s="35"/>
    </row>
    <row r="76" spans="1:48" x14ac:dyDescent="0.2">
      <c r="A76" s="11" t="s">
        <v>70</v>
      </c>
      <c r="B76" s="5" t="s">
        <v>50</v>
      </c>
      <c r="C76" s="5" t="s">
        <v>304</v>
      </c>
      <c r="D76" s="5">
        <v>8</v>
      </c>
      <c r="E76" s="69">
        <v>4.8487289000000002</v>
      </c>
      <c r="F76" s="26">
        <f t="shared" si="5"/>
        <v>0.71377186780555679</v>
      </c>
      <c r="G76" s="52">
        <v>112.215</v>
      </c>
      <c r="H76" s="55">
        <v>591.57000000000005</v>
      </c>
      <c r="I76" s="63" t="s">
        <v>226</v>
      </c>
      <c r="J76" s="64" t="s">
        <v>227</v>
      </c>
      <c r="K76" s="56">
        <f t="shared" si="1"/>
        <v>265.91232227488155</v>
      </c>
      <c r="L76" s="52">
        <f t="shared" si="2"/>
        <v>0.24487827531463843</v>
      </c>
      <c r="M76" s="67" t="str" cm="1">
        <f t="array" ref="M76">LEFT(INDEX($M$54:$M$77, MATCH(MIN(IF(ABS($E$54:$E$77-E76)&lt;&gt;0, ABS($E$54:$E$77-E76))), IF(ABS($E$54:$E$77-E76)&lt;&gt;0, ABS($E$54:$E$77-E76)), 0)),5)</f>
        <v>0.233</v>
      </c>
      <c r="N76" s="74">
        <v>-1.4258</v>
      </c>
      <c r="O76" s="77">
        <v>331.59</v>
      </c>
      <c r="P76" s="79">
        <v>1.5E-3</v>
      </c>
      <c r="Q76" s="28">
        <v>-3.8927E-6</v>
      </c>
      <c r="R76" s="82">
        <v>0.2656</v>
      </c>
      <c r="S76" s="83">
        <v>0.2702</v>
      </c>
      <c r="T76" s="84">
        <v>0.28570000000000001</v>
      </c>
      <c r="U76" s="91">
        <v>17.965</v>
      </c>
      <c r="V76" s="95">
        <v>-2453.1999999999998</v>
      </c>
      <c r="W76" s="98">
        <v>-3.4226000000000001</v>
      </c>
      <c r="X76" s="29">
        <v>0</v>
      </c>
      <c r="Y76" s="31">
        <v>0</v>
      </c>
      <c r="Z76" s="108">
        <v>145.65799999999999</v>
      </c>
      <c r="AA76" s="6">
        <v>0.41944999999999999</v>
      </c>
      <c r="AB76" s="7">
        <v>-1.1397E-3</v>
      </c>
      <c r="AC76" s="8">
        <v>1.7781E-6</v>
      </c>
      <c r="AD76" s="109">
        <v>0.18210000000000001</v>
      </c>
      <c r="AE76" s="29">
        <v>-1.0382000000000001E-4</v>
      </c>
      <c r="AF76" s="31">
        <v>-2.3027999999999999E-7</v>
      </c>
      <c r="AG76" s="112">
        <v>50.524000000000001</v>
      </c>
      <c r="AH76" s="113">
        <v>0.38</v>
      </c>
      <c r="AI76" s="114">
        <v>56.954000000000001</v>
      </c>
      <c r="AJ76" s="115">
        <v>1.2222</v>
      </c>
      <c r="AK76" s="35"/>
      <c r="AL76" s="35"/>
      <c r="AM76" s="35"/>
      <c r="AN76" s="35"/>
      <c r="AO76" s="35"/>
      <c r="AP76" s="35"/>
      <c r="AQ76" s="35"/>
      <c r="AR76" s="35"/>
      <c r="AS76" s="35"/>
      <c r="AT76" s="35"/>
      <c r="AU76" s="35"/>
      <c r="AV76" s="35"/>
    </row>
    <row r="77" spans="1:48" x14ac:dyDescent="0.2">
      <c r="A77" s="11" t="s">
        <v>71</v>
      </c>
      <c r="B77" s="5" t="s">
        <v>50</v>
      </c>
      <c r="C77" s="5" t="s">
        <v>364</v>
      </c>
      <c r="D77" s="5">
        <v>8</v>
      </c>
      <c r="E77" s="69">
        <v>5.1355599187500003</v>
      </c>
      <c r="F77" s="26">
        <f t="shared" si="5"/>
        <v>0.75599569929214672</v>
      </c>
      <c r="G77" s="52">
        <v>112.215</v>
      </c>
      <c r="H77" s="55">
        <v>582.61</v>
      </c>
      <c r="I77" s="65" t="str" cm="1">
        <f t="array" aca="1" ref="I77" ca="1">LEFT(INDEX($I$54:$I$77, MATCH(MIN(IF(ABS($E$54:$E$77-E77)&lt;&gt;0, ABS($E$54:$E$77-E77))), IF(ABS($E$54:$E$77-E77)&lt;&gt;0, ABS($E$54:$E$77-E77)), 0)),5)</f>
        <v>28.54</v>
      </c>
      <c r="J77" s="66" t="str" cm="1">
        <f t="array" aca="1" ref="J77" ca="1">LEFT(INDEX($J$54:$J$77, MATCH(MIN(IF(ABS($E$54:$E$77-E77)&lt;&gt;0, ABS($E$54:$E$77-E77))), IF(ABS($E$54:$E$77-E77)&lt;&gt;0, ABS($E$54:$E$77-E77)), 0)),8)</f>
        <v>0.000422</v>
      </c>
      <c r="K77" s="56">
        <f t="shared" ca="1" si="1"/>
        <v>265.91232227488155</v>
      </c>
      <c r="L77" s="52">
        <f t="shared" ca="1" si="2"/>
        <v>0.24864427546365611</v>
      </c>
      <c r="M77" s="67" t="str" cm="1">
        <f t="array" ref="M77">LEFT(INDEX($M$54:$M$77, MATCH(MIN(IF(ABS($E$54:$E$77-E77)&lt;&gt;0, ABS($E$54:$E$77-E77))), IF(ABS($E$54:$E$77-E77)&lt;&gt;0, ABS($E$54:$E$77-E77)), 0)),5)</f>
        <v>0.233</v>
      </c>
      <c r="N77" s="74">
        <v>-0.87529999999999997</v>
      </c>
      <c r="O77" s="77">
        <v>244.64</v>
      </c>
      <c r="P77" s="79">
        <v>2.9999999999999997E-4</v>
      </c>
      <c r="Q77" s="28">
        <v>-3.1524999999999999E-6</v>
      </c>
      <c r="R77" s="82">
        <v>0.2656</v>
      </c>
      <c r="S77" s="83">
        <v>0.2717</v>
      </c>
      <c r="T77" s="84">
        <v>0.28570000000000001</v>
      </c>
      <c r="U77" s="91">
        <v>18.204999999999998</v>
      </c>
      <c r="V77" s="95">
        <v>-2433.4</v>
      </c>
      <c r="W77" s="98">
        <v>-3.5068999999999999</v>
      </c>
      <c r="X77" s="29">
        <v>0</v>
      </c>
      <c r="Y77" s="31">
        <v>0</v>
      </c>
      <c r="Z77" s="108">
        <v>147.08199999999999</v>
      </c>
      <c r="AA77" s="6">
        <v>0.40709000000000001</v>
      </c>
      <c r="AB77" s="7">
        <v>-1.1280000000000001E-3</v>
      </c>
      <c r="AC77" s="8">
        <v>1.8137999999999999E-6</v>
      </c>
      <c r="AD77" s="109">
        <v>0.183</v>
      </c>
      <c r="AE77" s="29">
        <v>-1.1004E-4</v>
      </c>
      <c r="AF77" s="31">
        <v>-2.3193000000000001E-7</v>
      </c>
      <c r="AG77" s="112">
        <v>49.720999999999997</v>
      </c>
      <c r="AH77" s="113">
        <v>0.38</v>
      </c>
      <c r="AI77" s="114">
        <v>55.384</v>
      </c>
      <c r="AJ77" s="115">
        <v>1.2222</v>
      </c>
      <c r="AK77" s="35"/>
      <c r="AL77" s="35"/>
      <c r="AM77" s="35"/>
      <c r="AN77" s="35"/>
      <c r="AO77" s="35"/>
      <c r="AP77" s="35"/>
      <c r="AQ77" s="35"/>
      <c r="AR77" s="35"/>
      <c r="AS77" s="35"/>
      <c r="AT77" s="35"/>
      <c r="AU77" s="35"/>
      <c r="AV77" s="35"/>
    </row>
    <row r="78" spans="1:48" x14ac:dyDescent="0.2">
      <c r="A78" s="12" t="s">
        <v>72</v>
      </c>
      <c r="B78" s="5" t="s">
        <v>73</v>
      </c>
      <c r="C78" s="5" t="s">
        <v>135</v>
      </c>
      <c r="D78" s="5">
        <v>9</v>
      </c>
      <c r="E78" s="69">
        <v>0</v>
      </c>
      <c r="F78" s="26">
        <f t="shared" ref="F78:F109" si="6">(E78-MIN($E$78:$E$152))/(MAX($E$78:$E$152)-MIN($E$78:$E$152))</f>
        <v>0</v>
      </c>
      <c r="G78" s="52">
        <v>126.242</v>
      </c>
      <c r="H78" s="55">
        <v>682</v>
      </c>
      <c r="I78" s="56">
        <v>33.44</v>
      </c>
      <c r="J78" s="61">
        <v>4.57E-4</v>
      </c>
      <c r="K78" s="56">
        <f t="shared" si="1"/>
        <v>276.24070021881846</v>
      </c>
      <c r="L78" s="52">
        <f t="shared" si="2"/>
        <v>0.26951818541597145</v>
      </c>
      <c r="M78" s="52">
        <v>0.28100000000000003</v>
      </c>
      <c r="N78" s="74">
        <v>-1.0602</v>
      </c>
      <c r="O78" s="77">
        <v>470.47</v>
      </c>
      <c r="P78" s="79">
        <v>-4.0000000000000002E-4</v>
      </c>
      <c r="Q78" s="28">
        <v>-1.4317E-6</v>
      </c>
      <c r="R78" s="82">
        <v>0.2762</v>
      </c>
      <c r="S78" s="83">
        <v>0.26729999999999998</v>
      </c>
      <c r="T78" s="84">
        <v>0.28570000000000001</v>
      </c>
      <c r="U78" s="91">
        <v>17.766999999999999</v>
      </c>
      <c r="V78" s="95">
        <v>-2810.2</v>
      </c>
      <c r="W78" s="98">
        <v>-3.2633000000000001</v>
      </c>
      <c r="X78" s="29">
        <v>0</v>
      </c>
      <c r="Y78" s="31">
        <v>0</v>
      </c>
      <c r="Z78" s="108">
        <v>142.58000000000001</v>
      </c>
      <c r="AA78" s="6">
        <v>0.45107999999999998</v>
      </c>
      <c r="AB78" s="7">
        <v>-1.0392000000000001E-3</v>
      </c>
      <c r="AC78" s="8">
        <v>1.3166E-6</v>
      </c>
      <c r="AD78" s="109">
        <v>0.16239999999999999</v>
      </c>
      <c r="AE78" s="29">
        <v>-5.4706000000000001E-5</v>
      </c>
      <c r="AF78" s="31">
        <v>-1.9095E-7</v>
      </c>
      <c r="AG78" s="112">
        <v>58.515999999999998</v>
      </c>
      <c r="AH78" s="113">
        <v>0.38</v>
      </c>
      <c r="AI78" s="114">
        <v>62.682000000000002</v>
      </c>
      <c r="AJ78" s="115">
        <v>1.2222</v>
      </c>
      <c r="AK78" s="35"/>
      <c r="AL78" s="35"/>
      <c r="AM78" s="35"/>
      <c r="AN78" s="35"/>
      <c r="AO78" s="35"/>
      <c r="AP78" s="35"/>
      <c r="AQ78" s="35"/>
      <c r="AR78" s="35"/>
      <c r="AS78" s="35"/>
      <c r="AT78" s="35"/>
      <c r="AU78" s="35"/>
      <c r="AV78" s="35"/>
    </row>
    <row r="79" spans="1:48" x14ac:dyDescent="0.2">
      <c r="A79" s="12" t="s">
        <v>74</v>
      </c>
      <c r="B79" s="5" t="s">
        <v>73</v>
      </c>
      <c r="C79" s="5" t="s">
        <v>264</v>
      </c>
      <c r="D79" s="5">
        <v>9</v>
      </c>
      <c r="E79" s="69">
        <v>6.7150163875000004</v>
      </c>
      <c r="F79" s="26">
        <f t="shared" si="6"/>
        <v>0.67383908241877255</v>
      </c>
      <c r="G79" s="52">
        <v>126.242</v>
      </c>
      <c r="H79" s="55">
        <v>622.55999999999995</v>
      </c>
      <c r="I79" s="56">
        <v>28.2</v>
      </c>
      <c r="J79" s="61">
        <v>4.6949999999999997E-4</v>
      </c>
      <c r="K79" s="56">
        <f t="shared" si="1"/>
        <v>269.17270788912577</v>
      </c>
      <c r="L79" s="52">
        <f t="shared" si="2"/>
        <v>0.25552342344029982</v>
      </c>
      <c r="M79" s="52">
        <v>0.27100000000000002</v>
      </c>
      <c r="N79" s="74">
        <v>-3.7698999999999998</v>
      </c>
      <c r="O79" s="77">
        <v>693.45</v>
      </c>
      <c r="P79" s="79">
        <v>6.6E-3</v>
      </c>
      <c r="Q79" s="28">
        <v>-7.1573000000000001E-6</v>
      </c>
      <c r="R79" s="82">
        <v>0.26889999999999997</v>
      </c>
      <c r="S79" s="83">
        <v>0.2742</v>
      </c>
      <c r="T79" s="84">
        <v>0.28570000000000001</v>
      </c>
      <c r="U79" s="91">
        <v>18.73</v>
      </c>
      <c r="V79" s="95">
        <v>-2638.5</v>
      </c>
      <c r="W79" s="98">
        <v>-3.6385000000000001</v>
      </c>
      <c r="X79" s="29">
        <v>0</v>
      </c>
      <c r="Y79" s="31">
        <v>0</v>
      </c>
      <c r="Z79" s="108">
        <v>162.203</v>
      </c>
      <c r="AA79" s="6">
        <v>0.43239</v>
      </c>
      <c r="AB79" s="7">
        <v>-1.1062999999999999E-3</v>
      </c>
      <c r="AC79" s="8">
        <v>1.6474000000000001E-6</v>
      </c>
      <c r="AD79" s="109">
        <v>0.1711</v>
      </c>
      <c r="AE79" s="29">
        <v>-8.8164999999999994E-5</v>
      </c>
      <c r="AF79" s="31">
        <v>-2.0297E-7</v>
      </c>
      <c r="AG79" s="112">
        <v>53.606999999999999</v>
      </c>
      <c r="AH79" s="113">
        <v>0.38</v>
      </c>
      <c r="AI79" s="114">
        <v>56.5</v>
      </c>
      <c r="AJ79" s="115">
        <v>1.2222</v>
      </c>
      <c r="AK79" s="35"/>
      <c r="AL79" s="35"/>
      <c r="AM79" s="35"/>
      <c r="AN79" s="35"/>
      <c r="AO79" s="35"/>
      <c r="AP79" s="35"/>
      <c r="AQ79" s="35"/>
      <c r="AR79" s="35"/>
      <c r="AS79" s="35"/>
      <c r="AT79" s="35"/>
      <c r="AU79" s="35"/>
      <c r="AV79" s="35"/>
    </row>
    <row r="80" spans="1:48" x14ac:dyDescent="0.2">
      <c r="A80" s="12" t="s">
        <v>75</v>
      </c>
      <c r="B80" s="5" t="s">
        <v>73</v>
      </c>
      <c r="C80" s="5" t="s">
        <v>265</v>
      </c>
      <c r="D80" s="5">
        <v>9</v>
      </c>
      <c r="E80" s="69">
        <v>1.15984512</v>
      </c>
      <c r="F80" s="26">
        <f t="shared" si="6"/>
        <v>0.11638824483936391</v>
      </c>
      <c r="G80" s="52">
        <v>126.242</v>
      </c>
      <c r="H80" s="55">
        <v>625.04999999999995</v>
      </c>
      <c r="I80" s="56">
        <v>27.64</v>
      </c>
      <c r="J80" s="61">
        <v>4.8050000000000002E-4</v>
      </c>
      <c r="K80" s="56">
        <f t="shared" si="1"/>
        <v>263.00416666666666</v>
      </c>
      <c r="L80" s="52">
        <f t="shared" si="2"/>
        <v>0.25530216423196134</v>
      </c>
      <c r="M80" s="52">
        <v>0.35399999999999998</v>
      </c>
      <c r="N80" s="74">
        <v>-4.7446000000000002</v>
      </c>
      <c r="O80" s="77">
        <v>824.5</v>
      </c>
      <c r="P80" s="79">
        <v>9.1000000000000004E-3</v>
      </c>
      <c r="Q80" s="28">
        <v>-9.2133000000000004E-6</v>
      </c>
      <c r="R80" s="82">
        <v>0.25159999999999999</v>
      </c>
      <c r="S80" s="83">
        <v>0.25600000000000001</v>
      </c>
      <c r="T80" s="84">
        <v>0.28570000000000001</v>
      </c>
      <c r="U80" s="91">
        <v>63.593000000000004</v>
      </c>
      <c r="V80" s="95">
        <v>-4322.6000000000004</v>
      </c>
      <c r="W80" s="98">
        <v>-20.646000000000001</v>
      </c>
      <c r="X80" s="29">
        <v>8.7542999999999996E-3</v>
      </c>
      <c r="Y80" s="30">
        <v>-2.7299000000000001E-7</v>
      </c>
      <c r="Z80" s="108">
        <v>237.66300000000001</v>
      </c>
      <c r="AA80" s="6">
        <v>-0.15962000000000001</v>
      </c>
      <c r="AB80" s="7">
        <v>7.2062999999999999E-4</v>
      </c>
      <c r="AC80" s="31">
        <v>0</v>
      </c>
      <c r="AD80" s="109">
        <v>0.1759</v>
      </c>
      <c r="AE80" s="29">
        <v>-9.0017000000000002E-5</v>
      </c>
      <c r="AF80" s="31">
        <v>-2.0778E-7</v>
      </c>
      <c r="AG80" s="112">
        <v>56.572000000000003</v>
      </c>
      <c r="AH80" s="113">
        <v>0.38</v>
      </c>
      <c r="AI80" s="114">
        <v>56.07</v>
      </c>
      <c r="AJ80" s="115">
        <v>1.2222</v>
      </c>
      <c r="AK80" s="35"/>
      <c r="AL80" s="35"/>
      <c r="AM80" s="35"/>
      <c r="AN80" s="35"/>
      <c r="AO80" s="35"/>
      <c r="AP80" s="35"/>
      <c r="AQ80" s="35"/>
      <c r="AR80" s="35"/>
      <c r="AS80" s="35"/>
      <c r="AT80" s="35"/>
      <c r="AU80" s="35"/>
      <c r="AV80" s="35"/>
    </row>
    <row r="81" spans="1:48" x14ac:dyDescent="0.2">
      <c r="A81" s="12" t="s">
        <v>76</v>
      </c>
      <c r="B81" s="5" t="s">
        <v>73</v>
      </c>
      <c r="C81" s="5" t="s">
        <v>266</v>
      </c>
      <c r="D81" s="5">
        <v>9</v>
      </c>
      <c r="E81" s="69">
        <v>2.681441875</v>
      </c>
      <c r="F81" s="26">
        <f t="shared" si="6"/>
        <v>0.26907757603879306</v>
      </c>
      <c r="G81" s="52">
        <v>126.242</v>
      </c>
      <c r="H81" s="55">
        <v>626.59</v>
      </c>
      <c r="I81" s="56">
        <v>27.88</v>
      </c>
      <c r="J81" s="61">
        <v>4.7449999999999999E-4</v>
      </c>
      <c r="K81" s="56">
        <f t="shared" si="1"/>
        <v>266.33333333333337</v>
      </c>
      <c r="L81" s="52">
        <f t="shared" si="2"/>
        <v>0.25367497801493888</v>
      </c>
      <c r="M81" s="52">
        <v>0.33</v>
      </c>
      <c r="N81" s="74">
        <v>-4.5651000000000002</v>
      </c>
      <c r="O81" s="77">
        <v>813.74</v>
      </c>
      <c r="P81" s="79">
        <v>8.5000000000000006E-3</v>
      </c>
      <c r="Q81" s="28">
        <v>-8.6169000000000005E-6</v>
      </c>
      <c r="R81" s="82">
        <v>0.2661</v>
      </c>
      <c r="S81" s="83">
        <v>0.26989999999999997</v>
      </c>
      <c r="T81" s="84">
        <v>0.28570000000000001</v>
      </c>
      <c r="U81" s="91">
        <v>19.36</v>
      </c>
      <c r="V81" s="95">
        <v>-2783.3</v>
      </c>
      <c r="W81" s="98">
        <v>-3.7888999999999999</v>
      </c>
      <c r="X81" s="29">
        <v>0</v>
      </c>
      <c r="Y81" s="31">
        <v>0</v>
      </c>
      <c r="Z81" s="108">
        <v>163.47499999999999</v>
      </c>
      <c r="AA81" s="6">
        <v>0.48476999999999998</v>
      </c>
      <c r="AB81" s="7">
        <v>-1.2507E-3</v>
      </c>
      <c r="AC81" s="8">
        <v>1.7991000000000001E-6</v>
      </c>
      <c r="AD81" s="109">
        <v>0.1731</v>
      </c>
      <c r="AE81" s="29">
        <v>-8.4107E-5</v>
      </c>
      <c r="AF81" s="31">
        <v>-2.0970999999999999E-7</v>
      </c>
      <c r="AG81" s="112">
        <v>56.633000000000003</v>
      </c>
      <c r="AH81" s="113">
        <v>0.38</v>
      </c>
      <c r="AI81" s="114">
        <v>57.264000000000003</v>
      </c>
      <c r="AJ81" s="115">
        <v>1.2222</v>
      </c>
      <c r="AK81" s="35"/>
      <c r="AL81" s="35"/>
      <c r="AM81" s="35"/>
      <c r="AN81" s="35"/>
      <c r="AO81" s="35"/>
      <c r="AP81" s="35"/>
      <c r="AQ81" s="35"/>
      <c r="AR81" s="35"/>
      <c r="AS81" s="35"/>
      <c r="AT81" s="35"/>
      <c r="AU81" s="35"/>
      <c r="AV81" s="35"/>
    </row>
    <row r="82" spans="1:48" x14ac:dyDescent="0.2">
      <c r="A82" s="12" t="s">
        <v>77</v>
      </c>
      <c r="B82" s="5" t="s">
        <v>73</v>
      </c>
      <c r="C82" s="5" t="s">
        <v>305</v>
      </c>
      <c r="D82" s="5">
        <v>9</v>
      </c>
      <c r="E82" s="69">
        <v>2.03532440125</v>
      </c>
      <c r="F82" s="26">
        <f t="shared" si="6"/>
        <v>0.20424092032237612</v>
      </c>
      <c r="G82" s="52">
        <v>126.242</v>
      </c>
      <c r="H82" s="55">
        <v>622.30999999999995</v>
      </c>
      <c r="I82" s="56">
        <v>26.71</v>
      </c>
      <c r="J82" s="61">
        <v>4.795E-4</v>
      </c>
      <c r="K82" s="56">
        <f t="shared" si="1"/>
        <v>263.55323590814203</v>
      </c>
      <c r="L82" s="52">
        <f t="shared" si="2"/>
        <v>0.24728205515277221</v>
      </c>
      <c r="M82" s="52">
        <v>0.33400000000000002</v>
      </c>
      <c r="N82" s="74">
        <v>-3.8488000000000002</v>
      </c>
      <c r="O82" s="77">
        <v>715.65</v>
      </c>
      <c r="P82" s="79">
        <v>6.7999999999999996E-3</v>
      </c>
      <c r="Q82" s="28">
        <v>-7.4893999999999998E-6</v>
      </c>
      <c r="R82" s="82">
        <v>0.26329999999999998</v>
      </c>
      <c r="S82" s="83">
        <v>0.26529999999999998</v>
      </c>
      <c r="T82" s="84">
        <v>0.28570000000000001</v>
      </c>
      <c r="U82" s="91">
        <v>18.603999999999999</v>
      </c>
      <c r="V82" s="95">
        <v>-2719.9</v>
      </c>
      <c r="W82" s="98">
        <v>-3.5546000000000002</v>
      </c>
      <c r="X82" s="29">
        <v>0</v>
      </c>
      <c r="Y82" s="31">
        <v>0</v>
      </c>
      <c r="Z82" s="108">
        <v>169.57400000000001</v>
      </c>
      <c r="AA82" s="6">
        <v>0.45988000000000001</v>
      </c>
      <c r="AB82" s="7">
        <v>-1.2118000000000001E-3</v>
      </c>
      <c r="AC82" s="8">
        <v>1.8215000000000001E-6</v>
      </c>
      <c r="AD82" s="109">
        <v>0.17599999999999999</v>
      </c>
      <c r="AE82" s="29">
        <v>-9.3299000000000002E-5</v>
      </c>
      <c r="AF82" s="31">
        <v>-2.0554E-7</v>
      </c>
      <c r="AG82" s="112">
        <v>56.622999999999998</v>
      </c>
      <c r="AH82" s="113">
        <v>0.38</v>
      </c>
      <c r="AI82" s="114">
        <v>56.238</v>
      </c>
      <c r="AJ82" s="115">
        <v>1.2222</v>
      </c>
      <c r="AK82" s="35"/>
      <c r="AL82" s="35"/>
      <c r="AM82" s="35"/>
      <c r="AN82" s="35"/>
      <c r="AO82" s="35"/>
      <c r="AP82" s="35"/>
      <c r="AQ82" s="35"/>
      <c r="AR82" s="35"/>
      <c r="AS82" s="35"/>
      <c r="AT82" s="35"/>
      <c r="AU82" s="35"/>
      <c r="AV82" s="35"/>
    </row>
    <row r="83" spans="1:48" x14ac:dyDescent="0.2">
      <c r="A83" s="12" t="s">
        <v>78</v>
      </c>
      <c r="B83" s="5" t="s">
        <v>73</v>
      </c>
      <c r="C83" s="5" t="s">
        <v>267</v>
      </c>
      <c r="D83" s="5">
        <v>9</v>
      </c>
      <c r="E83" s="69">
        <v>2.9225222149999999</v>
      </c>
      <c r="F83" s="26">
        <f t="shared" si="6"/>
        <v>0.29326952818312513</v>
      </c>
      <c r="G83" s="52">
        <v>126.242</v>
      </c>
      <c r="H83" s="55">
        <v>624.66999999999996</v>
      </c>
      <c r="I83" s="56">
        <v>29</v>
      </c>
      <c r="J83" s="61">
        <v>4.7849999999999998E-4</v>
      </c>
      <c r="K83" s="56">
        <f t="shared" si="1"/>
        <v>264.10460251046027</v>
      </c>
      <c r="L83" s="52">
        <f t="shared" si="2"/>
        <v>0.2669102333903362</v>
      </c>
      <c r="M83" s="52">
        <v>0.32100000000000001</v>
      </c>
      <c r="N83" s="74">
        <v>-5.0190000000000001</v>
      </c>
      <c r="O83" s="77">
        <v>865.84</v>
      </c>
      <c r="P83" s="79">
        <v>9.5999999999999992E-3</v>
      </c>
      <c r="Q83" s="28">
        <v>-9.4761999999999992E-6</v>
      </c>
      <c r="R83" s="82">
        <v>0.26379999999999998</v>
      </c>
      <c r="S83" s="83">
        <v>0.2636</v>
      </c>
      <c r="T83" s="84">
        <v>0.28570000000000001</v>
      </c>
      <c r="U83" s="91">
        <v>18.515000000000001</v>
      </c>
      <c r="V83" s="95">
        <v>-2700.3</v>
      </c>
      <c r="W83" s="98">
        <v>-3.5249999999999999</v>
      </c>
      <c r="X83" s="29">
        <v>0</v>
      </c>
      <c r="Y83" s="31">
        <v>0</v>
      </c>
      <c r="Z83" s="108">
        <v>161.89699999999999</v>
      </c>
      <c r="AA83" s="6">
        <v>0.46920000000000001</v>
      </c>
      <c r="AB83" s="7">
        <v>-1.2149000000000001E-3</v>
      </c>
      <c r="AC83" s="8">
        <v>1.7832999999999999E-6</v>
      </c>
      <c r="AD83" s="109">
        <v>0.17269999999999999</v>
      </c>
      <c r="AE83" s="29">
        <v>-8.7318000000000007E-5</v>
      </c>
      <c r="AF83" s="31">
        <v>-2.0576000000000001E-7</v>
      </c>
      <c r="AG83" s="112">
        <v>55.844999999999999</v>
      </c>
      <c r="AH83" s="113">
        <v>0.38</v>
      </c>
      <c r="AI83" s="114">
        <v>57.959000000000003</v>
      </c>
      <c r="AJ83" s="115">
        <v>1.2222</v>
      </c>
      <c r="AK83" s="35"/>
      <c r="AL83" s="35"/>
      <c r="AM83" s="35"/>
      <c r="AN83" s="35"/>
      <c r="AO83" s="35"/>
      <c r="AP83" s="35"/>
      <c r="AQ83" s="35"/>
      <c r="AR83" s="35"/>
      <c r="AS83" s="35"/>
      <c r="AT83" s="35"/>
      <c r="AU83" s="35"/>
      <c r="AV83" s="35"/>
    </row>
    <row r="84" spans="1:48" x14ac:dyDescent="0.2">
      <c r="A84" s="12" t="s">
        <v>79</v>
      </c>
      <c r="B84" s="5" t="s">
        <v>73</v>
      </c>
      <c r="C84" s="5" t="s">
        <v>306</v>
      </c>
      <c r="D84" s="5">
        <v>9</v>
      </c>
      <c r="E84" s="69">
        <v>2.32189089375</v>
      </c>
      <c r="F84" s="26">
        <f t="shared" si="6"/>
        <v>0.23299732108375343</v>
      </c>
      <c r="G84" s="52">
        <v>126.242</v>
      </c>
      <c r="H84" s="55">
        <v>617.12</v>
      </c>
      <c r="I84" s="56">
        <v>26.71</v>
      </c>
      <c r="J84" s="61">
        <v>4.795E-4</v>
      </c>
      <c r="K84" s="56">
        <f t="shared" si="1"/>
        <v>263.55323590814203</v>
      </c>
      <c r="L84" s="52">
        <f t="shared" si="2"/>
        <v>0.24936170557123682</v>
      </c>
      <c r="M84" s="52">
        <v>0.33400000000000002</v>
      </c>
      <c r="N84" s="74">
        <v>-3.7079</v>
      </c>
      <c r="O84" s="77">
        <v>687.88</v>
      </c>
      <c r="P84" s="79">
        <v>6.6E-3</v>
      </c>
      <c r="Q84" s="28">
        <v>-7.4158999999999996E-6</v>
      </c>
      <c r="R84" s="82">
        <v>0.26329999999999998</v>
      </c>
      <c r="S84" s="83">
        <v>0.26779999999999998</v>
      </c>
      <c r="T84" s="84">
        <v>0.28570000000000001</v>
      </c>
      <c r="U84" s="91">
        <v>18.559000000000001</v>
      </c>
      <c r="V84" s="95">
        <v>-2694.9</v>
      </c>
      <c r="W84" s="98">
        <v>-3.5445000000000002</v>
      </c>
      <c r="X84" s="29">
        <v>0</v>
      </c>
      <c r="Y84" s="31">
        <v>0</v>
      </c>
      <c r="Z84" s="108">
        <v>158.702</v>
      </c>
      <c r="AA84" s="6">
        <v>0.54225999999999996</v>
      </c>
      <c r="AB84" s="7">
        <v>-1.4256E-3</v>
      </c>
      <c r="AC84" s="8">
        <v>2.013E-6</v>
      </c>
      <c r="AD84" s="109">
        <v>0.1729</v>
      </c>
      <c r="AE84" s="29">
        <v>-8.1185000000000003E-5</v>
      </c>
      <c r="AF84" s="31">
        <v>-2.2212000000000001E-7</v>
      </c>
      <c r="AG84" s="112">
        <v>56.128</v>
      </c>
      <c r="AH84" s="113">
        <v>0.38</v>
      </c>
      <c r="AI84" s="114">
        <v>56.073</v>
      </c>
      <c r="AJ84" s="115">
        <v>1.2222</v>
      </c>
      <c r="AK84" s="35"/>
      <c r="AL84" s="35"/>
      <c r="AM84" s="35"/>
      <c r="AN84" s="35"/>
      <c r="AO84" s="35"/>
      <c r="AP84" s="35"/>
      <c r="AQ84" s="35"/>
      <c r="AR84" s="35"/>
      <c r="AS84" s="35"/>
      <c r="AT84" s="35"/>
      <c r="AU84" s="35"/>
      <c r="AV84" s="35"/>
    </row>
    <row r="85" spans="1:48" x14ac:dyDescent="0.2">
      <c r="A85" s="12" t="s">
        <v>80</v>
      </c>
      <c r="B85" s="5" t="s">
        <v>73</v>
      </c>
      <c r="C85" s="5" t="s">
        <v>307</v>
      </c>
      <c r="D85" s="5">
        <v>9</v>
      </c>
      <c r="E85" s="69">
        <v>2.0325741937499999</v>
      </c>
      <c r="F85" s="26">
        <f t="shared" si="6"/>
        <v>0.20396494224707148</v>
      </c>
      <c r="G85" s="52">
        <v>126.242</v>
      </c>
      <c r="H85" s="55">
        <v>613.51</v>
      </c>
      <c r="I85" s="56">
        <v>26.71</v>
      </c>
      <c r="J85" s="61">
        <v>4.795E-4</v>
      </c>
      <c r="K85" s="56">
        <f t="shared" si="1"/>
        <v>263.55323590814203</v>
      </c>
      <c r="L85" s="52">
        <f t="shared" si="2"/>
        <v>0.25082899340209885</v>
      </c>
      <c r="M85" s="52">
        <v>0.33400000000000002</v>
      </c>
      <c r="N85" s="74">
        <v>-3.6019000000000001</v>
      </c>
      <c r="O85" s="77">
        <v>667.5</v>
      </c>
      <c r="P85" s="79">
        <v>6.4000000000000003E-3</v>
      </c>
      <c r="Q85" s="28">
        <v>-7.3513999999999996E-6</v>
      </c>
      <c r="R85" s="82">
        <v>0.26329999999999998</v>
      </c>
      <c r="S85" s="83">
        <v>0.26919999999999999</v>
      </c>
      <c r="T85" s="84">
        <v>0.28570000000000001</v>
      </c>
      <c r="U85" s="91">
        <v>18.527999999999999</v>
      </c>
      <c r="V85" s="95">
        <v>-2677.6</v>
      </c>
      <c r="W85" s="98">
        <v>-3.5373000000000001</v>
      </c>
      <c r="X85" s="29">
        <v>0</v>
      </c>
      <c r="Y85" s="31">
        <v>0</v>
      </c>
      <c r="Z85" s="108">
        <v>162.94200000000001</v>
      </c>
      <c r="AA85" s="6">
        <v>0.50951999999999997</v>
      </c>
      <c r="AB85" s="7">
        <v>-1.3523000000000001E-3</v>
      </c>
      <c r="AC85" s="8">
        <v>1.9692999999999999E-6</v>
      </c>
      <c r="AD85" s="109">
        <v>0.17430000000000001</v>
      </c>
      <c r="AE85" s="29">
        <v>-8.7585999999999998E-5</v>
      </c>
      <c r="AF85" s="31">
        <v>-2.1847E-7</v>
      </c>
      <c r="AG85" s="112">
        <v>55.783999999999999</v>
      </c>
      <c r="AH85" s="113">
        <v>0.38</v>
      </c>
      <c r="AI85" s="114">
        <v>55.957999999999998</v>
      </c>
      <c r="AJ85" s="115">
        <v>1.2222</v>
      </c>
      <c r="AK85" s="35"/>
      <c r="AL85" s="35"/>
      <c r="AM85" s="35"/>
      <c r="AN85" s="35"/>
      <c r="AO85" s="35"/>
      <c r="AP85" s="35"/>
      <c r="AQ85" s="35"/>
      <c r="AR85" s="35"/>
      <c r="AS85" s="35"/>
      <c r="AT85" s="35"/>
      <c r="AU85" s="35"/>
      <c r="AV85" s="35"/>
    </row>
    <row r="86" spans="1:48" x14ac:dyDescent="0.2">
      <c r="A86" s="12" t="s">
        <v>81</v>
      </c>
      <c r="B86" s="5" t="s">
        <v>73</v>
      </c>
      <c r="C86" s="5" t="s">
        <v>308</v>
      </c>
      <c r="D86" s="5">
        <v>9</v>
      </c>
      <c r="E86" s="69">
        <v>2.3217072000000001</v>
      </c>
      <c r="F86" s="26">
        <f t="shared" si="6"/>
        <v>0.23297888776642356</v>
      </c>
      <c r="G86" s="52">
        <v>126.242</v>
      </c>
      <c r="H86" s="55">
        <v>617.12</v>
      </c>
      <c r="I86" s="56">
        <v>26.71</v>
      </c>
      <c r="J86" s="61">
        <v>4.795E-4</v>
      </c>
      <c r="K86" s="56">
        <f t="shared" si="1"/>
        <v>263.55323590814203</v>
      </c>
      <c r="L86" s="52">
        <f t="shared" si="2"/>
        <v>0.24936170557123682</v>
      </c>
      <c r="M86" s="52">
        <v>0.33400000000000002</v>
      </c>
      <c r="N86" s="74">
        <v>-3.7079</v>
      </c>
      <c r="O86" s="77">
        <v>687.88</v>
      </c>
      <c r="P86" s="79">
        <v>6.6E-3</v>
      </c>
      <c r="Q86" s="28">
        <v>-7.4158999999999996E-6</v>
      </c>
      <c r="R86" s="82">
        <v>0.26329999999999998</v>
      </c>
      <c r="S86" s="83">
        <v>0.26819999999999999</v>
      </c>
      <c r="T86" s="84">
        <v>0.28570000000000001</v>
      </c>
      <c r="U86" s="91">
        <v>18.559000000000001</v>
      </c>
      <c r="V86" s="95">
        <v>-2694.9</v>
      </c>
      <c r="W86" s="98">
        <v>-3.5445000000000002</v>
      </c>
      <c r="X86" s="29">
        <v>0</v>
      </c>
      <c r="Y86" s="31">
        <v>0</v>
      </c>
      <c r="Z86" s="108">
        <v>158.82300000000001</v>
      </c>
      <c r="AA86" s="6">
        <v>0.54139000000000004</v>
      </c>
      <c r="AB86" s="7">
        <v>-1.423E-3</v>
      </c>
      <c r="AC86" s="8">
        <v>2.0095E-6</v>
      </c>
      <c r="AD86" s="109">
        <v>0.1729</v>
      </c>
      <c r="AE86" s="29">
        <v>-8.1185000000000003E-5</v>
      </c>
      <c r="AF86" s="31">
        <v>-2.2212000000000001E-7</v>
      </c>
      <c r="AG86" s="112">
        <v>56.128</v>
      </c>
      <c r="AH86" s="113">
        <v>0.38</v>
      </c>
      <c r="AI86" s="114">
        <v>56.073</v>
      </c>
      <c r="AJ86" s="115">
        <v>1.2222</v>
      </c>
      <c r="AK86" s="35"/>
      <c r="AL86" s="35"/>
      <c r="AM86" s="35"/>
      <c r="AN86" s="35"/>
      <c r="AO86" s="35"/>
      <c r="AP86" s="35"/>
      <c r="AQ86" s="35"/>
      <c r="AR86" s="35"/>
      <c r="AS86" s="35"/>
      <c r="AT86" s="35"/>
      <c r="AU86" s="35"/>
      <c r="AV86" s="35"/>
    </row>
    <row r="87" spans="1:48" x14ac:dyDescent="0.2">
      <c r="A87" s="12" t="s">
        <v>82</v>
      </c>
      <c r="B87" s="5" t="s">
        <v>73</v>
      </c>
      <c r="C87" s="5" t="s">
        <v>309</v>
      </c>
      <c r="D87" s="5">
        <v>9</v>
      </c>
      <c r="E87" s="69">
        <v>5.7610814000000001</v>
      </c>
      <c r="F87" s="26">
        <f t="shared" si="6"/>
        <v>0.57811352650490566</v>
      </c>
      <c r="G87" s="52">
        <v>126.242</v>
      </c>
      <c r="H87" s="55">
        <v>605.02</v>
      </c>
      <c r="I87" s="56">
        <v>27.99</v>
      </c>
      <c r="J87" s="61">
        <v>4.7750000000000001E-4</v>
      </c>
      <c r="K87" s="56">
        <f t="shared" si="1"/>
        <v>264.65828092243191</v>
      </c>
      <c r="L87" s="52">
        <f t="shared" si="2"/>
        <v>0.2654248166811099</v>
      </c>
      <c r="M87" s="52">
        <v>0.29599999999999999</v>
      </c>
      <c r="N87" s="74">
        <v>-3.5871</v>
      </c>
      <c r="O87" s="77">
        <v>642.16</v>
      </c>
      <c r="P87" s="79">
        <v>6.4999999999999997E-3</v>
      </c>
      <c r="Q87" s="28">
        <v>-7.5186999999999997E-6</v>
      </c>
      <c r="R87" s="82">
        <v>0.26440000000000002</v>
      </c>
      <c r="S87" s="83">
        <v>0.27310000000000001</v>
      </c>
      <c r="T87" s="84">
        <v>0.28570000000000001</v>
      </c>
      <c r="U87" s="91">
        <v>18.091999999999999</v>
      </c>
      <c r="V87" s="95">
        <v>-2558.1</v>
      </c>
      <c r="W87" s="98">
        <v>-3.4300999999999999</v>
      </c>
      <c r="X87" s="29">
        <v>0</v>
      </c>
      <c r="Y87" s="31">
        <v>0</v>
      </c>
      <c r="Z87" s="108">
        <v>147.85599999999999</v>
      </c>
      <c r="AA87" s="6">
        <v>0.56781000000000004</v>
      </c>
      <c r="AB87" s="7">
        <v>-1.4978000000000001E-3</v>
      </c>
      <c r="AC87" s="8">
        <v>2.0818000000000001E-6</v>
      </c>
      <c r="AD87" s="109">
        <v>0.1686</v>
      </c>
      <c r="AE87" s="29">
        <v>-7.5073000000000004E-5</v>
      </c>
      <c r="AF87" s="31">
        <v>-2.3354000000000001E-7</v>
      </c>
      <c r="AG87" s="112">
        <v>53.119</v>
      </c>
      <c r="AH87" s="113">
        <v>0.38</v>
      </c>
      <c r="AI87" s="114">
        <v>56.142000000000003</v>
      </c>
      <c r="AJ87" s="115">
        <v>1.2222</v>
      </c>
      <c r="AK87" s="35"/>
      <c r="AL87" s="35"/>
      <c r="AM87" s="35"/>
      <c r="AN87" s="35"/>
      <c r="AO87" s="35"/>
      <c r="AP87" s="35"/>
      <c r="AQ87" s="35"/>
      <c r="AR87" s="35"/>
      <c r="AS87" s="35"/>
      <c r="AT87" s="35"/>
      <c r="AU87" s="35"/>
      <c r="AV87" s="35"/>
    </row>
    <row r="88" spans="1:48" x14ac:dyDescent="0.2">
      <c r="A88" s="12" t="s">
        <v>83</v>
      </c>
      <c r="B88" s="5" t="s">
        <v>73</v>
      </c>
      <c r="C88" s="5" t="s">
        <v>310</v>
      </c>
      <c r="D88" s="5">
        <v>9</v>
      </c>
      <c r="E88" s="69">
        <v>5.7596479</v>
      </c>
      <c r="F88" s="26">
        <f t="shared" si="6"/>
        <v>0.57796967751498429</v>
      </c>
      <c r="G88" s="52">
        <v>126.242</v>
      </c>
      <c r="H88" s="55">
        <v>605.02</v>
      </c>
      <c r="I88" s="56">
        <v>27.99</v>
      </c>
      <c r="J88" s="61">
        <v>4.7750000000000001E-4</v>
      </c>
      <c r="K88" s="56">
        <f t="shared" si="1"/>
        <v>264.65828092243191</v>
      </c>
      <c r="L88" s="52">
        <f t="shared" si="2"/>
        <v>0.2654248166811099</v>
      </c>
      <c r="M88" s="52">
        <v>0.29599999999999999</v>
      </c>
      <c r="N88" s="74">
        <v>-3.5871</v>
      </c>
      <c r="O88" s="77">
        <v>642.16</v>
      </c>
      <c r="P88" s="79">
        <v>6.4999999999999997E-3</v>
      </c>
      <c r="Q88" s="28">
        <v>-7.5186999999999997E-6</v>
      </c>
      <c r="R88" s="82">
        <v>0.26440000000000002</v>
      </c>
      <c r="S88" s="83">
        <v>0.27139999999999997</v>
      </c>
      <c r="T88" s="84">
        <v>0.28570000000000001</v>
      </c>
      <c r="U88" s="91">
        <v>18.091999999999999</v>
      </c>
      <c r="V88" s="95">
        <v>-2558.1</v>
      </c>
      <c r="W88" s="98">
        <v>-3.4300999999999999</v>
      </c>
      <c r="X88" s="29">
        <v>0</v>
      </c>
      <c r="Y88" s="31">
        <v>0</v>
      </c>
      <c r="Z88" s="108">
        <v>147.32900000000001</v>
      </c>
      <c r="AA88" s="6">
        <v>0.57160999999999995</v>
      </c>
      <c r="AB88" s="7">
        <v>-1.5091E-3</v>
      </c>
      <c r="AC88" s="8">
        <v>2.0969000000000002E-6</v>
      </c>
      <c r="AD88" s="109">
        <v>0.1686</v>
      </c>
      <c r="AE88" s="29">
        <v>-7.5073000000000004E-5</v>
      </c>
      <c r="AF88" s="31">
        <v>-2.3354000000000001E-7</v>
      </c>
      <c r="AG88" s="112">
        <v>53.119</v>
      </c>
      <c r="AH88" s="113">
        <v>0.38</v>
      </c>
      <c r="AI88" s="114">
        <v>56.142000000000003</v>
      </c>
      <c r="AJ88" s="115">
        <v>1.2222</v>
      </c>
      <c r="AK88" s="35"/>
      <c r="AL88" s="35"/>
      <c r="AM88" s="35"/>
      <c r="AN88" s="35"/>
      <c r="AO88" s="35"/>
      <c r="AP88" s="35"/>
      <c r="AQ88" s="35"/>
      <c r="AR88" s="35"/>
      <c r="AS88" s="35"/>
      <c r="AT88" s="35"/>
      <c r="AU88" s="35"/>
      <c r="AV88" s="35"/>
    </row>
    <row r="89" spans="1:48" x14ac:dyDescent="0.2">
      <c r="A89" s="13" t="s">
        <v>119</v>
      </c>
      <c r="B89" s="5" t="s">
        <v>73</v>
      </c>
      <c r="C89" s="5" t="s">
        <v>311</v>
      </c>
      <c r="D89" s="5">
        <v>9</v>
      </c>
      <c r="E89" s="69">
        <v>5.3048347712500004</v>
      </c>
      <c r="F89" s="26">
        <f t="shared" si="6"/>
        <v>0.53233004781588089</v>
      </c>
      <c r="G89" s="52">
        <v>126.242</v>
      </c>
      <c r="H89" s="56">
        <v>616.85</v>
      </c>
      <c r="I89" s="56">
        <v>27.99</v>
      </c>
      <c r="J89" s="61">
        <v>4.7750000000000001E-4</v>
      </c>
      <c r="K89" s="56">
        <f t="shared" si="1"/>
        <v>264.65828092243191</v>
      </c>
      <c r="L89" s="52">
        <f t="shared" si="2"/>
        <v>0.26033447773106116</v>
      </c>
      <c r="M89" s="52">
        <v>0.29599999999999999</v>
      </c>
      <c r="N89" s="74">
        <v>-3.9075000000000002</v>
      </c>
      <c r="O89" s="77">
        <v>705.33</v>
      </c>
      <c r="P89" s="79">
        <v>7.1000000000000004E-3</v>
      </c>
      <c r="Q89" s="28">
        <v>-7.6760999999999992E-6</v>
      </c>
      <c r="R89" s="82">
        <v>0.26440000000000002</v>
      </c>
      <c r="S89" s="83">
        <v>0.2646</v>
      </c>
      <c r="T89" s="84">
        <v>0.28570000000000001</v>
      </c>
      <c r="U89" s="91">
        <v>18.195</v>
      </c>
      <c r="V89" s="95">
        <v>-2613.1999999999998</v>
      </c>
      <c r="W89" s="98">
        <v>-3.4537</v>
      </c>
      <c r="X89" s="29">
        <v>0</v>
      </c>
      <c r="Y89" s="31">
        <v>0</v>
      </c>
      <c r="Z89" s="108">
        <v>149.03299999999999</v>
      </c>
      <c r="AA89" s="6">
        <v>0.55803999999999998</v>
      </c>
      <c r="AB89" s="7">
        <v>-1.4499999999999999E-3</v>
      </c>
      <c r="AC89" s="8">
        <v>2.0043999999999998E-6</v>
      </c>
      <c r="AD89" s="109">
        <v>0.16889999999999999</v>
      </c>
      <c r="AE89" s="29">
        <v>-7.4481999999999996E-5</v>
      </c>
      <c r="AF89" s="31">
        <v>-2.2415999999999999E-7</v>
      </c>
      <c r="AG89" s="112">
        <v>54.209000000000003</v>
      </c>
      <c r="AH89" s="113">
        <v>0.38</v>
      </c>
      <c r="AI89" s="114">
        <v>56.524000000000001</v>
      </c>
      <c r="AJ89" s="115">
        <v>1.2222</v>
      </c>
      <c r="AK89" s="35"/>
      <c r="AL89" s="35"/>
      <c r="AM89" s="35"/>
      <c r="AN89" s="35"/>
      <c r="AO89" s="35"/>
      <c r="AP89" s="35"/>
      <c r="AQ89" s="35"/>
      <c r="AR89" s="35"/>
      <c r="AS89" s="35"/>
      <c r="AT89" s="35"/>
      <c r="AU89" s="35"/>
      <c r="AV89" s="35"/>
    </row>
    <row r="90" spans="1:48" x14ac:dyDescent="0.2">
      <c r="A90" s="13" t="s">
        <v>120</v>
      </c>
      <c r="B90" s="5" t="s">
        <v>73</v>
      </c>
      <c r="C90" s="5" t="s">
        <v>312</v>
      </c>
      <c r="D90" s="5">
        <v>9</v>
      </c>
      <c r="E90" s="69">
        <v>5.3035628537499999</v>
      </c>
      <c r="F90" s="26">
        <f t="shared" si="6"/>
        <v>0.5322024133215395</v>
      </c>
      <c r="G90" s="52">
        <v>126.242</v>
      </c>
      <c r="H90" s="56">
        <v>616.85</v>
      </c>
      <c r="I90" s="56">
        <v>27.99</v>
      </c>
      <c r="J90" s="61">
        <v>4.7750000000000001E-4</v>
      </c>
      <c r="K90" s="56">
        <f t="shared" si="1"/>
        <v>264.65828092243191</v>
      </c>
      <c r="L90" s="52">
        <f t="shared" si="2"/>
        <v>0.26033447773106116</v>
      </c>
      <c r="M90" s="52">
        <v>0.29599999999999999</v>
      </c>
      <c r="N90" s="74">
        <v>-3.9075000000000002</v>
      </c>
      <c r="O90" s="77">
        <v>705.33</v>
      </c>
      <c r="P90" s="79">
        <v>7.1000000000000004E-3</v>
      </c>
      <c r="Q90" s="28">
        <v>-7.6760999999999992E-6</v>
      </c>
      <c r="R90" s="82">
        <v>0.26440000000000002</v>
      </c>
      <c r="S90" s="83">
        <v>0.26579999999999998</v>
      </c>
      <c r="T90" s="84">
        <v>0.28570000000000001</v>
      </c>
      <c r="U90" s="91">
        <v>18.195</v>
      </c>
      <c r="V90" s="95">
        <v>-2613.1999999999998</v>
      </c>
      <c r="W90" s="98">
        <v>-3.4537</v>
      </c>
      <c r="X90" s="29">
        <v>0</v>
      </c>
      <c r="Y90" s="31">
        <v>0</v>
      </c>
      <c r="Z90" s="108">
        <v>149.404</v>
      </c>
      <c r="AA90" s="6">
        <v>0.55539000000000005</v>
      </c>
      <c r="AB90" s="7">
        <v>-1.4421E-3</v>
      </c>
      <c r="AC90" s="8">
        <v>1.9939999999999999E-6</v>
      </c>
      <c r="AD90" s="109">
        <v>0.16889999999999999</v>
      </c>
      <c r="AE90" s="29">
        <v>-7.4481999999999996E-5</v>
      </c>
      <c r="AF90" s="31">
        <v>-2.2415999999999999E-7</v>
      </c>
      <c r="AG90" s="112">
        <v>54.209000000000003</v>
      </c>
      <c r="AH90" s="113">
        <v>0.38</v>
      </c>
      <c r="AI90" s="114">
        <v>56.524000000000001</v>
      </c>
      <c r="AJ90" s="115">
        <v>1.2222</v>
      </c>
      <c r="AK90" s="35"/>
      <c r="AL90" s="35"/>
      <c r="AM90" s="35"/>
      <c r="AN90" s="35"/>
      <c r="AO90" s="35"/>
      <c r="AP90" s="35"/>
      <c r="AQ90" s="35"/>
      <c r="AR90" s="35"/>
      <c r="AS90" s="35"/>
      <c r="AT90" s="35"/>
      <c r="AU90" s="35"/>
      <c r="AV90" s="35"/>
    </row>
    <row r="91" spans="1:48" x14ac:dyDescent="0.2">
      <c r="A91" s="12" t="s">
        <v>84</v>
      </c>
      <c r="B91" s="5" t="s">
        <v>73</v>
      </c>
      <c r="C91" s="5" t="s">
        <v>268</v>
      </c>
      <c r="D91" s="5">
        <v>9</v>
      </c>
      <c r="E91" s="69">
        <v>5.6877822562500002</v>
      </c>
      <c r="F91" s="26">
        <f t="shared" si="6"/>
        <v>0.57075809728234639</v>
      </c>
      <c r="G91" s="52">
        <v>126.242</v>
      </c>
      <c r="H91" s="55">
        <v>607.98</v>
      </c>
      <c r="I91" s="56">
        <v>27.99</v>
      </c>
      <c r="J91" s="61">
        <v>4.7750000000000001E-4</v>
      </c>
      <c r="K91" s="56">
        <f t="shared" si="1"/>
        <v>264.65828092243191</v>
      </c>
      <c r="L91" s="52">
        <f t="shared" si="2"/>
        <v>0.26413257440771915</v>
      </c>
      <c r="M91" s="52">
        <v>0.29599999999999999</v>
      </c>
      <c r="N91" s="74">
        <v>-3.6741999999999999</v>
      </c>
      <c r="O91" s="77">
        <v>658.89</v>
      </c>
      <c r="P91" s="79">
        <v>6.7000000000000002E-3</v>
      </c>
      <c r="Q91" s="28">
        <v>-7.5693999999999999E-6</v>
      </c>
      <c r="R91" s="82">
        <v>0.26440000000000002</v>
      </c>
      <c r="S91" s="83">
        <v>0.26769999999999999</v>
      </c>
      <c r="T91" s="84">
        <v>0.28570000000000001</v>
      </c>
      <c r="U91" s="91">
        <v>18.117999999999999</v>
      </c>
      <c r="V91" s="95">
        <v>-2571.9</v>
      </c>
      <c r="W91" s="98">
        <v>-3.4361000000000002</v>
      </c>
      <c r="X91" s="29">
        <v>0</v>
      </c>
      <c r="Y91" s="31">
        <v>0</v>
      </c>
      <c r="Z91" s="108">
        <v>147.14400000000001</v>
      </c>
      <c r="AA91" s="6">
        <v>0.57255999999999996</v>
      </c>
      <c r="AB91" s="7">
        <v>-1.5070999999999999E-3</v>
      </c>
      <c r="AC91" s="8">
        <v>2.0908E-6</v>
      </c>
      <c r="AD91" s="109">
        <v>0.16869999999999999</v>
      </c>
      <c r="AE91" s="29">
        <v>-7.4927999999999998E-5</v>
      </c>
      <c r="AF91" s="31">
        <v>-2.3113999999999999E-7</v>
      </c>
      <c r="AG91" s="112">
        <v>53.392000000000003</v>
      </c>
      <c r="AH91" s="113">
        <v>0.38</v>
      </c>
      <c r="AI91" s="114">
        <v>56.238</v>
      </c>
      <c r="AJ91" s="115">
        <v>1.2222</v>
      </c>
      <c r="AK91" s="35"/>
      <c r="AL91" s="35"/>
      <c r="AM91" s="35"/>
      <c r="AN91" s="35"/>
      <c r="AO91" s="35"/>
      <c r="AP91" s="35"/>
      <c r="AQ91" s="35"/>
      <c r="AR91" s="35"/>
      <c r="AS91" s="35"/>
      <c r="AT91" s="35"/>
      <c r="AU91" s="35"/>
      <c r="AV91" s="35"/>
    </row>
    <row r="92" spans="1:48" x14ac:dyDescent="0.2">
      <c r="A92" s="12" t="s">
        <v>85</v>
      </c>
      <c r="B92" s="5" t="s">
        <v>73</v>
      </c>
      <c r="C92" s="5" t="s">
        <v>269</v>
      </c>
      <c r="D92" s="5">
        <v>9</v>
      </c>
      <c r="E92" s="69">
        <v>6.1446538249999998</v>
      </c>
      <c r="F92" s="26">
        <f t="shared" si="6"/>
        <v>0.61660428750800278</v>
      </c>
      <c r="G92" s="52">
        <v>126.242</v>
      </c>
      <c r="H92" s="55">
        <v>602.05999999999995</v>
      </c>
      <c r="I92" s="56">
        <v>27.99</v>
      </c>
      <c r="J92" s="61">
        <v>4.7750000000000001E-4</v>
      </c>
      <c r="K92" s="56">
        <f t="shared" si="1"/>
        <v>264.65828092243191</v>
      </c>
      <c r="L92" s="52">
        <f t="shared" si="2"/>
        <v>0.26672976545262117</v>
      </c>
      <c r="M92" s="52">
        <v>0.29599999999999999</v>
      </c>
      <c r="N92" s="74">
        <v>-3.4948000000000001</v>
      </c>
      <c r="O92" s="77">
        <v>624.73</v>
      </c>
      <c r="P92" s="79">
        <v>6.4000000000000003E-3</v>
      </c>
      <c r="Q92" s="28">
        <v>-7.4592999999999999E-6</v>
      </c>
      <c r="R92" s="82">
        <v>0.26440000000000002</v>
      </c>
      <c r="S92" s="83">
        <v>0.27439999999999998</v>
      </c>
      <c r="T92" s="84">
        <v>0.28570000000000001</v>
      </c>
      <c r="U92" s="91">
        <v>18.065999999999999</v>
      </c>
      <c r="V92" s="95">
        <v>-2544.3000000000002</v>
      </c>
      <c r="W92" s="98">
        <v>-3.4241000000000001</v>
      </c>
      <c r="X92" s="29">
        <v>0</v>
      </c>
      <c r="Y92" s="31">
        <v>0</v>
      </c>
      <c r="Z92" s="108">
        <v>147.26599999999999</v>
      </c>
      <c r="AA92" s="6">
        <v>0.57245999999999997</v>
      </c>
      <c r="AB92" s="7">
        <v>-1.5165000000000001E-3</v>
      </c>
      <c r="AC92" s="8">
        <v>2.1104000000000002E-6</v>
      </c>
      <c r="AD92" s="109">
        <v>0.16850000000000001</v>
      </c>
      <c r="AE92" s="29">
        <v>-7.5216000000000006E-5</v>
      </c>
      <c r="AF92" s="31">
        <v>-2.3598E-7</v>
      </c>
      <c r="AG92" s="112">
        <v>52.847000000000001</v>
      </c>
      <c r="AH92" s="113">
        <v>0.38</v>
      </c>
      <c r="AI92" s="114">
        <v>56.045999999999999</v>
      </c>
      <c r="AJ92" s="115">
        <v>1.2222</v>
      </c>
      <c r="AK92" s="35"/>
      <c r="AL92" s="35"/>
      <c r="AM92" s="35"/>
      <c r="AN92" s="35"/>
      <c r="AO92" s="35"/>
      <c r="AP92" s="35"/>
      <c r="AQ92" s="35"/>
      <c r="AR92" s="35"/>
      <c r="AS92" s="35"/>
      <c r="AT92" s="35"/>
      <c r="AU92" s="35"/>
      <c r="AV92" s="35"/>
    </row>
    <row r="93" spans="1:48" x14ac:dyDescent="0.2">
      <c r="A93" s="12" t="s">
        <v>150</v>
      </c>
      <c r="B93" s="5" t="s">
        <v>73</v>
      </c>
      <c r="C93" s="5" t="s">
        <v>313</v>
      </c>
      <c r="D93" s="5">
        <v>9</v>
      </c>
      <c r="E93" s="69">
        <v>4.1986189500000002</v>
      </c>
      <c r="F93" s="26">
        <f t="shared" si="6"/>
        <v>0.4213234007828503</v>
      </c>
      <c r="G93" s="52">
        <v>126.242</v>
      </c>
      <c r="H93" s="56">
        <v>610.04999999999995</v>
      </c>
      <c r="I93" s="56">
        <v>25.82</v>
      </c>
      <c r="J93" s="61">
        <v>4.7849999999999998E-4</v>
      </c>
      <c r="K93" s="56">
        <f t="shared" si="1"/>
        <v>264.10460251046027</v>
      </c>
      <c r="L93" s="52">
        <f t="shared" si="2"/>
        <v>0.24333729886481459</v>
      </c>
      <c r="M93" s="52">
        <v>0.309</v>
      </c>
      <c r="N93" s="74">
        <v>-2.4615999999999998</v>
      </c>
      <c r="O93" s="77">
        <v>511.79</v>
      </c>
      <c r="P93" s="79">
        <v>3.7000000000000002E-3</v>
      </c>
      <c r="Q93" s="28">
        <v>-5.3013999999999998E-6</v>
      </c>
      <c r="R93" s="82">
        <v>0.26379999999999998</v>
      </c>
      <c r="S93" s="83">
        <v>0.26900000000000002</v>
      </c>
      <c r="T93" s="83">
        <v>0.28570000000000001</v>
      </c>
      <c r="U93" s="92">
        <v>18.247</v>
      </c>
      <c r="V93" s="96">
        <v>-2611.9</v>
      </c>
      <c r="W93" s="99">
        <v>-3.4748999999999999</v>
      </c>
      <c r="X93" s="29">
        <v>0</v>
      </c>
      <c r="Y93" s="29">
        <v>0</v>
      </c>
      <c r="Z93" s="108">
        <v>157.845</v>
      </c>
      <c r="AA93" s="6">
        <v>0.53973000000000004</v>
      </c>
      <c r="AB93" s="7">
        <v>-1.4331000000000001E-3</v>
      </c>
      <c r="AC93" s="8">
        <v>2.0486000000000002E-6</v>
      </c>
      <c r="AD93" s="109">
        <v>0.17269999999999999</v>
      </c>
      <c r="AE93" s="29">
        <v>-8.3368999999999994E-5</v>
      </c>
      <c r="AF93" s="31">
        <v>-2.2469000000000001E-7</v>
      </c>
      <c r="AG93" s="112">
        <v>54.555</v>
      </c>
      <c r="AH93" s="113">
        <v>0.38</v>
      </c>
      <c r="AI93" s="114">
        <v>54.735999999999997</v>
      </c>
      <c r="AJ93" s="115">
        <v>1.2222</v>
      </c>
      <c r="AK93" s="35"/>
      <c r="AL93" s="35"/>
      <c r="AM93" s="35"/>
      <c r="AN93" s="35"/>
      <c r="AO93" s="35"/>
      <c r="AP93" s="35"/>
      <c r="AQ93" s="35"/>
      <c r="AR93" s="35"/>
      <c r="AS93" s="35"/>
      <c r="AT93" s="35"/>
      <c r="AU93" s="35"/>
      <c r="AV93" s="35"/>
    </row>
    <row r="94" spans="1:48" x14ac:dyDescent="0.2">
      <c r="A94" s="12" t="s">
        <v>151</v>
      </c>
      <c r="B94" s="5" t="s">
        <v>73</v>
      </c>
      <c r="C94" s="5" t="s">
        <v>314</v>
      </c>
      <c r="D94" s="5">
        <v>9</v>
      </c>
      <c r="E94" s="69">
        <v>4.2019264874999998</v>
      </c>
      <c r="F94" s="26">
        <f t="shared" si="6"/>
        <v>0.42165530586028455</v>
      </c>
      <c r="G94" s="52">
        <v>126.242</v>
      </c>
      <c r="H94" s="56">
        <v>621.75</v>
      </c>
      <c r="I94" s="56">
        <v>25.82</v>
      </c>
      <c r="J94" s="61">
        <v>4.7849999999999998E-4</v>
      </c>
      <c r="K94" s="56">
        <f t="shared" si="1"/>
        <v>264.10460251046027</v>
      </c>
      <c r="L94" s="52">
        <f t="shared" si="2"/>
        <v>0.23875821338557318</v>
      </c>
      <c r="M94" s="52">
        <v>0.309</v>
      </c>
      <c r="N94" s="74">
        <v>-2.9001999999999999</v>
      </c>
      <c r="O94" s="77">
        <v>589.54999999999995</v>
      </c>
      <c r="P94" s="79">
        <v>4.4999999999999997E-3</v>
      </c>
      <c r="Q94" s="28">
        <v>-5.7241E-6</v>
      </c>
      <c r="R94" s="82">
        <v>0.26379999999999998</v>
      </c>
      <c r="S94" s="83">
        <v>0.26869999999999999</v>
      </c>
      <c r="T94" s="83">
        <v>0.28570000000000001</v>
      </c>
      <c r="U94" s="92">
        <v>18.347999999999999</v>
      </c>
      <c r="V94" s="96">
        <v>-2667.1</v>
      </c>
      <c r="W94" s="99">
        <v>-3.4977999999999998</v>
      </c>
      <c r="X94" s="29">
        <v>0</v>
      </c>
      <c r="Y94" s="29">
        <v>0</v>
      </c>
      <c r="Z94" s="108">
        <v>161.16900000000001</v>
      </c>
      <c r="AA94" s="6">
        <v>0.51546999999999998</v>
      </c>
      <c r="AB94" s="7">
        <v>-1.3424999999999999E-3</v>
      </c>
      <c r="AC94" s="8">
        <v>1.9105000000000002E-6</v>
      </c>
      <c r="AD94" s="109">
        <v>0.1729</v>
      </c>
      <c r="AE94" s="29">
        <v>-8.2380999999999996E-5</v>
      </c>
      <c r="AF94" s="31">
        <v>-2.1610000000000001E-7</v>
      </c>
      <c r="AG94" s="112">
        <v>55.652999999999999</v>
      </c>
      <c r="AH94" s="113">
        <v>0.38</v>
      </c>
      <c r="AI94" s="114">
        <v>55.100999999999999</v>
      </c>
      <c r="AJ94" s="115">
        <v>1.2222</v>
      </c>
      <c r="AK94" s="35"/>
      <c r="AL94" s="35"/>
      <c r="AM94" s="35"/>
      <c r="AN94" s="35"/>
      <c r="AO94" s="35"/>
      <c r="AP94" s="35"/>
      <c r="AQ94" s="35"/>
      <c r="AR94" s="35"/>
      <c r="AS94" s="35"/>
      <c r="AT94" s="35"/>
      <c r="AU94" s="35"/>
      <c r="AV94" s="35"/>
    </row>
    <row r="95" spans="1:48" x14ac:dyDescent="0.2">
      <c r="A95" s="12" t="s">
        <v>152</v>
      </c>
      <c r="B95" s="5" t="s">
        <v>73</v>
      </c>
      <c r="C95" s="5" t="s">
        <v>315</v>
      </c>
      <c r="D95" s="5">
        <v>9</v>
      </c>
      <c r="E95" s="69">
        <v>4.1993044499999996</v>
      </c>
      <c r="F95" s="26">
        <f t="shared" si="6"/>
        <v>0.42139218939993506</v>
      </c>
      <c r="G95" s="52">
        <v>126.242</v>
      </c>
      <c r="H95" s="56">
        <v>621.75</v>
      </c>
      <c r="I95" s="56">
        <v>25.82</v>
      </c>
      <c r="J95" s="61">
        <v>4.7849999999999998E-4</v>
      </c>
      <c r="K95" s="56">
        <f t="shared" ref="K95:K157" si="7">1/LEFT(J95,8)*G95/1000</f>
        <v>264.10460251046027</v>
      </c>
      <c r="L95" s="52">
        <f t="shared" ref="L95:L157" si="8">LEFT(I95,5)*100000/(K95*8.314/(G95/1000)*H95)</f>
        <v>0.23875821338557318</v>
      </c>
      <c r="M95" s="52">
        <v>0.309</v>
      </c>
      <c r="N95" s="74">
        <v>-2.9001999999999999</v>
      </c>
      <c r="O95" s="77">
        <v>589.54999999999995</v>
      </c>
      <c r="P95" s="79">
        <v>4.4999999999999997E-3</v>
      </c>
      <c r="Q95" s="28">
        <v>-5.7241E-6</v>
      </c>
      <c r="R95" s="82">
        <v>0.26379999999999998</v>
      </c>
      <c r="S95" s="83">
        <v>0.26590000000000003</v>
      </c>
      <c r="T95" s="83">
        <v>0.28570000000000001</v>
      </c>
      <c r="U95" s="92">
        <v>18.347999999999999</v>
      </c>
      <c r="V95" s="96">
        <v>-2667.1</v>
      </c>
      <c r="W95" s="99">
        <v>-3.4977999999999998</v>
      </c>
      <c r="X95" s="29">
        <v>0</v>
      </c>
      <c r="Y95" s="29">
        <v>0</v>
      </c>
      <c r="Z95" s="108">
        <v>160.35900000000001</v>
      </c>
      <c r="AA95" s="6">
        <v>0.52122999999999997</v>
      </c>
      <c r="AB95" s="7">
        <v>-1.3596999999999999E-3</v>
      </c>
      <c r="AC95" s="8">
        <v>1.9340999999999998E-6</v>
      </c>
      <c r="AD95" s="109">
        <v>0.1729</v>
      </c>
      <c r="AE95" s="29">
        <v>-8.2380999999999996E-5</v>
      </c>
      <c r="AF95" s="31">
        <v>-2.1610000000000001E-7</v>
      </c>
      <c r="AG95" s="112">
        <v>55.652999999999999</v>
      </c>
      <c r="AH95" s="113">
        <v>0.38</v>
      </c>
      <c r="AI95" s="114">
        <v>55.100999999999999</v>
      </c>
      <c r="AJ95" s="115">
        <v>1.2222</v>
      </c>
      <c r="AK95" s="35"/>
      <c r="AL95" s="35"/>
      <c r="AM95" s="35"/>
      <c r="AN95" s="35"/>
      <c r="AO95" s="35"/>
      <c r="AP95" s="35"/>
      <c r="AQ95" s="35"/>
      <c r="AR95" s="35"/>
      <c r="AS95" s="35"/>
      <c r="AT95" s="35"/>
      <c r="AU95" s="35"/>
      <c r="AV95" s="35"/>
    </row>
    <row r="96" spans="1:48" x14ac:dyDescent="0.2">
      <c r="A96" s="12" t="s">
        <v>86</v>
      </c>
      <c r="B96" s="5" t="s">
        <v>73</v>
      </c>
      <c r="C96" s="5" t="s">
        <v>316</v>
      </c>
      <c r="D96" s="5">
        <v>9</v>
      </c>
      <c r="E96" s="69">
        <v>4.2009530775000004</v>
      </c>
      <c r="F96" s="26">
        <f t="shared" si="6"/>
        <v>0.42155762602402413</v>
      </c>
      <c r="G96" s="52">
        <v>126.242</v>
      </c>
      <c r="H96" s="55">
        <v>601.27</v>
      </c>
      <c r="I96" s="56">
        <v>25.82</v>
      </c>
      <c r="J96" s="61">
        <v>4.7849999999999998E-4</v>
      </c>
      <c r="K96" s="56">
        <f t="shared" si="7"/>
        <v>264.10460251046027</v>
      </c>
      <c r="L96" s="52">
        <f t="shared" si="8"/>
        <v>0.24689061348891533</v>
      </c>
      <c r="M96" s="52">
        <v>0.309</v>
      </c>
      <c r="N96" s="74">
        <v>-2.0661</v>
      </c>
      <c r="O96" s="77">
        <v>444.76</v>
      </c>
      <c r="P96" s="79">
        <v>2.8999999999999998E-3</v>
      </c>
      <c r="Q96" s="28">
        <v>-4.8639000000000001E-6</v>
      </c>
      <c r="R96" s="82">
        <v>0.26379999999999998</v>
      </c>
      <c r="S96" s="83">
        <v>0.27439999999999998</v>
      </c>
      <c r="T96" s="84">
        <v>0.28570000000000001</v>
      </c>
      <c r="U96" s="91">
        <v>18.170000000000002</v>
      </c>
      <c r="V96" s="95">
        <v>-2570.6</v>
      </c>
      <c r="W96" s="98">
        <v>-3.4571999999999998</v>
      </c>
      <c r="X96" s="29">
        <v>0</v>
      </c>
      <c r="Y96" s="31">
        <v>0</v>
      </c>
      <c r="Z96" s="108">
        <v>156.75700000000001</v>
      </c>
      <c r="AA96" s="6">
        <v>0.54820999999999998</v>
      </c>
      <c r="AB96" s="7">
        <v>-1.4729999999999999E-3</v>
      </c>
      <c r="AC96" s="8">
        <v>2.1142999999999998E-6</v>
      </c>
      <c r="AD96" s="109">
        <v>0.17249999999999999</v>
      </c>
      <c r="AE96" s="29">
        <v>-8.4111999999999997E-5</v>
      </c>
      <c r="AF96" s="31">
        <v>-2.3148000000000001E-7</v>
      </c>
      <c r="AG96" s="112">
        <v>53.731999999999999</v>
      </c>
      <c r="AH96" s="113">
        <v>0.38</v>
      </c>
      <c r="AI96" s="114">
        <v>54.459000000000003</v>
      </c>
      <c r="AJ96" s="115">
        <v>1.2222</v>
      </c>
      <c r="AK96" s="35"/>
      <c r="AL96" s="35"/>
      <c r="AM96" s="35"/>
      <c r="AN96" s="35"/>
      <c r="AO96" s="35"/>
      <c r="AP96" s="35"/>
      <c r="AQ96" s="35"/>
      <c r="AR96" s="35"/>
      <c r="AS96" s="35"/>
      <c r="AT96" s="35"/>
      <c r="AU96" s="35"/>
      <c r="AV96" s="35"/>
    </row>
    <row r="97" spans="1:48" x14ac:dyDescent="0.2">
      <c r="A97" s="12" t="s">
        <v>87</v>
      </c>
      <c r="B97" s="5" t="s">
        <v>73</v>
      </c>
      <c r="C97" s="5" t="s">
        <v>317</v>
      </c>
      <c r="D97" s="5">
        <v>9</v>
      </c>
      <c r="E97" s="69">
        <v>4.4866531837499997</v>
      </c>
      <c r="F97" s="26">
        <f t="shared" si="6"/>
        <v>0.45022708657825505</v>
      </c>
      <c r="G97" s="52">
        <v>126.242</v>
      </c>
      <c r="H97" s="55">
        <v>614.42999999999995</v>
      </c>
      <c r="I97" s="56">
        <v>25.82</v>
      </c>
      <c r="J97" s="61">
        <v>4.7849999999999998E-4</v>
      </c>
      <c r="K97" s="56">
        <f t="shared" si="7"/>
        <v>264.10460251046027</v>
      </c>
      <c r="L97" s="52">
        <f t="shared" si="8"/>
        <v>0.24160265477349763</v>
      </c>
      <c r="M97" s="52">
        <v>0.309</v>
      </c>
      <c r="N97" s="74">
        <v>-2.6368</v>
      </c>
      <c r="O97" s="77">
        <v>542.36</v>
      </c>
      <c r="P97" s="79">
        <v>4.0000000000000001E-3</v>
      </c>
      <c r="Q97" s="28">
        <v>-5.4789000000000002E-6</v>
      </c>
      <c r="R97" s="82">
        <v>0.26379999999999998</v>
      </c>
      <c r="S97" s="83">
        <v>0.26479999999999998</v>
      </c>
      <c r="T97" s="84">
        <v>0.28570000000000001</v>
      </c>
      <c r="U97" s="91">
        <v>18.286000000000001</v>
      </c>
      <c r="V97" s="95">
        <v>-2632.6</v>
      </c>
      <c r="W97" s="98">
        <v>-3.4836</v>
      </c>
      <c r="X97" s="29">
        <v>0</v>
      </c>
      <c r="Y97" s="31">
        <v>0</v>
      </c>
      <c r="Z97" s="108">
        <v>157.91300000000001</v>
      </c>
      <c r="AA97" s="6">
        <v>0.53900999999999999</v>
      </c>
      <c r="AB97" s="7">
        <v>-1.4242E-3</v>
      </c>
      <c r="AC97" s="8">
        <v>2.0310000000000001E-6</v>
      </c>
      <c r="AD97" s="109">
        <v>0.17269999999999999</v>
      </c>
      <c r="AE97" s="29">
        <v>-8.2997999999999994E-5</v>
      </c>
      <c r="AF97" s="31">
        <v>-2.2141E-7</v>
      </c>
      <c r="AG97" s="112">
        <v>54.966000000000001</v>
      </c>
      <c r="AH97" s="113">
        <v>0.38</v>
      </c>
      <c r="AI97" s="114">
        <v>54.872999999999998</v>
      </c>
      <c r="AJ97" s="115">
        <v>1.2222</v>
      </c>
      <c r="AK97" s="35"/>
      <c r="AL97" s="35"/>
      <c r="AM97" s="35"/>
      <c r="AN97" s="35"/>
      <c r="AO97" s="35"/>
      <c r="AP97" s="35"/>
      <c r="AQ97" s="35"/>
      <c r="AR97" s="35"/>
      <c r="AS97" s="35"/>
      <c r="AT97" s="35"/>
      <c r="AU97" s="35"/>
      <c r="AV97" s="35"/>
    </row>
    <row r="98" spans="1:48" x14ac:dyDescent="0.2">
      <c r="A98" s="12" t="s">
        <v>153</v>
      </c>
      <c r="B98" s="5" t="s">
        <v>73</v>
      </c>
      <c r="C98" s="5" t="s">
        <v>318</v>
      </c>
      <c r="D98" s="5">
        <v>9</v>
      </c>
      <c r="E98" s="69">
        <v>4.4856024049999998</v>
      </c>
      <c r="F98" s="26">
        <f t="shared" si="6"/>
        <v>0.45012164293554957</v>
      </c>
      <c r="G98" s="52">
        <v>126.242</v>
      </c>
      <c r="H98" s="56">
        <v>678.78</v>
      </c>
      <c r="I98" s="56">
        <v>25.82</v>
      </c>
      <c r="J98" s="61">
        <v>4.7849999999999998E-4</v>
      </c>
      <c r="K98" s="56">
        <f t="shared" si="7"/>
        <v>264.10460251046027</v>
      </c>
      <c r="L98" s="52">
        <f t="shared" si="8"/>
        <v>0.21869813366993743</v>
      </c>
      <c r="M98" s="52">
        <v>0.309</v>
      </c>
      <c r="N98" s="74">
        <v>-4.1684999999999999</v>
      </c>
      <c r="O98" s="77">
        <v>852.23</v>
      </c>
      <c r="P98" s="79">
        <v>6.6E-3</v>
      </c>
      <c r="Q98" s="28">
        <v>-6.3531000000000002E-6</v>
      </c>
      <c r="R98" s="82">
        <v>0.26379999999999998</v>
      </c>
      <c r="S98" s="83">
        <v>0.2848</v>
      </c>
      <c r="T98" s="83">
        <v>0.28570000000000001</v>
      </c>
      <c r="U98" s="92">
        <v>18.802</v>
      </c>
      <c r="V98" s="96">
        <v>-2936.1</v>
      </c>
      <c r="W98" s="99">
        <v>-3.5983999999999998</v>
      </c>
      <c r="X98" s="29">
        <v>0</v>
      </c>
      <c r="Y98" s="29">
        <v>0</v>
      </c>
      <c r="Z98" s="108">
        <v>179.126</v>
      </c>
      <c r="AA98" s="6">
        <v>0.39437</v>
      </c>
      <c r="AB98" s="7">
        <v>-9.2613999999999999E-4</v>
      </c>
      <c r="AC98" s="8">
        <v>1.294E-6</v>
      </c>
      <c r="AD98" s="109">
        <v>0.17380000000000001</v>
      </c>
      <c r="AE98" s="29">
        <v>-7.7675000000000004E-5</v>
      </c>
      <c r="AF98" s="31">
        <v>-1.8078000000000001E-7</v>
      </c>
      <c r="AG98" s="112">
        <v>61.02</v>
      </c>
      <c r="AH98" s="113">
        <v>0.38</v>
      </c>
      <c r="AI98" s="114">
        <v>56.82</v>
      </c>
      <c r="AJ98" s="115">
        <v>1.2222</v>
      </c>
      <c r="AK98" s="35"/>
      <c r="AL98" s="35"/>
      <c r="AM98" s="35"/>
      <c r="AN98" s="35"/>
      <c r="AO98" s="35"/>
      <c r="AP98" s="35"/>
      <c r="AQ98" s="35"/>
      <c r="AR98" s="35"/>
      <c r="AS98" s="35"/>
      <c r="AT98" s="35"/>
      <c r="AU98" s="35"/>
      <c r="AV98" s="35"/>
    </row>
    <row r="99" spans="1:48" x14ac:dyDescent="0.2">
      <c r="A99" s="12" t="s">
        <v>154</v>
      </c>
      <c r="B99" s="5" t="s">
        <v>73</v>
      </c>
      <c r="C99" s="5" t="s">
        <v>319</v>
      </c>
      <c r="D99" s="5">
        <v>9</v>
      </c>
      <c r="E99" s="69">
        <v>4.4865653137499999</v>
      </c>
      <c r="F99" s="26">
        <f t="shared" si="6"/>
        <v>0.4502182689914086</v>
      </c>
      <c r="G99" s="52">
        <v>126.242</v>
      </c>
      <c r="H99" s="56">
        <v>611.51</v>
      </c>
      <c r="I99" s="56">
        <v>25.82</v>
      </c>
      <c r="J99" s="61">
        <v>4.7849999999999998E-4</v>
      </c>
      <c r="K99" s="56">
        <f t="shared" si="7"/>
        <v>264.10460251046027</v>
      </c>
      <c r="L99" s="52">
        <f t="shared" si="8"/>
        <v>0.24275632315494455</v>
      </c>
      <c r="M99" s="52">
        <v>0.309</v>
      </c>
      <c r="N99" s="74">
        <v>-2.5215000000000001</v>
      </c>
      <c r="O99" s="77">
        <v>522.17999999999995</v>
      </c>
      <c r="P99" s="79">
        <v>3.8E-3</v>
      </c>
      <c r="Q99" s="28">
        <v>-5.3633E-6</v>
      </c>
      <c r="R99" s="82">
        <v>0.26379999999999998</v>
      </c>
      <c r="S99" s="83">
        <v>0.26719999999999999</v>
      </c>
      <c r="T99" s="83">
        <v>0.28570000000000001</v>
      </c>
      <c r="U99" s="92">
        <v>18.260000000000002</v>
      </c>
      <c r="V99" s="96">
        <v>-2618.8000000000002</v>
      </c>
      <c r="W99" s="99">
        <v>-3.4777999999999998</v>
      </c>
      <c r="X99" s="29">
        <v>0</v>
      </c>
      <c r="Y99" s="29">
        <v>0</v>
      </c>
      <c r="Z99" s="108">
        <v>157.745</v>
      </c>
      <c r="AA99" s="6">
        <v>0.54037000000000002</v>
      </c>
      <c r="AB99" s="7">
        <v>-1.4327999999999999E-3</v>
      </c>
      <c r="AC99" s="8">
        <v>2.0463000000000002E-6</v>
      </c>
      <c r="AD99" s="109">
        <v>0.17269999999999999</v>
      </c>
      <c r="AE99" s="29">
        <v>-8.3244999999999993E-5</v>
      </c>
      <c r="AF99" s="31">
        <v>-2.2357999999999999E-7</v>
      </c>
      <c r="AG99" s="112">
        <v>54.692</v>
      </c>
      <c r="AH99" s="113">
        <v>0.38</v>
      </c>
      <c r="AI99" s="114">
        <v>54.781999999999996</v>
      </c>
      <c r="AJ99" s="115">
        <v>1.2222</v>
      </c>
      <c r="AK99" s="35"/>
      <c r="AL99" s="35"/>
      <c r="AM99" s="35"/>
      <c r="AN99" s="35"/>
      <c r="AO99" s="35"/>
      <c r="AP99" s="35"/>
      <c r="AQ99" s="35"/>
      <c r="AR99" s="35"/>
      <c r="AS99" s="35"/>
      <c r="AT99" s="35"/>
      <c r="AU99" s="35"/>
      <c r="AV99" s="35"/>
    </row>
    <row r="100" spans="1:48" x14ac:dyDescent="0.2">
      <c r="A100" s="12" t="s">
        <v>88</v>
      </c>
      <c r="B100" s="5" t="s">
        <v>73</v>
      </c>
      <c r="C100" s="5" t="s">
        <v>320</v>
      </c>
      <c r="D100" s="5">
        <v>9</v>
      </c>
      <c r="E100" s="69">
        <v>4.4851960062499998</v>
      </c>
      <c r="F100" s="26">
        <f t="shared" si="6"/>
        <v>0.45008086159638472</v>
      </c>
      <c r="G100" s="52">
        <v>126.242</v>
      </c>
      <c r="H100" s="55">
        <v>604.20000000000005</v>
      </c>
      <c r="I100" s="56">
        <v>25.82</v>
      </c>
      <c r="J100" s="61">
        <v>4.7849999999999998E-4</v>
      </c>
      <c r="K100" s="56">
        <f t="shared" si="7"/>
        <v>264.10460251046027</v>
      </c>
      <c r="L100" s="52">
        <f t="shared" si="8"/>
        <v>0.24569334520436958</v>
      </c>
      <c r="M100" s="52">
        <v>0.309</v>
      </c>
      <c r="N100" s="74">
        <v>-2.2050999999999998</v>
      </c>
      <c r="O100" s="77">
        <v>468.05</v>
      </c>
      <c r="P100" s="79">
        <v>3.2000000000000002E-3</v>
      </c>
      <c r="Q100" s="28">
        <v>-5.0231000000000002E-6</v>
      </c>
      <c r="R100" s="82">
        <v>0.26379999999999998</v>
      </c>
      <c r="S100" s="83">
        <v>0.27450000000000002</v>
      </c>
      <c r="T100" s="84">
        <v>0.28570000000000001</v>
      </c>
      <c r="U100" s="91">
        <v>18.196000000000002</v>
      </c>
      <c r="V100" s="95">
        <v>-2584.3000000000002</v>
      </c>
      <c r="W100" s="98">
        <v>-3.4632000000000001</v>
      </c>
      <c r="X100" s="29">
        <v>0</v>
      </c>
      <c r="Y100" s="31">
        <v>0</v>
      </c>
      <c r="Z100" s="108">
        <v>157.66399999999999</v>
      </c>
      <c r="AA100" s="6">
        <v>0.54142000000000001</v>
      </c>
      <c r="AB100" s="7">
        <v>-1.4475E-3</v>
      </c>
      <c r="AC100" s="8">
        <v>2.0754999999999999E-6</v>
      </c>
      <c r="AD100" s="109">
        <v>0.1726</v>
      </c>
      <c r="AE100" s="29">
        <v>-8.3863999999999995E-5</v>
      </c>
      <c r="AF100" s="31">
        <v>-2.2917999999999999E-7</v>
      </c>
      <c r="AG100" s="112">
        <v>54.006</v>
      </c>
      <c r="AH100" s="113">
        <v>0.38</v>
      </c>
      <c r="AI100" s="114">
        <v>54.552</v>
      </c>
      <c r="AJ100" s="115">
        <v>1.2222</v>
      </c>
      <c r="AK100" s="35"/>
      <c r="AL100" s="35"/>
      <c r="AM100" s="35"/>
      <c r="AN100" s="35"/>
      <c r="AO100" s="35"/>
      <c r="AP100" s="35"/>
      <c r="AQ100" s="35"/>
      <c r="AR100" s="35"/>
      <c r="AS100" s="35"/>
      <c r="AT100" s="35"/>
      <c r="AU100" s="35"/>
      <c r="AV100" s="35"/>
    </row>
    <row r="101" spans="1:48" x14ac:dyDescent="0.2">
      <c r="A101" s="12" t="s">
        <v>155</v>
      </c>
      <c r="B101" s="5" t="s">
        <v>73</v>
      </c>
      <c r="C101" s="5" t="s">
        <v>321</v>
      </c>
      <c r="D101" s="5">
        <v>9</v>
      </c>
      <c r="E101" s="69">
        <v>4.2003292725000003</v>
      </c>
      <c r="F101" s="26">
        <f t="shared" si="6"/>
        <v>0.42149502838247693</v>
      </c>
      <c r="G101" s="52">
        <v>126.242</v>
      </c>
      <c r="H101" s="56">
        <v>599.80999999999995</v>
      </c>
      <c r="I101" s="56">
        <v>25.82</v>
      </c>
      <c r="J101" s="61">
        <v>4.7849999999999998E-4</v>
      </c>
      <c r="K101" s="56">
        <f t="shared" si="7"/>
        <v>264.10460251046027</v>
      </c>
      <c r="L101" s="52">
        <f t="shared" si="8"/>
        <v>0.24749157095160157</v>
      </c>
      <c r="M101" s="52">
        <v>0.309</v>
      </c>
      <c r="N101" s="74">
        <v>-1.9936</v>
      </c>
      <c r="O101" s="77">
        <v>432.74</v>
      </c>
      <c r="P101" s="79">
        <v>2.7000000000000001E-3</v>
      </c>
      <c r="Q101" s="28">
        <v>-4.7787999999999999E-6</v>
      </c>
      <c r="R101" s="82">
        <v>0.26379999999999998</v>
      </c>
      <c r="S101" s="83">
        <v>0.27510000000000001</v>
      </c>
      <c r="T101" s="83">
        <v>0.28570000000000001</v>
      </c>
      <c r="U101" s="92">
        <v>18.157</v>
      </c>
      <c r="V101" s="96">
        <v>-2563.6999999999998</v>
      </c>
      <c r="W101" s="99">
        <v>-3.4542000000000002</v>
      </c>
      <c r="X101" s="29">
        <v>0</v>
      </c>
      <c r="Y101" s="29">
        <v>0</v>
      </c>
      <c r="Z101" s="108">
        <v>156.489</v>
      </c>
      <c r="AA101" s="6">
        <v>0.55027000000000004</v>
      </c>
      <c r="AB101" s="7">
        <v>-1.4817000000000001E-3</v>
      </c>
      <c r="AC101" s="8">
        <v>2.1281999999999998E-6</v>
      </c>
      <c r="AD101" s="109">
        <v>0.17249999999999999</v>
      </c>
      <c r="AE101" s="29">
        <v>-8.4235999999999998E-5</v>
      </c>
      <c r="AF101" s="31">
        <v>-2.3264E-7</v>
      </c>
      <c r="AG101" s="112">
        <v>53.594999999999999</v>
      </c>
      <c r="AH101" s="113">
        <v>0.38</v>
      </c>
      <c r="AI101" s="114">
        <v>54.412999999999997</v>
      </c>
      <c r="AJ101" s="115">
        <v>1.2222</v>
      </c>
      <c r="AK101" s="35"/>
      <c r="AL101" s="35"/>
      <c r="AM101" s="35"/>
      <c r="AN101" s="35"/>
      <c r="AO101" s="35"/>
      <c r="AP101" s="35"/>
      <c r="AQ101" s="35"/>
      <c r="AR101" s="35"/>
      <c r="AS101" s="35"/>
      <c r="AT101" s="35"/>
      <c r="AU101" s="35"/>
      <c r="AV101" s="35"/>
    </row>
    <row r="102" spans="1:48" x14ac:dyDescent="0.2">
      <c r="A102" s="12" t="s">
        <v>89</v>
      </c>
      <c r="B102" s="5" t="s">
        <v>73</v>
      </c>
      <c r="C102" s="5" t="s">
        <v>322</v>
      </c>
      <c r="D102" s="5">
        <v>9</v>
      </c>
      <c r="E102" s="69">
        <v>4.2013163924999999</v>
      </c>
      <c r="F102" s="26">
        <f t="shared" si="6"/>
        <v>0.42159408399107906</v>
      </c>
      <c r="G102" s="52">
        <v>126.242</v>
      </c>
      <c r="H102" s="55">
        <v>611.51</v>
      </c>
      <c r="I102" s="56">
        <v>25.82</v>
      </c>
      <c r="J102" s="61">
        <v>4.7849999999999998E-4</v>
      </c>
      <c r="K102" s="56">
        <f t="shared" si="7"/>
        <v>264.10460251046027</v>
      </c>
      <c r="L102" s="52">
        <f t="shared" si="8"/>
        <v>0.24275632315494455</v>
      </c>
      <c r="M102" s="52">
        <v>0.309</v>
      </c>
      <c r="N102" s="74">
        <v>-2.5215000000000001</v>
      </c>
      <c r="O102" s="77">
        <v>522.17999999999995</v>
      </c>
      <c r="P102" s="79">
        <v>3.8E-3</v>
      </c>
      <c r="Q102" s="28">
        <v>-5.3633E-6</v>
      </c>
      <c r="R102" s="82">
        <v>0.26379999999999998</v>
      </c>
      <c r="S102" s="83">
        <v>0.26919999999999999</v>
      </c>
      <c r="T102" s="84">
        <v>0.28570000000000001</v>
      </c>
      <c r="U102" s="91">
        <v>18.260000000000002</v>
      </c>
      <c r="V102" s="95">
        <v>-2618.8000000000002</v>
      </c>
      <c r="W102" s="98">
        <v>-3.4777999999999998</v>
      </c>
      <c r="X102" s="29">
        <v>0</v>
      </c>
      <c r="Y102" s="31">
        <v>0</v>
      </c>
      <c r="Z102" s="108">
        <v>158.34800000000001</v>
      </c>
      <c r="AA102" s="6">
        <v>0.53603000000000001</v>
      </c>
      <c r="AB102" s="7">
        <v>-1.4196E-3</v>
      </c>
      <c r="AC102" s="8">
        <v>2.0283000000000001E-6</v>
      </c>
      <c r="AD102" s="109">
        <v>0.17269999999999999</v>
      </c>
      <c r="AE102" s="29">
        <v>-8.3244999999999993E-5</v>
      </c>
      <c r="AF102" s="31">
        <v>-2.2357999999999999E-7</v>
      </c>
      <c r="AG102" s="112">
        <v>54.692</v>
      </c>
      <c r="AH102" s="113">
        <v>0.38</v>
      </c>
      <c r="AI102" s="114">
        <v>54.781999999999996</v>
      </c>
      <c r="AJ102" s="115">
        <v>1.2222</v>
      </c>
      <c r="AK102" s="35"/>
      <c r="AL102" s="35"/>
      <c r="AM102" s="35"/>
      <c r="AN102" s="35"/>
      <c r="AO102" s="35"/>
      <c r="AP102" s="35"/>
      <c r="AQ102" s="35"/>
      <c r="AR102" s="35"/>
      <c r="AS102" s="35"/>
      <c r="AT102" s="35"/>
      <c r="AU102" s="35"/>
      <c r="AV102" s="35"/>
    </row>
    <row r="103" spans="1:48" x14ac:dyDescent="0.2">
      <c r="A103" s="12" t="s">
        <v>156</v>
      </c>
      <c r="B103" s="5" t="s">
        <v>73</v>
      </c>
      <c r="C103" s="5" t="s">
        <v>323</v>
      </c>
      <c r="D103" s="5">
        <v>9</v>
      </c>
      <c r="E103" s="69">
        <v>4.2002675775</v>
      </c>
      <c r="F103" s="26">
        <f t="shared" si="6"/>
        <v>0.42148883740693927</v>
      </c>
      <c r="G103" s="52">
        <v>126.242</v>
      </c>
      <c r="H103" s="56">
        <v>611.51</v>
      </c>
      <c r="I103" s="56">
        <v>25.82</v>
      </c>
      <c r="J103" s="61">
        <v>4.7849999999999998E-4</v>
      </c>
      <c r="K103" s="56">
        <f t="shared" si="7"/>
        <v>264.10460251046027</v>
      </c>
      <c r="L103" s="52">
        <f t="shared" si="8"/>
        <v>0.24275632315494455</v>
      </c>
      <c r="M103" s="52">
        <v>0.309</v>
      </c>
      <c r="N103" s="74">
        <v>-2.5215000000000001</v>
      </c>
      <c r="O103" s="77">
        <v>522.17999999999995</v>
      </c>
      <c r="P103" s="79">
        <v>3.8E-3</v>
      </c>
      <c r="Q103" s="28">
        <v>-5.3633E-6</v>
      </c>
      <c r="R103" s="82">
        <v>0.26379999999999998</v>
      </c>
      <c r="S103" s="83">
        <v>0.2676</v>
      </c>
      <c r="T103" s="83">
        <v>0.28570000000000001</v>
      </c>
      <c r="U103" s="92">
        <v>18.260000000000002</v>
      </c>
      <c r="V103" s="96">
        <v>-2618.8000000000002</v>
      </c>
      <c r="W103" s="99">
        <v>-3.4777999999999998</v>
      </c>
      <c r="X103" s="29">
        <v>0</v>
      </c>
      <c r="Y103" s="31">
        <v>0</v>
      </c>
      <c r="Z103" s="108">
        <v>157.86500000000001</v>
      </c>
      <c r="AA103" s="6">
        <v>0.53949999999999998</v>
      </c>
      <c r="AB103" s="7">
        <v>-1.4302E-3</v>
      </c>
      <c r="AC103" s="8">
        <v>2.0426999999999999E-6</v>
      </c>
      <c r="AD103" s="109">
        <v>0.17269999999999999</v>
      </c>
      <c r="AE103" s="29">
        <v>-8.3244999999999993E-5</v>
      </c>
      <c r="AF103" s="31">
        <v>-2.2357999999999999E-7</v>
      </c>
      <c r="AG103" s="112">
        <v>54.692</v>
      </c>
      <c r="AH103" s="113">
        <v>0.38</v>
      </c>
      <c r="AI103" s="114">
        <v>54.781999999999996</v>
      </c>
      <c r="AJ103" s="115">
        <v>1.2222</v>
      </c>
      <c r="AK103" s="35"/>
      <c r="AL103" s="35"/>
      <c r="AM103" s="35"/>
      <c r="AN103" s="35"/>
      <c r="AO103" s="35"/>
      <c r="AP103" s="35"/>
      <c r="AQ103" s="35"/>
      <c r="AR103" s="35"/>
      <c r="AS103" s="35"/>
      <c r="AT103" s="35"/>
      <c r="AU103" s="35"/>
      <c r="AV103" s="35"/>
    </row>
    <row r="104" spans="1:48" x14ac:dyDescent="0.2">
      <c r="A104" s="12" t="s">
        <v>157</v>
      </c>
      <c r="B104" s="5" t="s">
        <v>73</v>
      </c>
      <c r="C104" s="5" t="s">
        <v>324</v>
      </c>
      <c r="D104" s="5">
        <v>9</v>
      </c>
      <c r="E104" s="69">
        <v>4.48667149</v>
      </c>
      <c r="F104" s="26">
        <f t="shared" si="6"/>
        <v>0.45022892357551475</v>
      </c>
      <c r="G104" s="52">
        <v>126.242</v>
      </c>
      <c r="H104" s="56">
        <v>614.42999999999995</v>
      </c>
      <c r="I104" s="56">
        <v>25.82</v>
      </c>
      <c r="J104" s="61">
        <v>4.7849999999999998E-4</v>
      </c>
      <c r="K104" s="56">
        <f t="shared" si="7"/>
        <v>264.10460251046027</v>
      </c>
      <c r="L104" s="52">
        <f t="shared" si="8"/>
        <v>0.24160265477349763</v>
      </c>
      <c r="M104" s="52">
        <v>0.309</v>
      </c>
      <c r="N104" s="74">
        <v>-2.6368</v>
      </c>
      <c r="O104" s="77">
        <v>542.36</v>
      </c>
      <c r="P104" s="79">
        <v>4.0000000000000001E-3</v>
      </c>
      <c r="Q104" s="28">
        <v>-5.4789000000000002E-6</v>
      </c>
      <c r="R104" s="82">
        <v>0.26379999999999998</v>
      </c>
      <c r="S104" s="83">
        <v>0.27100000000000002</v>
      </c>
      <c r="T104" s="83">
        <v>0.28570000000000001</v>
      </c>
      <c r="U104" s="92">
        <v>18.286000000000001</v>
      </c>
      <c r="V104" s="96">
        <v>-2632.6</v>
      </c>
      <c r="W104" s="99">
        <v>-3.4836</v>
      </c>
      <c r="X104" s="29">
        <v>0</v>
      </c>
      <c r="Y104" s="29">
        <v>0</v>
      </c>
      <c r="Z104" s="108">
        <v>159.69999999999999</v>
      </c>
      <c r="AA104" s="6">
        <v>0.5262</v>
      </c>
      <c r="AB104" s="7">
        <v>-1.3855E-3</v>
      </c>
      <c r="AC104" s="8">
        <v>1.9777999999999999E-6</v>
      </c>
      <c r="AD104" s="109">
        <v>0.17269999999999999</v>
      </c>
      <c r="AE104" s="29">
        <v>-8.2997999999999994E-5</v>
      </c>
      <c r="AF104" s="31">
        <v>-2.2141E-7</v>
      </c>
      <c r="AG104" s="112">
        <v>54.966000000000001</v>
      </c>
      <c r="AH104" s="113">
        <v>0.38</v>
      </c>
      <c r="AI104" s="114">
        <v>54.872999999999998</v>
      </c>
      <c r="AJ104" s="115">
        <v>1.2222</v>
      </c>
      <c r="AK104" s="35"/>
      <c r="AL104" s="35"/>
      <c r="AM104" s="35"/>
      <c r="AN104" s="35"/>
      <c r="AO104" s="35"/>
      <c r="AP104" s="35"/>
      <c r="AQ104" s="35"/>
      <c r="AR104" s="35"/>
      <c r="AS104" s="35"/>
      <c r="AT104" s="35"/>
      <c r="AU104" s="35"/>
      <c r="AV104" s="35"/>
    </row>
    <row r="105" spans="1:48" x14ac:dyDescent="0.2">
      <c r="A105" s="12" t="s">
        <v>158</v>
      </c>
      <c r="B105" s="5" t="s">
        <v>73</v>
      </c>
      <c r="C105" s="5" t="s">
        <v>325</v>
      </c>
      <c r="D105" s="5">
        <v>9</v>
      </c>
      <c r="E105" s="69">
        <v>4.4873048862499996</v>
      </c>
      <c r="F105" s="26">
        <f t="shared" si="6"/>
        <v>0.45029248368069957</v>
      </c>
      <c r="G105" s="52">
        <v>126.242</v>
      </c>
      <c r="H105" s="56">
        <v>599.80999999999995</v>
      </c>
      <c r="I105" s="56">
        <v>25.82</v>
      </c>
      <c r="J105" s="61">
        <v>4.7849999999999998E-4</v>
      </c>
      <c r="K105" s="56">
        <f t="shared" si="7"/>
        <v>264.10460251046027</v>
      </c>
      <c r="L105" s="52">
        <f t="shared" si="8"/>
        <v>0.24749157095160157</v>
      </c>
      <c r="M105" s="52">
        <v>0.309</v>
      </c>
      <c r="N105" s="74">
        <v>-1.9936</v>
      </c>
      <c r="O105" s="77">
        <v>432.74</v>
      </c>
      <c r="P105" s="79">
        <v>2.7000000000000001E-3</v>
      </c>
      <c r="Q105" s="28">
        <v>-4.7787999999999999E-6</v>
      </c>
      <c r="R105" s="82">
        <v>0.26379999999999998</v>
      </c>
      <c r="S105" s="83">
        <v>0.27510000000000001</v>
      </c>
      <c r="T105" s="83">
        <v>0.28570000000000001</v>
      </c>
      <c r="U105" s="92">
        <v>18.157</v>
      </c>
      <c r="V105" s="96">
        <v>-2563.6999999999998</v>
      </c>
      <c r="W105" s="99">
        <v>-3.4542000000000002</v>
      </c>
      <c r="X105" s="29">
        <v>0</v>
      </c>
      <c r="Y105" s="29">
        <v>0</v>
      </c>
      <c r="Z105" s="108">
        <v>156.489</v>
      </c>
      <c r="AA105" s="6">
        <v>0.55027000000000004</v>
      </c>
      <c r="AB105" s="7">
        <v>-1.4817000000000001E-3</v>
      </c>
      <c r="AC105" s="8">
        <v>2.1281999999999998E-6</v>
      </c>
      <c r="AD105" s="109">
        <v>0.17249999999999999</v>
      </c>
      <c r="AE105" s="29">
        <v>-8.4235999999999998E-5</v>
      </c>
      <c r="AF105" s="31">
        <v>-2.3264E-7</v>
      </c>
      <c r="AG105" s="112">
        <v>53.594999999999999</v>
      </c>
      <c r="AH105" s="113">
        <v>0.38</v>
      </c>
      <c r="AI105" s="114">
        <v>54.412999999999997</v>
      </c>
      <c r="AJ105" s="115">
        <v>1.2222</v>
      </c>
      <c r="AK105" s="35"/>
      <c r="AL105" s="35"/>
      <c r="AM105" s="35"/>
      <c r="AN105" s="35"/>
      <c r="AO105" s="35"/>
      <c r="AP105" s="35"/>
      <c r="AQ105" s="35"/>
      <c r="AR105" s="35"/>
      <c r="AS105" s="35"/>
      <c r="AT105" s="35"/>
      <c r="AU105" s="35"/>
      <c r="AV105" s="35"/>
    </row>
    <row r="106" spans="1:48" x14ac:dyDescent="0.2">
      <c r="A106" s="12" t="s">
        <v>159</v>
      </c>
      <c r="B106" s="5" t="s">
        <v>73</v>
      </c>
      <c r="C106" s="5" t="s">
        <v>326</v>
      </c>
      <c r="D106" s="5">
        <v>9</v>
      </c>
      <c r="E106" s="69">
        <v>4.4872206774999999</v>
      </c>
      <c r="F106" s="26">
        <f t="shared" si="6"/>
        <v>0.45028403349330509</v>
      </c>
      <c r="G106" s="52">
        <v>126.242</v>
      </c>
      <c r="H106" s="56">
        <v>611.51</v>
      </c>
      <c r="I106" s="56">
        <v>25.82</v>
      </c>
      <c r="J106" s="61">
        <v>4.7849999999999998E-4</v>
      </c>
      <c r="K106" s="56">
        <f t="shared" si="7"/>
        <v>264.10460251046027</v>
      </c>
      <c r="L106" s="52">
        <f t="shared" si="8"/>
        <v>0.24275632315494455</v>
      </c>
      <c r="M106" s="52">
        <v>0.309</v>
      </c>
      <c r="N106" s="74">
        <v>-2.5215000000000001</v>
      </c>
      <c r="O106" s="77">
        <v>522.17999999999995</v>
      </c>
      <c r="P106" s="79">
        <v>3.8E-3</v>
      </c>
      <c r="Q106" s="28">
        <v>-5.3633E-6</v>
      </c>
      <c r="R106" s="82">
        <v>0.26379999999999998</v>
      </c>
      <c r="S106" s="83">
        <v>0.27179999999999999</v>
      </c>
      <c r="T106" s="83">
        <v>0.28570000000000001</v>
      </c>
      <c r="U106" s="92">
        <v>18.260000000000002</v>
      </c>
      <c r="V106" s="96">
        <v>-2618.8000000000002</v>
      </c>
      <c r="W106" s="99">
        <v>-3.4777999999999998</v>
      </c>
      <c r="X106" s="29">
        <v>0</v>
      </c>
      <c r="Y106" s="29">
        <v>0</v>
      </c>
      <c r="Z106" s="108">
        <v>159.07499999999999</v>
      </c>
      <c r="AA106" s="6">
        <v>0.53081999999999996</v>
      </c>
      <c r="AB106" s="7">
        <v>-1.4038E-3</v>
      </c>
      <c r="AC106" s="8">
        <v>2.0065000000000002E-6</v>
      </c>
      <c r="AD106" s="109">
        <v>0.17269999999999999</v>
      </c>
      <c r="AE106" s="29">
        <v>-8.3244999999999993E-5</v>
      </c>
      <c r="AF106" s="31">
        <v>-2.2357999999999999E-7</v>
      </c>
      <c r="AG106" s="112">
        <v>54.692</v>
      </c>
      <c r="AH106" s="113">
        <v>0.38</v>
      </c>
      <c r="AI106" s="114">
        <v>54.781999999999996</v>
      </c>
      <c r="AJ106" s="115">
        <v>1.2222</v>
      </c>
      <c r="AK106" s="35"/>
      <c r="AL106" s="35"/>
      <c r="AM106" s="35"/>
      <c r="AN106" s="35"/>
      <c r="AO106" s="35"/>
      <c r="AP106" s="35"/>
      <c r="AQ106" s="35"/>
      <c r="AR106" s="35"/>
      <c r="AS106" s="35"/>
      <c r="AT106" s="35"/>
      <c r="AU106" s="35"/>
      <c r="AV106" s="35"/>
    </row>
    <row r="107" spans="1:48" x14ac:dyDescent="0.2">
      <c r="A107" s="12" t="s">
        <v>90</v>
      </c>
      <c r="B107" s="5" t="s">
        <v>73</v>
      </c>
      <c r="C107" s="5" t="s">
        <v>270</v>
      </c>
      <c r="D107" s="5">
        <v>9</v>
      </c>
      <c r="E107" s="69">
        <v>3.6134395325000002</v>
      </c>
      <c r="F107" s="26">
        <f t="shared" si="6"/>
        <v>0.36260176274298306</v>
      </c>
      <c r="G107" s="52">
        <v>126.242</v>
      </c>
      <c r="H107" s="55">
        <v>617.21</v>
      </c>
      <c r="I107" s="56">
        <v>27.88</v>
      </c>
      <c r="J107" s="61">
        <v>4.7449999999999999E-4</v>
      </c>
      <c r="K107" s="56">
        <f t="shared" si="7"/>
        <v>266.33333333333337</v>
      </c>
      <c r="L107" s="52">
        <f t="shared" si="8"/>
        <v>0.25753018336446354</v>
      </c>
      <c r="M107" s="52">
        <v>0.33</v>
      </c>
      <c r="N107" s="74">
        <v>-4.3810000000000002</v>
      </c>
      <c r="O107" s="77">
        <v>772.6</v>
      </c>
      <c r="P107" s="79">
        <v>8.2000000000000007E-3</v>
      </c>
      <c r="Q107" s="28">
        <v>-8.6260000000000001E-6</v>
      </c>
      <c r="R107" s="82">
        <v>0.2661</v>
      </c>
      <c r="S107" s="83">
        <v>0.2742</v>
      </c>
      <c r="T107" s="84">
        <v>0.28570000000000001</v>
      </c>
      <c r="U107" s="91">
        <v>19.273</v>
      </c>
      <c r="V107" s="95">
        <v>-2737.3</v>
      </c>
      <c r="W107" s="98">
        <v>-3.7692999999999999</v>
      </c>
      <c r="X107" s="29">
        <v>0</v>
      </c>
      <c r="Y107" s="31">
        <v>0</v>
      </c>
      <c r="Z107" s="108">
        <v>168.47499999999999</v>
      </c>
      <c r="AA107" s="6">
        <v>0.44551000000000002</v>
      </c>
      <c r="AB107" s="7">
        <v>-1.1712999999999999E-3</v>
      </c>
      <c r="AC107" s="8">
        <v>1.7696E-6</v>
      </c>
      <c r="AD107" s="109">
        <v>0.1749</v>
      </c>
      <c r="AE107" s="29">
        <v>-9.3398000000000003E-5</v>
      </c>
      <c r="AF107" s="31">
        <v>-2.0753999999999999E-7</v>
      </c>
      <c r="AG107" s="112">
        <v>55.744</v>
      </c>
      <c r="AH107" s="113">
        <v>0.38</v>
      </c>
      <c r="AI107" s="114">
        <v>56.962000000000003</v>
      </c>
      <c r="AJ107" s="115">
        <v>1.2222</v>
      </c>
      <c r="AK107" s="35"/>
      <c r="AL107" s="35"/>
      <c r="AM107" s="35"/>
      <c r="AN107" s="35"/>
      <c r="AO107" s="35"/>
      <c r="AP107" s="35"/>
      <c r="AQ107" s="35"/>
      <c r="AR107" s="35"/>
      <c r="AS107" s="35"/>
      <c r="AT107" s="35"/>
      <c r="AU107" s="35"/>
      <c r="AV107" s="35"/>
    </row>
    <row r="108" spans="1:48" x14ac:dyDescent="0.2">
      <c r="A108" s="12" t="s">
        <v>91</v>
      </c>
      <c r="B108" s="5" t="s">
        <v>73</v>
      </c>
      <c r="C108" s="5" t="s">
        <v>271</v>
      </c>
      <c r="D108" s="5">
        <v>9</v>
      </c>
      <c r="E108" s="69">
        <v>3.3225382649999999</v>
      </c>
      <c r="F108" s="26">
        <f t="shared" si="6"/>
        <v>0.33341037558098741</v>
      </c>
      <c r="G108" s="52">
        <v>126.242</v>
      </c>
      <c r="H108" s="55">
        <v>627</v>
      </c>
      <c r="I108" s="56">
        <v>28.5</v>
      </c>
      <c r="J108" s="61">
        <v>4.64E-4</v>
      </c>
      <c r="K108" s="56">
        <f t="shared" si="7"/>
        <v>272.07327586206895</v>
      </c>
      <c r="L108" s="52">
        <f t="shared" si="8"/>
        <v>0.25367944540424692</v>
      </c>
      <c r="M108" s="52">
        <v>0.33</v>
      </c>
      <c r="N108" s="74">
        <v>-3.2138</v>
      </c>
      <c r="O108" s="77">
        <v>635.46</v>
      </c>
      <c r="P108" s="79">
        <v>5.4000000000000003E-3</v>
      </c>
      <c r="Q108" s="28">
        <v>-6.3690999999999997E-6</v>
      </c>
      <c r="R108" s="82">
        <v>0.27210000000000001</v>
      </c>
      <c r="S108" s="83">
        <v>0.27129999999999999</v>
      </c>
      <c r="T108" s="84">
        <v>0.29809999999999998</v>
      </c>
      <c r="U108" s="91">
        <v>38.64</v>
      </c>
      <c r="V108" s="95">
        <v>-3553.7</v>
      </c>
      <c r="W108" s="98">
        <v>-10.621</v>
      </c>
      <c r="X108" s="29">
        <v>8.7017000000000001E-11</v>
      </c>
      <c r="Y108" s="30">
        <v>2.7087E-6</v>
      </c>
      <c r="Z108" s="108">
        <v>161.428</v>
      </c>
      <c r="AA108" s="6">
        <v>0.48659999999999998</v>
      </c>
      <c r="AB108" s="7">
        <v>-1.2496E-3</v>
      </c>
      <c r="AC108" s="8">
        <v>1.81E-6</v>
      </c>
      <c r="AD108" s="109">
        <v>0.17330000000000001</v>
      </c>
      <c r="AE108" s="29">
        <v>-8.4887000000000002E-5</v>
      </c>
      <c r="AF108" s="31">
        <v>-2.0870999999999999E-7</v>
      </c>
      <c r="AG108" s="112">
        <v>56.96</v>
      </c>
      <c r="AH108" s="113">
        <v>0.38400000000000001</v>
      </c>
      <c r="AI108" s="114">
        <v>59.5</v>
      </c>
      <c r="AJ108" s="115">
        <v>1.3009999999999999</v>
      </c>
      <c r="AK108" s="35"/>
      <c r="AL108" s="35"/>
      <c r="AM108" s="35"/>
      <c r="AN108" s="35"/>
      <c r="AO108" s="35"/>
      <c r="AP108" s="35"/>
      <c r="AQ108" s="35"/>
      <c r="AR108" s="35"/>
      <c r="AS108" s="35"/>
      <c r="AT108" s="35"/>
      <c r="AU108" s="35"/>
      <c r="AV108" s="35"/>
    </row>
    <row r="109" spans="1:48" x14ac:dyDescent="0.2">
      <c r="A109" s="12" t="s">
        <v>92</v>
      </c>
      <c r="B109" s="5" t="s">
        <v>73</v>
      </c>
      <c r="C109" s="5" t="s">
        <v>272</v>
      </c>
      <c r="D109" s="5">
        <v>9</v>
      </c>
      <c r="E109" s="69">
        <v>3.9475322249999998</v>
      </c>
      <c r="F109" s="26">
        <f t="shared" si="6"/>
        <v>0.39612732699567593</v>
      </c>
      <c r="G109" s="52">
        <v>126.242</v>
      </c>
      <c r="H109" s="55">
        <v>633.38</v>
      </c>
      <c r="I109" s="56">
        <v>29.8</v>
      </c>
      <c r="J109" s="61">
        <v>4.705E-4</v>
      </c>
      <c r="K109" s="56">
        <f t="shared" si="7"/>
        <v>268.60000000000008</v>
      </c>
      <c r="L109" s="52">
        <f t="shared" si="8"/>
        <v>0.26597434995477665</v>
      </c>
      <c r="M109" s="52">
        <v>0.29199999999999998</v>
      </c>
      <c r="N109" s="74">
        <v>-3.5335000000000001</v>
      </c>
      <c r="O109" s="77">
        <v>676.65</v>
      </c>
      <c r="P109" s="79">
        <v>6.0000000000000001E-3</v>
      </c>
      <c r="Q109" s="28">
        <v>-6.6699000000000003E-6</v>
      </c>
      <c r="R109" s="82">
        <v>0.26829999999999998</v>
      </c>
      <c r="S109" s="83">
        <v>0.26879999999999998</v>
      </c>
      <c r="T109" s="84">
        <v>0.28570000000000001</v>
      </c>
      <c r="U109" s="91">
        <v>14.654999999999999</v>
      </c>
      <c r="V109" s="95">
        <v>-2419.5</v>
      </c>
      <c r="W109" s="98">
        <v>-2.3149999999999999</v>
      </c>
      <c r="X109" s="29">
        <v>0</v>
      </c>
      <c r="Y109" s="31">
        <v>0</v>
      </c>
      <c r="Z109" s="108">
        <v>151.36199999999999</v>
      </c>
      <c r="AA109" s="6">
        <v>0.48807</v>
      </c>
      <c r="AB109" s="7">
        <v>-1.2252999999999999E-3</v>
      </c>
      <c r="AC109" s="8">
        <v>1.6963E-6</v>
      </c>
      <c r="AD109" s="109">
        <v>0.1681</v>
      </c>
      <c r="AE109" s="29">
        <v>-7.4017999999999995E-5</v>
      </c>
      <c r="AF109" s="31">
        <v>-2.0926000000000001E-7</v>
      </c>
      <c r="AG109" s="112">
        <v>55.231000000000002</v>
      </c>
      <c r="AH109" s="113">
        <v>0.38</v>
      </c>
      <c r="AI109" s="114">
        <v>58.430999999999997</v>
      </c>
      <c r="AJ109" s="115">
        <v>1.2222</v>
      </c>
      <c r="AK109" s="35"/>
      <c r="AL109" s="35"/>
      <c r="AM109" s="35"/>
      <c r="AN109" s="35"/>
      <c r="AO109" s="35"/>
      <c r="AP109" s="35"/>
      <c r="AQ109" s="35"/>
      <c r="AR109" s="35"/>
      <c r="AS109" s="35"/>
      <c r="AT109" s="35"/>
      <c r="AU109" s="35"/>
      <c r="AV109" s="35"/>
    </row>
    <row r="110" spans="1:48" x14ac:dyDescent="0.2">
      <c r="A110" s="13" t="s">
        <v>121</v>
      </c>
      <c r="B110" s="5" t="s">
        <v>73</v>
      </c>
      <c r="C110" s="5" t="s">
        <v>273</v>
      </c>
      <c r="D110" s="5">
        <v>9</v>
      </c>
      <c r="E110" s="69">
        <v>5.951496895</v>
      </c>
      <c r="F110" s="26">
        <f t="shared" ref="F110:F141" si="9">(E110-MIN($E$78:$E$152))/(MAX($E$78:$E$152)-MIN($E$78:$E$152))</f>
        <v>0.5972213581206206</v>
      </c>
      <c r="G110" s="52">
        <v>126.242</v>
      </c>
      <c r="H110" s="56">
        <v>626.04999999999995</v>
      </c>
      <c r="I110" s="56">
        <v>29.25</v>
      </c>
      <c r="J110" s="61">
        <v>4.7249999999999999E-4</v>
      </c>
      <c r="K110" s="56">
        <f t="shared" si="7"/>
        <v>267.46186440677968</v>
      </c>
      <c r="L110" s="52">
        <f t="shared" si="8"/>
        <v>0.26524599125718007</v>
      </c>
      <c r="M110" s="52">
        <v>0.29199999999999998</v>
      </c>
      <c r="N110" s="74">
        <v>-4.7381000000000002</v>
      </c>
      <c r="O110" s="77">
        <v>826.9</v>
      </c>
      <c r="P110" s="79">
        <v>8.8999999999999999E-3</v>
      </c>
      <c r="Q110" s="28">
        <v>-8.8405999999999997E-6</v>
      </c>
      <c r="R110" s="82">
        <v>0.26719999999999999</v>
      </c>
      <c r="S110" s="83">
        <v>0.26939999999999997</v>
      </c>
      <c r="T110" s="84">
        <v>0.28570000000000001</v>
      </c>
      <c r="U110" s="91">
        <v>18.242999999999999</v>
      </c>
      <c r="V110" s="95">
        <v>-2645.7</v>
      </c>
      <c r="W110" s="98">
        <v>-3.4598</v>
      </c>
      <c r="X110" s="29">
        <v>0</v>
      </c>
      <c r="Y110" s="31">
        <v>0</v>
      </c>
      <c r="Z110" s="108">
        <v>154.78700000000001</v>
      </c>
      <c r="AA110" s="6">
        <v>0.49301</v>
      </c>
      <c r="AB110" s="7">
        <v>-1.2554E-3</v>
      </c>
      <c r="AC110" s="8">
        <v>1.7689999999999999E-6</v>
      </c>
      <c r="AD110" s="109">
        <v>0.1691</v>
      </c>
      <c r="AE110" s="29">
        <v>-7.7916000000000004E-5</v>
      </c>
      <c r="AF110" s="31">
        <v>-2.1147E-7</v>
      </c>
      <c r="AG110" s="112">
        <v>54.658999999999999</v>
      </c>
      <c r="AH110" s="113">
        <v>0.38</v>
      </c>
      <c r="AI110" s="114">
        <v>57.762999999999998</v>
      </c>
      <c r="AJ110" s="115">
        <v>1.2222</v>
      </c>
      <c r="AK110" s="35"/>
      <c r="AL110" s="35"/>
      <c r="AM110" s="35"/>
      <c r="AN110" s="35"/>
      <c r="AO110" s="35"/>
      <c r="AP110" s="35"/>
      <c r="AQ110" s="35"/>
      <c r="AR110" s="35"/>
      <c r="AS110" s="35"/>
      <c r="AT110" s="35"/>
      <c r="AU110" s="35"/>
      <c r="AV110" s="35"/>
    </row>
    <row r="111" spans="1:48" x14ac:dyDescent="0.2">
      <c r="A111" s="12" t="s">
        <v>93</v>
      </c>
      <c r="B111" s="5" t="s">
        <v>73</v>
      </c>
      <c r="C111" s="5" t="s">
        <v>274</v>
      </c>
      <c r="D111" s="5">
        <v>9</v>
      </c>
      <c r="E111" s="69">
        <v>3.9530824500000001</v>
      </c>
      <c r="F111" s="26">
        <f t="shared" si="9"/>
        <v>0.3966842814847491</v>
      </c>
      <c r="G111" s="52">
        <v>126.242</v>
      </c>
      <c r="H111" s="55">
        <v>618.03</v>
      </c>
      <c r="I111" s="56">
        <v>29</v>
      </c>
      <c r="J111" s="61">
        <v>4.7849999999999998E-4</v>
      </c>
      <c r="K111" s="56">
        <f t="shared" si="7"/>
        <v>264.10460251046027</v>
      </c>
      <c r="L111" s="52">
        <f t="shared" si="8"/>
        <v>0.26977786756620437</v>
      </c>
      <c r="M111" s="52">
        <v>0.32100000000000001</v>
      </c>
      <c r="N111" s="74">
        <v>-4.9240000000000004</v>
      </c>
      <c r="O111" s="77">
        <v>841.24</v>
      </c>
      <c r="P111" s="79">
        <v>9.4999999999999998E-3</v>
      </c>
      <c r="Q111" s="28">
        <v>-9.5555000000000002E-6</v>
      </c>
      <c r="R111" s="82">
        <v>0.26379999999999998</v>
      </c>
      <c r="S111" s="83">
        <v>0.2641</v>
      </c>
      <c r="T111" s="84">
        <v>0.28570000000000001</v>
      </c>
      <c r="U111" s="91">
        <v>18.457999999999998</v>
      </c>
      <c r="V111" s="95">
        <v>-2668.8</v>
      </c>
      <c r="W111" s="98">
        <v>-3.5121000000000002</v>
      </c>
      <c r="X111" s="29">
        <v>0</v>
      </c>
      <c r="Y111" s="31">
        <v>0</v>
      </c>
      <c r="Z111" s="108">
        <v>148.239</v>
      </c>
      <c r="AA111" s="6">
        <v>0.57277999999999996</v>
      </c>
      <c r="AB111" s="7">
        <v>-1.4875000000000001E-3</v>
      </c>
      <c r="AC111" s="8">
        <v>2.0366000000000001E-6</v>
      </c>
      <c r="AD111" s="109">
        <v>0.16900000000000001</v>
      </c>
      <c r="AE111" s="29">
        <v>-7.2677999999999998E-5</v>
      </c>
      <c r="AF111" s="31">
        <v>-2.2609000000000001E-7</v>
      </c>
      <c r="AG111" s="112">
        <v>55.222999999999999</v>
      </c>
      <c r="AH111" s="113">
        <v>0.38</v>
      </c>
      <c r="AI111" s="114">
        <v>57.743000000000002</v>
      </c>
      <c r="AJ111" s="115">
        <v>1.2222</v>
      </c>
      <c r="AK111" s="35"/>
      <c r="AL111" s="35"/>
      <c r="AM111" s="35"/>
      <c r="AN111" s="35"/>
      <c r="AO111" s="35"/>
      <c r="AP111" s="35"/>
      <c r="AQ111" s="35"/>
      <c r="AR111" s="35"/>
      <c r="AS111" s="35"/>
      <c r="AT111" s="35"/>
      <c r="AU111" s="35"/>
      <c r="AV111" s="35"/>
    </row>
    <row r="112" spans="1:48" x14ac:dyDescent="0.2">
      <c r="A112" s="13" t="s">
        <v>122</v>
      </c>
      <c r="B112" s="5" t="s">
        <v>73</v>
      </c>
      <c r="C112" s="5" t="s">
        <v>327</v>
      </c>
      <c r="D112" s="5">
        <v>9</v>
      </c>
      <c r="E112" s="69">
        <v>2.6764762499999999</v>
      </c>
      <c r="F112" s="26">
        <f t="shared" si="9"/>
        <v>0.26857928504431916</v>
      </c>
      <c r="G112" s="52">
        <v>126.242</v>
      </c>
      <c r="H112" s="56">
        <v>632.03</v>
      </c>
      <c r="I112" s="56">
        <v>27.41</v>
      </c>
      <c r="J112" s="61">
        <v>4.7150000000000002E-4</v>
      </c>
      <c r="K112" s="56">
        <f t="shared" si="7"/>
        <v>268.02972399150741</v>
      </c>
      <c r="L112" s="52">
        <f t="shared" si="8"/>
        <v>0.24568702949217577</v>
      </c>
      <c r="M112" s="52">
        <v>0.30499999999999999</v>
      </c>
      <c r="N112" s="74">
        <v>-2.5264000000000002</v>
      </c>
      <c r="O112" s="77">
        <v>551.65</v>
      </c>
      <c r="P112" s="79">
        <v>3.5999999999999999E-3</v>
      </c>
      <c r="Q112" s="28">
        <v>-4.9286999999999999E-6</v>
      </c>
      <c r="R112" s="82">
        <v>0.26779999999999998</v>
      </c>
      <c r="S112" s="83">
        <v>0.26650000000000001</v>
      </c>
      <c r="T112" s="84">
        <v>0.28570000000000001</v>
      </c>
      <c r="U112" s="91">
        <v>19.835999999999999</v>
      </c>
      <c r="V112" s="95">
        <v>-2805.8</v>
      </c>
      <c r="W112" s="98">
        <v>-3.9575</v>
      </c>
      <c r="X112" s="29">
        <v>0</v>
      </c>
      <c r="Y112" s="31">
        <v>0</v>
      </c>
      <c r="Z112" s="108">
        <v>159.28399999999999</v>
      </c>
      <c r="AA112" s="6">
        <v>0.47597</v>
      </c>
      <c r="AB112" s="7">
        <v>-1.2133999999999999E-3</v>
      </c>
      <c r="AC112" s="8">
        <v>1.7306E-6</v>
      </c>
      <c r="AD112" s="109">
        <v>0.1719</v>
      </c>
      <c r="AE112" s="29">
        <v>-8.1798999999999994E-5</v>
      </c>
      <c r="AF112" s="31">
        <v>-2.0627999999999999E-7</v>
      </c>
      <c r="AG112" s="112">
        <v>56.118000000000002</v>
      </c>
      <c r="AH112" s="113">
        <v>0.38</v>
      </c>
      <c r="AI112" s="114">
        <v>56.67</v>
      </c>
      <c r="AJ112" s="115">
        <v>1.2222</v>
      </c>
      <c r="AK112" s="35"/>
      <c r="AL112" s="35"/>
      <c r="AM112" s="35"/>
      <c r="AN112" s="35"/>
      <c r="AO112" s="35"/>
      <c r="AP112" s="35"/>
      <c r="AQ112" s="35"/>
      <c r="AR112" s="35"/>
      <c r="AS112" s="35"/>
      <c r="AT112" s="35"/>
      <c r="AU112" s="35"/>
      <c r="AV112" s="35"/>
    </row>
    <row r="113" spans="1:48" x14ac:dyDescent="0.2">
      <c r="A113" s="12" t="s">
        <v>94</v>
      </c>
      <c r="B113" s="5" t="s">
        <v>73</v>
      </c>
      <c r="C113" s="5" t="s">
        <v>328</v>
      </c>
      <c r="D113" s="5">
        <v>9</v>
      </c>
      <c r="E113" s="69">
        <v>4.8520201687500002</v>
      </c>
      <c r="F113" s="26">
        <f t="shared" si="9"/>
        <v>0.4868909664128318</v>
      </c>
      <c r="G113" s="52">
        <v>126.242</v>
      </c>
      <c r="H113" s="55">
        <v>619.02</v>
      </c>
      <c r="I113" s="56">
        <v>26.93</v>
      </c>
      <c r="J113" s="61">
        <v>4.7350000000000002E-4</v>
      </c>
      <c r="K113" s="56">
        <f t="shared" si="7"/>
        <v>266.89640591966173</v>
      </c>
      <c r="L113" s="52">
        <f t="shared" si="8"/>
        <v>0.24750432537848574</v>
      </c>
      <c r="M113" s="52">
        <v>0.30499999999999999</v>
      </c>
      <c r="N113" s="74">
        <v>-3.4510000000000001</v>
      </c>
      <c r="O113" s="77">
        <v>653.39</v>
      </c>
      <c r="P113" s="79">
        <v>5.8999999999999999E-3</v>
      </c>
      <c r="Q113" s="28">
        <v>-6.7986999999999998E-6</v>
      </c>
      <c r="R113" s="82">
        <v>0.2666</v>
      </c>
      <c r="S113" s="83">
        <v>0.27050000000000002</v>
      </c>
      <c r="T113" s="84">
        <v>0.28570000000000001</v>
      </c>
      <c r="U113" s="91">
        <v>18.295000000000002</v>
      </c>
      <c r="V113" s="95">
        <v>-2644</v>
      </c>
      <c r="W113" s="98">
        <v>-3.4811000000000001</v>
      </c>
      <c r="X113" s="29">
        <v>0</v>
      </c>
      <c r="Y113" s="31">
        <v>0</v>
      </c>
      <c r="Z113" s="108">
        <v>162.256</v>
      </c>
      <c r="AA113" s="6">
        <v>0.48409999999999997</v>
      </c>
      <c r="AB113" s="7">
        <v>-1.2626E-3</v>
      </c>
      <c r="AC113" s="8">
        <v>1.8392999999999999E-6</v>
      </c>
      <c r="AD113" s="109">
        <v>0.17280000000000001</v>
      </c>
      <c r="AE113" s="29">
        <v>-8.6281999999999998E-5</v>
      </c>
      <c r="AF113" s="31">
        <v>-2.124E-7</v>
      </c>
      <c r="AG113" s="112">
        <v>55.003999999999998</v>
      </c>
      <c r="AH113" s="113">
        <v>0.38</v>
      </c>
      <c r="AI113" s="114">
        <v>55.869</v>
      </c>
      <c r="AJ113" s="115">
        <v>1.2222</v>
      </c>
      <c r="AK113" s="35"/>
      <c r="AL113" s="35"/>
      <c r="AM113" s="35"/>
      <c r="AN113" s="35"/>
      <c r="AO113" s="35"/>
      <c r="AP113" s="35"/>
      <c r="AQ113" s="35"/>
      <c r="AR113" s="35"/>
      <c r="AS113" s="35"/>
      <c r="AT113" s="35"/>
      <c r="AU113" s="35"/>
      <c r="AV113" s="35"/>
    </row>
    <row r="114" spans="1:48" x14ac:dyDescent="0.2">
      <c r="A114" s="12" t="s">
        <v>95</v>
      </c>
      <c r="B114" s="5" t="s">
        <v>73</v>
      </c>
      <c r="C114" s="5" t="s">
        <v>329</v>
      </c>
      <c r="D114" s="5">
        <v>9</v>
      </c>
      <c r="E114" s="69">
        <v>2.6804225000000002</v>
      </c>
      <c r="F114" s="26">
        <f t="shared" si="9"/>
        <v>0.26897528370248258</v>
      </c>
      <c r="G114" s="52">
        <v>126.242</v>
      </c>
      <c r="H114" s="55">
        <v>620.88</v>
      </c>
      <c r="I114" s="56">
        <v>26.71</v>
      </c>
      <c r="J114" s="61">
        <v>4.795E-4</v>
      </c>
      <c r="K114" s="56">
        <f t="shared" si="7"/>
        <v>263.55323590814203</v>
      </c>
      <c r="L114" s="52">
        <f t="shared" si="8"/>
        <v>0.24785159087443898</v>
      </c>
      <c r="M114" s="52">
        <v>0.33400000000000002</v>
      </c>
      <c r="N114" s="74">
        <v>-3.4510000000000001</v>
      </c>
      <c r="O114" s="77">
        <v>653.39</v>
      </c>
      <c r="P114" s="79">
        <v>5.8999999999999999E-3</v>
      </c>
      <c r="Q114" s="28">
        <v>-6.7986999999999998E-6</v>
      </c>
      <c r="R114" s="82">
        <v>0.26329999999999998</v>
      </c>
      <c r="S114" s="83">
        <v>0.26669999999999999</v>
      </c>
      <c r="T114" s="84">
        <v>0.28570000000000001</v>
      </c>
      <c r="U114" s="91">
        <v>18.591999999999999</v>
      </c>
      <c r="V114" s="95">
        <v>-2713</v>
      </c>
      <c r="W114" s="98">
        <v>-3.5518000000000001</v>
      </c>
      <c r="X114" s="29">
        <v>0</v>
      </c>
      <c r="Y114" s="31">
        <v>0</v>
      </c>
      <c r="Z114" s="108">
        <v>166.405</v>
      </c>
      <c r="AA114" s="6">
        <v>0.48391000000000001</v>
      </c>
      <c r="AB114" s="7">
        <v>-1.273E-3</v>
      </c>
      <c r="AC114" s="8">
        <v>1.8733999999999999E-6</v>
      </c>
      <c r="AD114" s="109">
        <v>0.17510000000000001</v>
      </c>
      <c r="AE114" s="29">
        <v>-8.9498000000000003E-5</v>
      </c>
      <c r="AF114" s="31">
        <v>-2.1054999999999999E-7</v>
      </c>
      <c r="AG114" s="112">
        <v>56.487000000000002</v>
      </c>
      <c r="AH114" s="113">
        <v>0.38</v>
      </c>
      <c r="AI114" s="114">
        <v>56.192</v>
      </c>
      <c r="AJ114" s="115">
        <v>1.2222</v>
      </c>
      <c r="AK114" s="35"/>
      <c r="AL114" s="35"/>
      <c r="AM114" s="35"/>
      <c r="AN114" s="35"/>
      <c r="AO114" s="35"/>
      <c r="AP114" s="35"/>
      <c r="AQ114" s="35"/>
      <c r="AR114" s="35"/>
      <c r="AS114" s="35"/>
      <c r="AT114" s="35"/>
      <c r="AU114" s="35"/>
      <c r="AV114" s="35"/>
    </row>
    <row r="115" spans="1:48" x14ac:dyDescent="0.2">
      <c r="A115" s="13" t="s">
        <v>123</v>
      </c>
      <c r="B115" s="5" t="s">
        <v>73</v>
      </c>
      <c r="C115" s="5" t="s">
        <v>330</v>
      </c>
      <c r="D115" s="5">
        <v>9</v>
      </c>
      <c r="E115" s="69">
        <v>2.9603219424999998</v>
      </c>
      <c r="F115" s="26">
        <f t="shared" si="9"/>
        <v>0.29706265871690812</v>
      </c>
      <c r="G115" s="52">
        <v>126.242</v>
      </c>
      <c r="H115" s="56">
        <v>620.1</v>
      </c>
      <c r="I115" s="56">
        <v>27.41</v>
      </c>
      <c r="J115" s="61">
        <v>4.7150000000000002E-4</v>
      </c>
      <c r="K115" s="56">
        <f t="shared" si="7"/>
        <v>268.02972399150741</v>
      </c>
      <c r="L115" s="52">
        <f t="shared" si="8"/>
        <v>0.25041376108682445</v>
      </c>
      <c r="M115" s="52">
        <v>0.30499999999999999</v>
      </c>
      <c r="N115" s="74">
        <v>-1.948</v>
      </c>
      <c r="O115" s="77">
        <v>451.65</v>
      </c>
      <c r="P115" s="79">
        <v>2.5000000000000001E-3</v>
      </c>
      <c r="Q115" s="28">
        <v>-4.2989999999999998E-6</v>
      </c>
      <c r="R115" s="82">
        <v>0.26779999999999998</v>
      </c>
      <c r="S115" s="83">
        <v>0.27500000000000002</v>
      </c>
      <c r="T115" s="84">
        <v>0.28570000000000001</v>
      </c>
      <c r="U115" s="91">
        <v>18.655000000000001</v>
      </c>
      <c r="V115" s="95">
        <v>-2672.4</v>
      </c>
      <c r="W115" s="98">
        <v>-3.5924999999999998</v>
      </c>
      <c r="X115" s="29">
        <v>0</v>
      </c>
      <c r="Y115" s="31">
        <v>0</v>
      </c>
      <c r="Z115" s="108">
        <v>158.374</v>
      </c>
      <c r="AA115" s="6">
        <v>0.48243999999999998</v>
      </c>
      <c r="AB115" s="7">
        <v>-1.2485E-3</v>
      </c>
      <c r="AC115" s="8">
        <v>1.7911000000000001E-6</v>
      </c>
      <c r="AD115" s="109">
        <v>0.17169999999999999</v>
      </c>
      <c r="AE115" s="29">
        <v>-8.2810000000000002E-5</v>
      </c>
      <c r="AF115" s="31">
        <v>-2.1448E-7</v>
      </c>
      <c r="AG115" s="112">
        <v>55.008000000000003</v>
      </c>
      <c r="AH115" s="113">
        <v>0.38</v>
      </c>
      <c r="AI115" s="114">
        <v>56.292999999999999</v>
      </c>
      <c r="AJ115" s="115">
        <v>1.2222</v>
      </c>
      <c r="AK115" s="35"/>
      <c r="AL115" s="35"/>
      <c r="AM115" s="35"/>
      <c r="AN115" s="35"/>
      <c r="AO115" s="35"/>
      <c r="AP115" s="35"/>
      <c r="AQ115" s="35"/>
      <c r="AR115" s="35"/>
      <c r="AS115" s="35"/>
      <c r="AT115" s="35"/>
      <c r="AU115" s="35"/>
      <c r="AV115" s="35"/>
    </row>
    <row r="116" spans="1:48" x14ac:dyDescent="0.2">
      <c r="A116" s="20" t="s">
        <v>160</v>
      </c>
      <c r="B116" s="5" t="s">
        <v>73</v>
      </c>
      <c r="C116" s="5" t="s">
        <v>331</v>
      </c>
      <c r="D116" s="5">
        <v>9</v>
      </c>
      <c r="E116" s="69">
        <v>5.1369944700000003</v>
      </c>
      <c r="F116" s="26">
        <f t="shared" si="9"/>
        <v>0.51548759382012876</v>
      </c>
      <c r="G116" s="52">
        <v>126.242</v>
      </c>
      <c r="H116" s="56">
        <v>610.20000000000005</v>
      </c>
      <c r="I116" s="56">
        <v>26.93</v>
      </c>
      <c r="J116" s="61">
        <v>4.7350000000000002E-4</v>
      </c>
      <c r="K116" s="56">
        <f t="shared" si="7"/>
        <v>266.89640591966173</v>
      </c>
      <c r="L116" s="52">
        <f t="shared" si="8"/>
        <v>0.2510818215270243</v>
      </c>
      <c r="M116" s="52">
        <v>0.30499999999999999</v>
      </c>
      <c r="N116" s="74">
        <v>-3.1757</v>
      </c>
      <c r="O116" s="77">
        <v>601.76</v>
      </c>
      <c r="P116" s="79">
        <v>5.4000000000000003E-3</v>
      </c>
      <c r="Q116" s="28">
        <v>-6.5987E-6</v>
      </c>
      <c r="R116" s="85" t="str" cm="1">
        <f t="array" ref="R116">LEFT(INDEX($R$78:$R$154, MATCH(MIN(IF(ABS($E$78:$E$154-E116)&lt;&gt;0, ABS($E$78:$E$154-E116))), IF(ABS($E$78:$E$154-E116)&lt;&gt;0, ABS($E$78:$E$154-E116)), 0)),6)</f>
        <v>0.2666</v>
      </c>
      <c r="S116" s="89" cm="1">
        <f t="array" ref="S116">INDEX($S$78:$S$154, MATCH(MIN(IF(ABS($E$78:$E$154-E116)&lt;&gt;0, ABS($E$78:$E$154-E116))), IF(ABS($E$78:$E$154-E116)&lt;&gt;0, ABS($E$78:$E$154-E116)), 0))</f>
        <v>0.27379999999999999</v>
      </c>
      <c r="T116" s="90" cm="1">
        <f t="array" ref="T116">INDEX($T$78:$T$154, MATCH(MIN(IF(ABS($E$78:$E$154-E116)&lt;&gt;0, ABS($E$78:$E$154-E116))), IF(ABS($E$78:$E$154-E116)&lt;&gt;0, ABS($E$78:$E$154-E116)), 0))</f>
        <v>0.28570000000000001</v>
      </c>
      <c r="U116" s="92">
        <v>18.219000000000001</v>
      </c>
      <c r="V116" s="96">
        <v>-2602.6</v>
      </c>
      <c r="W116" s="99">
        <v>-3.4636999999999998</v>
      </c>
      <c r="X116" s="29">
        <v>0</v>
      </c>
      <c r="Y116" s="29">
        <v>0</v>
      </c>
      <c r="Z116" s="108">
        <v>160.74100000000001</v>
      </c>
      <c r="AA116" s="6">
        <v>0.49503000000000003</v>
      </c>
      <c r="AB116" s="7">
        <v>-1.3083999999999999E-3</v>
      </c>
      <c r="AC116" s="8">
        <v>1.9132000000000002E-6</v>
      </c>
      <c r="AD116" s="109">
        <v>0.17269999999999999</v>
      </c>
      <c r="AE116" s="29">
        <v>-8.7149000000000002E-5</v>
      </c>
      <c r="AF116" s="31">
        <v>-2.1867000000000001E-7</v>
      </c>
      <c r="AG116" s="112">
        <v>54.182000000000002</v>
      </c>
      <c r="AH116" s="113">
        <v>0.38</v>
      </c>
      <c r="AI116" s="114">
        <v>55.588999999999999</v>
      </c>
      <c r="AJ116" s="115">
        <v>1.2222</v>
      </c>
      <c r="AK116" s="35"/>
      <c r="AL116" s="35"/>
      <c r="AM116" s="35"/>
      <c r="AN116" s="35"/>
      <c r="AO116" s="35"/>
      <c r="AP116" s="35"/>
      <c r="AQ116" s="35"/>
      <c r="AR116" s="35"/>
      <c r="AS116" s="35"/>
      <c r="AT116" s="35"/>
      <c r="AU116" s="35"/>
      <c r="AV116" s="35"/>
    </row>
    <row r="117" spans="1:48" x14ac:dyDescent="0.2">
      <c r="A117" s="20" t="s">
        <v>161</v>
      </c>
      <c r="B117" s="5" t="s">
        <v>73</v>
      </c>
      <c r="C117" s="5" t="s">
        <v>332</v>
      </c>
      <c r="D117" s="5">
        <v>9</v>
      </c>
      <c r="E117" s="69">
        <v>2.96662929875</v>
      </c>
      <c r="F117" s="26">
        <f t="shared" si="9"/>
        <v>0.29769558988233319</v>
      </c>
      <c r="G117" s="52">
        <v>126.242</v>
      </c>
      <c r="H117" s="56">
        <v>614.20000000000005</v>
      </c>
      <c r="I117" s="56">
        <v>26.71</v>
      </c>
      <c r="J117" s="61">
        <v>4.795E-4</v>
      </c>
      <c r="K117" s="56">
        <f t="shared" si="7"/>
        <v>263.55323590814203</v>
      </c>
      <c r="L117" s="52">
        <f t="shared" si="8"/>
        <v>0.25054720895819221</v>
      </c>
      <c r="M117" s="52">
        <v>0.33400000000000002</v>
      </c>
      <c r="N117" s="74">
        <v>-3.6225999999999998</v>
      </c>
      <c r="O117" s="77">
        <v>671.45</v>
      </c>
      <c r="P117" s="79">
        <v>6.4000000000000003E-3</v>
      </c>
      <c r="Q117" s="28">
        <v>-7.3645999999999998E-6</v>
      </c>
      <c r="R117" s="85" t="str" cm="1">
        <f t="array" ref="R117">LEFT(INDEX($R$78:$R$154, MATCH(MIN(IF(ABS($E$78:$E$154-E117)&lt;&gt;0, ABS($E$78:$E$154-E117))), IF(ABS($E$78:$E$154-E117)&lt;&gt;0, ABS($E$78:$E$154-E117)), 0)),6)</f>
        <v>0.2633</v>
      </c>
      <c r="S117" s="89" cm="1">
        <f t="array" ref="S117">INDEX($S$78:$S$154, MATCH(MIN(IF(ABS($E$78:$E$154-E117)&lt;&gt;0, ABS($E$78:$E$154-E117))), IF(ABS($E$78:$E$154-E117)&lt;&gt;0, ABS($E$78:$E$154-E117)), 0))</f>
        <v>0.2707</v>
      </c>
      <c r="T117" s="90" cm="1">
        <f t="array" ref="T117">INDEX($T$78:$T$154, MATCH(MIN(IF(ABS($E$78:$E$154-E117)&lt;&gt;0, ABS($E$78:$E$154-E117))), IF(ABS($E$78:$E$154-E117)&lt;&gt;0, ABS($E$78:$E$154-E117)), 0))</f>
        <v>0.28570000000000001</v>
      </c>
      <c r="U117" s="92">
        <v>18.533999999999999</v>
      </c>
      <c r="V117" s="96">
        <v>-2680.9</v>
      </c>
      <c r="W117" s="99">
        <v>-3.5387</v>
      </c>
      <c r="X117" s="29">
        <v>0</v>
      </c>
      <c r="Y117" s="29">
        <v>0</v>
      </c>
      <c r="Z117" s="108">
        <v>158.667</v>
      </c>
      <c r="AA117" s="6">
        <v>0.54257999999999995</v>
      </c>
      <c r="AB117" s="7">
        <v>-1.431E-3</v>
      </c>
      <c r="AC117" s="8">
        <v>2.0238999999999998E-6</v>
      </c>
      <c r="AD117" s="109">
        <v>0.1729</v>
      </c>
      <c r="AE117" s="29">
        <v>-8.1414000000000004E-5</v>
      </c>
      <c r="AF117" s="31">
        <v>-2.2429999999999999E-7</v>
      </c>
      <c r="AG117" s="112">
        <v>55.85</v>
      </c>
      <c r="AH117" s="113">
        <v>0.38</v>
      </c>
      <c r="AI117" s="114">
        <v>55.98</v>
      </c>
      <c r="AJ117" s="115">
        <v>1.2222</v>
      </c>
      <c r="AK117" s="35"/>
      <c r="AL117" s="35"/>
      <c r="AM117" s="35"/>
      <c r="AN117" s="35"/>
      <c r="AO117" s="35"/>
      <c r="AP117" s="35"/>
      <c r="AQ117" s="35"/>
      <c r="AR117" s="35"/>
      <c r="AS117" s="35"/>
      <c r="AT117" s="35"/>
      <c r="AU117" s="35"/>
      <c r="AV117" s="35"/>
    </row>
    <row r="118" spans="1:48" x14ac:dyDescent="0.2">
      <c r="A118" s="20" t="s">
        <v>162</v>
      </c>
      <c r="B118" s="5" t="s">
        <v>73</v>
      </c>
      <c r="C118" s="5" t="s">
        <v>333</v>
      </c>
      <c r="D118" s="5">
        <v>9</v>
      </c>
      <c r="E118" s="69">
        <v>2.9636100000000001</v>
      </c>
      <c r="F118" s="26">
        <f t="shared" si="9"/>
        <v>0.29739260901350978</v>
      </c>
      <c r="G118" s="52">
        <v>126.242</v>
      </c>
      <c r="H118" s="56">
        <v>624.52</v>
      </c>
      <c r="I118" s="56">
        <v>27.41</v>
      </c>
      <c r="J118" s="61">
        <v>4.7150000000000002E-4</v>
      </c>
      <c r="K118" s="56">
        <f t="shared" si="7"/>
        <v>268.02972399150741</v>
      </c>
      <c r="L118" s="52">
        <f t="shared" si="8"/>
        <v>0.24864147385182198</v>
      </c>
      <c r="M118" s="52">
        <v>0.30499999999999999</v>
      </c>
      <c r="N118" s="74">
        <v>-2.1739000000000002</v>
      </c>
      <c r="O118" s="77">
        <v>490.21</v>
      </c>
      <c r="P118" s="79">
        <v>2.8999999999999998E-3</v>
      </c>
      <c r="Q118" s="28">
        <v>-4.5534000000000003E-6</v>
      </c>
      <c r="R118" s="85" t="str" cm="1">
        <f t="array" ref="R118">LEFT(INDEX($R$78:$R$154, MATCH(MIN(IF(ABS($E$78:$E$154-E118)&lt;&gt;0, ABS($E$78:$E$154-E118))), IF(ABS($E$78:$E$154-E118)&lt;&gt;0, ABS($E$78:$E$154-E118)), 0)),6)</f>
        <v>0.2678</v>
      </c>
      <c r="S118" s="89" cm="1">
        <f t="array" ref="S118">INDEX($S$78:$S$154, MATCH(MIN(IF(ABS($E$78:$E$154-E118)&lt;&gt;0, ABS($E$78:$E$154-E118))), IF(ABS($E$78:$E$154-E118)&lt;&gt;0, ABS($E$78:$E$154-E118)), 0))</f>
        <v>0.27150000000000002</v>
      </c>
      <c r="T118" s="90" cm="1">
        <f t="array" ref="T118">INDEX($T$78:$T$154, MATCH(MIN(IF(ABS($E$78:$E$154-E118)&lt;&gt;0, ABS($E$78:$E$154-E118))), IF(ABS($E$78:$E$154-E118)&lt;&gt;0, ABS($E$78:$E$154-E118)), 0))</f>
        <v>0.28570000000000001</v>
      </c>
      <c r="U118" s="92">
        <v>23.06</v>
      </c>
      <c r="V118" s="96">
        <v>-3001.2</v>
      </c>
      <c r="W118" s="99">
        <v>-4.9870000000000001</v>
      </c>
      <c r="X118" s="29">
        <v>0</v>
      </c>
      <c r="Y118" s="29">
        <v>0</v>
      </c>
      <c r="Z118" s="108">
        <v>158.30000000000001</v>
      </c>
      <c r="AA118" s="6">
        <v>0.48288999999999999</v>
      </c>
      <c r="AB118" s="7">
        <v>-1.2439E-3</v>
      </c>
      <c r="AC118" s="8">
        <v>1.7800999999999999E-6</v>
      </c>
      <c r="AD118" s="109">
        <v>0.17180000000000001</v>
      </c>
      <c r="AE118" s="29">
        <v>-8.2435000000000006E-5</v>
      </c>
      <c r="AF118" s="31">
        <v>-2.1138E-7</v>
      </c>
      <c r="AG118" s="112">
        <v>55.418999999999997</v>
      </c>
      <c r="AH118" s="113">
        <v>0.38</v>
      </c>
      <c r="AI118" s="114">
        <v>56.433</v>
      </c>
      <c r="AJ118" s="115">
        <v>1.2222</v>
      </c>
      <c r="AK118" s="35"/>
      <c r="AL118" s="35"/>
      <c r="AM118" s="35"/>
      <c r="AN118" s="35"/>
      <c r="AO118" s="35"/>
      <c r="AP118" s="35"/>
      <c r="AQ118" s="35"/>
      <c r="AR118" s="35"/>
      <c r="AS118" s="35"/>
      <c r="AT118" s="35"/>
      <c r="AU118" s="35"/>
      <c r="AV118" s="35"/>
    </row>
    <row r="119" spans="1:48" x14ac:dyDescent="0.2">
      <c r="A119" s="20" t="s">
        <v>163</v>
      </c>
      <c r="B119" s="5" t="s">
        <v>73</v>
      </c>
      <c r="C119" s="5" t="s">
        <v>334</v>
      </c>
      <c r="D119" s="5">
        <v>9</v>
      </c>
      <c r="E119" s="69">
        <v>2.6783618749999998</v>
      </c>
      <c r="F119" s="26">
        <f t="shared" si="9"/>
        <v>0.26876850391534846</v>
      </c>
      <c r="G119" s="52">
        <v>126.242</v>
      </c>
      <c r="H119" s="56">
        <v>625.54999999999995</v>
      </c>
      <c r="I119" s="56">
        <v>27.41</v>
      </c>
      <c r="J119" s="61">
        <v>4.7150000000000002E-4</v>
      </c>
      <c r="K119" s="56">
        <f t="shared" si="7"/>
        <v>268.02972399150741</v>
      </c>
      <c r="L119" s="52">
        <f t="shared" si="8"/>
        <v>0.2482320729756852</v>
      </c>
      <c r="M119" s="52">
        <v>0.30499999999999999</v>
      </c>
      <c r="N119" s="74">
        <v>-2.2246000000000001</v>
      </c>
      <c r="O119" s="77">
        <v>498.94</v>
      </c>
      <c r="P119" s="79">
        <v>3.0000000000000001E-3</v>
      </c>
      <c r="Q119" s="28">
        <v>-4.6089E-6</v>
      </c>
      <c r="R119" s="85" t="str" cm="1">
        <f t="array" ref="R119">LEFT(INDEX($R$78:$R$154, MATCH(MIN(IF(ABS($E$78:$E$154-E119)&lt;&gt;0, ABS($E$78:$E$154-E119))), IF(ABS($E$78:$E$154-E119)&lt;&gt;0, ABS($E$78:$E$154-E119)), 0)),6)</f>
        <v>0.2678</v>
      </c>
      <c r="S119" s="89" cm="1">
        <f t="array" ref="S119">INDEX($S$78:$S$154, MATCH(MIN(IF(ABS($E$78:$E$154-E119)&lt;&gt;0, ABS($E$78:$E$154-E119))), IF(ABS($E$78:$E$154-E119)&lt;&gt;0, ABS($E$78:$E$154-E119)), 0))</f>
        <v>0.26650000000000001</v>
      </c>
      <c r="T119" s="90" cm="1">
        <f t="array" ref="T119">INDEX($T$78:$T$154, MATCH(MIN(IF(ABS($E$78:$E$154-E119)&lt;&gt;0, ABS($E$78:$E$154-E119))), IF(ABS($E$78:$E$154-E119)&lt;&gt;0, ABS($E$78:$E$154-E119)), 0))</f>
        <v>0.28570000000000001</v>
      </c>
      <c r="U119" s="92">
        <v>19.893999999999998</v>
      </c>
      <c r="V119" s="96">
        <v>-2782.4</v>
      </c>
      <c r="W119" s="99">
        <v>-3.9815</v>
      </c>
      <c r="X119" s="29">
        <v>0</v>
      </c>
      <c r="Y119" s="29">
        <v>0</v>
      </c>
      <c r="Z119" s="108">
        <v>159.047</v>
      </c>
      <c r="AA119" s="6">
        <v>0.47764000000000001</v>
      </c>
      <c r="AB119" s="7">
        <v>-1.2269E-3</v>
      </c>
      <c r="AC119" s="8">
        <v>1.7557E-6</v>
      </c>
      <c r="AD119" s="109">
        <v>0.17180000000000001</v>
      </c>
      <c r="AE119" s="29">
        <v>-8.2347000000000003E-5</v>
      </c>
      <c r="AF119" s="31">
        <v>-2.1066999999999999E-7</v>
      </c>
      <c r="AG119" s="112">
        <v>55.515000000000001</v>
      </c>
      <c r="AH119" s="113">
        <v>0.38</v>
      </c>
      <c r="AI119" s="114">
        <v>56.466000000000001</v>
      </c>
      <c r="AJ119" s="115">
        <v>1.2222</v>
      </c>
      <c r="AK119" s="35"/>
      <c r="AL119" s="35"/>
      <c r="AM119" s="35"/>
      <c r="AN119" s="35"/>
      <c r="AO119" s="35"/>
      <c r="AP119" s="35"/>
      <c r="AQ119" s="35"/>
      <c r="AR119" s="35"/>
      <c r="AS119" s="35"/>
      <c r="AT119" s="35"/>
      <c r="AU119" s="35"/>
      <c r="AV119" s="35"/>
    </row>
    <row r="120" spans="1:48" x14ac:dyDescent="0.2">
      <c r="A120" s="20" t="s">
        <v>164</v>
      </c>
      <c r="B120" s="5" t="s">
        <v>73</v>
      </c>
      <c r="C120" s="5" t="s">
        <v>335</v>
      </c>
      <c r="D120" s="5">
        <v>9</v>
      </c>
      <c r="E120" s="69">
        <v>4.8490964999999999</v>
      </c>
      <c r="F120" s="26">
        <f t="shared" si="9"/>
        <v>0.48659758183204893</v>
      </c>
      <c r="G120" s="52">
        <v>126.242</v>
      </c>
      <c r="H120" s="56">
        <v>608.73</v>
      </c>
      <c r="I120" s="56">
        <v>26.93</v>
      </c>
      <c r="J120" s="61">
        <v>4.7350000000000002E-4</v>
      </c>
      <c r="K120" s="56">
        <f t="shared" si="7"/>
        <v>266.89640591966173</v>
      </c>
      <c r="L120" s="52">
        <f t="shared" si="8"/>
        <v>0.25168814991176747</v>
      </c>
      <c r="M120" s="52">
        <v>0.30499999999999999</v>
      </c>
      <c r="N120" s="74">
        <v>-3.1253000000000002</v>
      </c>
      <c r="O120" s="77">
        <v>592.54999999999995</v>
      </c>
      <c r="P120" s="79">
        <v>5.3E-3</v>
      </c>
      <c r="Q120" s="28">
        <v>-6.5576999999999999E-6</v>
      </c>
      <c r="R120" s="85" t="str" cm="1">
        <f t="array" ref="R120">LEFT(INDEX($R$78:$R$154, MATCH(MIN(IF(ABS($E$78:$E$154-E120)&lt;&gt;0, ABS($E$78:$E$154-E120))), IF(ABS($E$78:$E$154-E120)&lt;&gt;0, ABS($E$78:$E$154-E120)), 0)),6)</f>
        <v>0.2666</v>
      </c>
      <c r="S120" s="89" cm="1">
        <f t="array" ref="S120">INDEX($S$78:$S$154, MATCH(MIN(IF(ABS($E$78:$E$154-E120)&lt;&gt;0, ABS($E$78:$E$154-E120))), IF(ABS($E$78:$E$154-E120)&lt;&gt;0, ABS($E$78:$E$154-E120)), 0))</f>
        <v>0.27050000000000002</v>
      </c>
      <c r="T120" s="90" cm="1">
        <f t="array" ref="T120">INDEX($T$78:$T$154, MATCH(MIN(IF(ABS($E$78:$E$154-E120)&lt;&gt;0, ABS($E$78:$E$154-E120))), IF(ABS($E$78:$E$154-E120)&lt;&gt;0, ABS($E$78:$E$154-E120)), 0))</f>
        <v>0.28570000000000001</v>
      </c>
      <c r="U120" s="92">
        <v>18.206</v>
      </c>
      <c r="V120" s="96">
        <v>-2595.6999999999998</v>
      </c>
      <c r="W120" s="99">
        <v>-3.4607999999999999</v>
      </c>
      <c r="X120" s="29">
        <v>0</v>
      </c>
      <c r="Y120" s="29">
        <v>0</v>
      </c>
      <c r="Z120" s="108">
        <v>160.38800000000001</v>
      </c>
      <c r="AA120" s="6">
        <v>0.49758000000000002</v>
      </c>
      <c r="AB120" s="7">
        <v>-1.3182999999999999E-3</v>
      </c>
      <c r="AC120" s="8">
        <v>1.9288999999999999E-6</v>
      </c>
      <c r="AD120" s="109">
        <v>0.1726</v>
      </c>
      <c r="AE120" s="29">
        <v>-8.7293999999999995E-5</v>
      </c>
      <c r="AF120" s="31">
        <v>-2.1974999999999999E-7</v>
      </c>
      <c r="AG120" s="112">
        <v>54.045000000000002</v>
      </c>
      <c r="AH120" s="113">
        <v>0.38</v>
      </c>
      <c r="AI120" s="114">
        <v>55.542000000000002</v>
      </c>
      <c r="AJ120" s="115">
        <v>1.2222</v>
      </c>
      <c r="AK120" s="35"/>
      <c r="AL120" s="35"/>
      <c r="AM120" s="35"/>
      <c r="AN120" s="35"/>
      <c r="AO120" s="35"/>
      <c r="AP120" s="35"/>
      <c r="AQ120" s="35"/>
      <c r="AR120" s="35"/>
      <c r="AS120" s="35"/>
      <c r="AT120" s="35"/>
      <c r="AU120" s="35"/>
      <c r="AV120" s="35"/>
    </row>
    <row r="121" spans="1:48" x14ac:dyDescent="0.2">
      <c r="A121" s="12" t="s">
        <v>96</v>
      </c>
      <c r="B121" s="5" t="s">
        <v>73</v>
      </c>
      <c r="C121" s="5" t="s">
        <v>336</v>
      </c>
      <c r="D121" s="5">
        <v>9</v>
      </c>
      <c r="E121" s="69">
        <v>2.6803021875000002</v>
      </c>
      <c r="F121" s="26">
        <f t="shared" si="9"/>
        <v>0.26896321057266054</v>
      </c>
      <c r="G121" s="52">
        <v>126.242</v>
      </c>
      <c r="H121" s="55">
        <v>611.82000000000005</v>
      </c>
      <c r="I121" s="56">
        <v>26.71</v>
      </c>
      <c r="J121" s="61">
        <v>4.795E-4</v>
      </c>
      <c r="K121" s="56">
        <f t="shared" si="7"/>
        <v>263.55323590814203</v>
      </c>
      <c r="L121" s="52">
        <f t="shared" si="8"/>
        <v>0.251521845873168</v>
      </c>
      <c r="M121" s="52">
        <v>0.33400000000000002</v>
      </c>
      <c r="N121" s="74">
        <v>-3.5495999999999999</v>
      </c>
      <c r="O121" s="77">
        <v>657.59</v>
      </c>
      <c r="P121" s="79">
        <v>6.3E-3</v>
      </c>
      <c r="Q121" s="28">
        <v>-7.3170000000000004E-6</v>
      </c>
      <c r="R121" s="82">
        <v>0.26329999999999998</v>
      </c>
      <c r="S121" s="83">
        <v>0.27129999999999999</v>
      </c>
      <c r="T121" s="84">
        <v>0.28570000000000001</v>
      </c>
      <c r="U121" s="91">
        <v>18.513000000000002</v>
      </c>
      <c r="V121" s="95">
        <v>-2669.5</v>
      </c>
      <c r="W121" s="98">
        <v>-3.5339999999999998</v>
      </c>
      <c r="X121" s="29">
        <v>0</v>
      </c>
      <c r="Y121" s="31">
        <v>0</v>
      </c>
      <c r="Z121" s="108">
        <v>168.904</v>
      </c>
      <c r="AA121" s="6">
        <v>0.46381</v>
      </c>
      <c r="AB121" s="7">
        <v>-1.2405000000000001E-3</v>
      </c>
      <c r="AC121" s="8">
        <v>1.8807000000000001E-6</v>
      </c>
      <c r="AD121" s="109">
        <v>0.17599999999999999</v>
      </c>
      <c r="AE121" s="29">
        <v>-9.5186000000000006E-5</v>
      </c>
      <c r="AF121" s="31">
        <v>-2.1196E-7</v>
      </c>
      <c r="AG121" s="112">
        <v>55.622999999999998</v>
      </c>
      <c r="AH121" s="113">
        <v>0.38</v>
      </c>
      <c r="AI121" s="114">
        <v>55.904000000000003</v>
      </c>
      <c r="AJ121" s="115">
        <v>1.2222</v>
      </c>
      <c r="AK121" s="35"/>
      <c r="AL121" s="35"/>
      <c r="AM121" s="35"/>
      <c r="AN121" s="35"/>
      <c r="AO121" s="35"/>
      <c r="AP121" s="35"/>
      <c r="AQ121" s="35"/>
      <c r="AR121" s="35"/>
      <c r="AS121" s="35"/>
      <c r="AT121" s="35"/>
      <c r="AU121" s="35"/>
      <c r="AV121" s="35"/>
    </row>
    <row r="122" spans="1:48" x14ac:dyDescent="0.2">
      <c r="A122" s="12" t="s">
        <v>97</v>
      </c>
      <c r="B122" s="5" t="s">
        <v>73</v>
      </c>
      <c r="C122" s="5" t="s">
        <v>337</v>
      </c>
      <c r="D122" s="5">
        <v>9</v>
      </c>
      <c r="E122" s="69">
        <v>2.96297321125</v>
      </c>
      <c r="F122" s="26">
        <f t="shared" si="9"/>
        <v>0.29732870847742271</v>
      </c>
      <c r="G122" s="52">
        <v>126.242</v>
      </c>
      <c r="H122" s="55">
        <v>624.52</v>
      </c>
      <c r="I122" s="56">
        <v>27.41</v>
      </c>
      <c r="J122" s="61">
        <v>4.7150000000000002E-4</v>
      </c>
      <c r="K122" s="56">
        <f t="shared" si="7"/>
        <v>268.02972399150741</v>
      </c>
      <c r="L122" s="52">
        <f t="shared" si="8"/>
        <v>0.24864147385182198</v>
      </c>
      <c r="M122" s="52">
        <v>0.30499999999999999</v>
      </c>
      <c r="N122" s="74">
        <v>-2.1739000000000002</v>
      </c>
      <c r="O122" s="77">
        <v>490.21</v>
      </c>
      <c r="P122" s="79">
        <v>2.8999999999999998E-3</v>
      </c>
      <c r="Q122" s="28">
        <v>-4.5534000000000003E-6</v>
      </c>
      <c r="R122" s="82">
        <v>0.26779999999999998</v>
      </c>
      <c r="S122" s="83">
        <v>0.27150000000000002</v>
      </c>
      <c r="T122" s="84">
        <v>0.28570000000000001</v>
      </c>
      <c r="U122" s="91">
        <v>20.521999999999998</v>
      </c>
      <c r="V122" s="95">
        <v>-2822.3</v>
      </c>
      <c r="W122" s="98">
        <v>-4.1817000000000002</v>
      </c>
      <c r="X122" s="29">
        <v>0</v>
      </c>
      <c r="Y122" s="31">
        <v>0</v>
      </c>
      <c r="Z122" s="108">
        <v>158.625</v>
      </c>
      <c r="AA122" s="6">
        <v>0.48060000000000003</v>
      </c>
      <c r="AB122" s="7">
        <v>-1.2371000000000001E-3</v>
      </c>
      <c r="AC122" s="8">
        <v>1.7707E-6</v>
      </c>
      <c r="AD122" s="109">
        <v>0.17180000000000001</v>
      </c>
      <c r="AE122" s="29">
        <v>-8.2435000000000006E-5</v>
      </c>
      <c r="AF122" s="31">
        <v>-2.1138E-7</v>
      </c>
      <c r="AG122" s="112">
        <v>55.418999999999997</v>
      </c>
      <c r="AH122" s="113">
        <v>0.38</v>
      </c>
      <c r="AI122" s="114">
        <v>56.433</v>
      </c>
      <c r="AJ122" s="115">
        <v>1.2222</v>
      </c>
      <c r="AK122" s="35"/>
      <c r="AL122" s="35"/>
      <c r="AM122" s="35"/>
      <c r="AN122" s="35"/>
      <c r="AO122" s="35"/>
      <c r="AP122" s="35"/>
      <c r="AQ122" s="35"/>
      <c r="AR122" s="35"/>
      <c r="AS122" s="35"/>
      <c r="AT122" s="35"/>
      <c r="AU122" s="35"/>
      <c r="AV122" s="35"/>
    </row>
    <row r="123" spans="1:48" x14ac:dyDescent="0.2">
      <c r="A123" s="12" t="s">
        <v>165</v>
      </c>
      <c r="B123" s="5" t="s">
        <v>73</v>
      </c>
      <c r="C123" s="5" t="s">
        <v>338</v>
      </c>
      <c r="D123" s="5">
        <v>9</v>
      </c>
      <c r="E123" s="69">
        <v>5.1316438399999997</v>
      </c>
      <c r="F123" s="26">
        <f t="shared" si="9"/>
        <v>0.51495066830848379</v>
      </c>
      <c r="G123" s="52">
        <v>126.242</v>
      </c>
      <c r="H123" s="56">
        <v>610.20000000000005</v>
      </c>
      <c r="I123" s="56">
        <v>26.93</v>
      </c>
      <c r="J123" s="61">
        <v>4.7350000000000002E-4</v>
      </c>
      <c r="K123" s="56">
        <f t="shared" si="7"/>
        <v>266.89640591966173</v>
      </c>
      <c r="L123" s="52">
        <f t="shared" si="8"/>
        <v>0.2510818215270243</v>
      </c>
      <c r="M123" s="52">
        <v>0.30499999999999999</v>
      </c>
      <c r="N123" s="74">
        <v>-3.1757</v>
      </c>
      <c r="O123" s="77">
        <v>601.76</v>
      </c>
      <c r="P123" s="79">
        <v>5.4000000000000003E-3</v>
      </c>
      <c r="Q123" s="28">
        <v>-6.5987E-6</v>
      </c>
      <c r="R123" s="82">
        <v>0.2666</v>
      </c>
      <c r="S123" s="83">
        <v>0.27379999999999999</v>
      </c>
      <c r="T123" s="83">
        <v>0.28570000000000001</v>
      </c>
      <c r="U123" s="92">
        <v>18.219000000000001</v>
      </c>
      <c r="V123" s="96">
        <v>-2602.6</v>
      </c>
      <c r="W123" s="99">
        <v>-3.4636999999999998</v>
      </c>
      <c r="X123" s="29">
        <v>0</v>
      </c>
      <c r="Y123" s="31">
        <v>0</v>
      </c>
      <c r="Z123" s="108">
        <v>160.74100000000001</v>
      </c>
      <c r="AA123" s="6">
        <v>0.49503000000000003</v>
      </c>
      <c r="AB123" s="7">
        <v>-1.3083999999999999E-3</v>
      </c>
      <c r="AC123" s="8">
        <v>1.9132000000000002E-6</v>
      </c>
      <c r="AD123" s="109">
        <v>0.17269999999999999</v>
      </c>
      <c r="AE123" s="29">
        <v>-8.7149000000000002E-5</v>
      </c>
      <c r="AF123" s="31">
        <v>-2.1867000000000001E-7</v>
      </c>
      <c r="AG123" s="112">
        <v>54.182000000000002</v>
      </c>
      <c r="AH123" s="113">
        <v>0.38</v>
      </c>
      <c r="AI123" s="114">
        <v>55.588999999999999</v>
      </c>
      <c r="AJ123" s="115">
        <v>1.2222</v>
      </c>
      <c r="AK123" s="35"/>
      <c r="AL123" s="35"/>
      <c r="AM123" s="35"/>
      <c r="AN123" s="35"/>
      <c r="AO123" s="35"/>
      <c r="AP123" s="35"/>
      <c r="AQ123" s="35"/>
      <c r="AR123" s="35"/>
      <c r="AS123" s="35"/>
      <c r="AT123" s="35"/>
      <c r="AU123" s="35"/>
      <c r="AV123" s="35"/>
    </row>
    <row r="124" spans="1:48" x14ac:dyDescent="0.2">
      <c r="A124" s="12" t="s">
        <v>98</v>
      </c>
      <c r="B124" s="5" t="s">
        <v>73</v>
      </c>
      <c r="C124" s="5" t="s">
        <v>339</v>
      </c>
      <c r="D124" s="5">
        <v>9</v>
      </c>
      <c r="E124" s="69">
        <v>2.9669949075000002</v>
      </c>
      <c r="F124" s="26">
        <f t="shared" si="9"/>
        <v>0.2977322780228242</v>
      </c>
      <c r="G124" s="52">
        <v>126.242</v>
      </c>
      <c r="H124" s="55">
        <v>614.20000000000005</v>
      </c>
      <c r="I124" s="56">
        <v>26.71</v>
      </c>
      <c r="J124" s="61">
        <v>4.795E-4</v>
      </c>
      <c r="K124" s="56">
        <f t="shared" si="7"/>
        <v>263.55323590814203</v>
      </c>
      <c r="L124" s="52">
        <f t="shared" si="8"/>
        <v>0.25054720895819221</v>
      </c>
      <c r="M124" s="52">
        <v>0.33400000000000002</v>
      </c>
      <c r="N124" s="74">
        <v>-3.6225999999999998</v>
      </c>
      <c r="O124" s="77">
        <v>671.45</v>
      </c>
      <c r="P124" s="79">
        <v>6.4000000000000003E-3</v>
      </c>
      <c r="Q124" s="28">
        <v>-7.3645999999999998E-6</v>
      </c>
      <c r="R124" s="82">
        <v>0.26329999999999998</v>
      </c>
      <c r="S124" s="83">
        <v>0.2707</v>
      </c>
      <c r="T124" s="84">
        <v>0.28570000000000001</v>
      </c>
      <c r="U124" s="91">
        <v>18.533999999999999</v>
      </c>
      <c r="V124" s="95">
        <v>-2680.9</v>
      </c>
      <c r="W124" s="98">
        <v>-3.5387</v>
      </c>
      <c r="X124" s="29">
        <v>0</v>
      </c>
      <c r="Y124" s="31">
        <v>0</v>
      </c>
      <c r="Z124" s="108">
        <v>158.667</v>
      </c>
      <c r="AA124" s="6">
        <v>0.54257999999999995</v>
      </c>
      <c r="AB124" s="7">
        <v>-1.431E-3</v>
      </c>
      <c r="AC124" s="8">
        <v>2.0238999999999998E-6</v>
      </c>
      <c r="AD124" s="109">
        <v>0.1729</v>
      </c>
      <c r="AE124" s="29">
        <v>-8.1414000000000004E-5</v>
      </c>
      <c r="AF124" s="31">
        <v>-2.2429999999999999E-7</v>
      </c>
      <c r="AG124" s="112">
        <v>55.85</v>
      </c>
      <c r="AH124" s="113">
        <v>0.38</v>
      </c>
      <c r="AI124" s="114">
        <v>55.98</v>
      </c>
      <c r="AJ124" s="115">
        <v>1.2222</v>
      </c>
      <c r="AK124" s="35"/>
      <c r="AL124" s="35"/>
      <c r="AM124" s="35"/>
      <c r="AN124" s="35"/>
      <c r="AO124" s="35"/>
      <c r="AP124" s="35"/>
      <c r="AQ124" s="35"/>
      <c r="AR124" s="35"/>
      <c r="AS124" s="35"/>
      <c r="AT124" s="35"/>
      <c r="AU124" s="35"/>
      <c r="AV124" s="35"/>
    </row>
    <row r="125" spans="1:48" x14ac:dyDescent="0.2">
      <c r="A125" s="14" t="s">
        <v>124</v>
      </c>
      <c r="B125" s="5" t="s">
        <v>73</v>
      </c>
      <c r="C125" s="5" t="s">
        <v>340</v>
      </c>
      <c r="D125" s="5">
        <v>9</v>
      </c>
      <c r="E125" s="69">
        <v>2.9644283825</v>
      </c>
      <c r="F125" s="26">
        <f t="shared" si="9"/>
        <v>0.2974747321359334</v>
      </c>
      <c r="G125" s="52">
        <v>126.242</v>
      </c>
      <c r="H125" s="56">
        <v>620.1</v>
      </c>
      <c r="I125" s="56">
        <v>27.41</v>
      </c>
      <c r="J125" s="61">
        <v>4.7150000000000002E-4</v>
      </c>
      <c r="K125" s="56">
        <f t="shared" si="7"/>
        <v>268.02972399150741</v>
      </c>
      <c r="L125" s="52">
        <f t="shared" si="8"/>
        <v>0.25041376108682445</v>
      </c>
      <c r="M125" s="52">
        <v>0.30499999999999999</v>
      </c>
      <c r="N125" s="74">
        <v>-1.948</v>
      </c>
      <c r="O125" s="77">
        <v>451.65</v>
      </c>
      <c r="P125" s="79">
        <v>2.5000000000000001E-3</v>
      </c>
      <c r="Q125" s="28">
        <v>-4.2989999999999998E-6</v>
      </c>
      <c r="R125" s="82">
        <v>0.26779999999999998</v>
      </c>
      <c r="S125" s="83">
        <v>0.27539999999999998</v>
      </c>
      <c r="T125" s="84">
        <v>0.28570000000000001</v>
      </c>
      <c r="U125" s="91">
        <v>14.131</v>
      </c>
      <c r="V125" s="95">
        <v>-2355.5</v>
      </c>
      <c r="W125" s="98">
        <v>-2.1556000000000002</v>
      </c>
      <c r="X125" s="29">
        <v>0</v>
      </c>
      <c r="Y125" s="31">
        <v>0</v>
      </c>
      <c r="Z125" s="108">
        <v>158.82300000000001</v>
      </c>
      <c r="AA125" s="6">
        <v>0.47907</v>
      </c>
      <c r="AB125" s="7">
        <v>-1.2398000000000001E-3</v>
      </c>
      <c r="AC125" s="8">
        <v>1.7827000000000001E-6</v>
      </c>
      <c r="AD125" s="109">
        <v>0.17180000000000001</v>
      </c>
      <c r="AE125" s="29">
        <v>-8.3265999999999999E-5</v>
      </c>
      <c r="AF125" s="31">
        <v>-2.1401E-7</v>
      </c>
      <c r="AG125" s="112">
        <v>55.008000000000003</v>
      </c>
      <c r="AH125" s="113">
        <v>0.38</v>
      </c>
      <c r="AI125" s="114">
        <v>56.292999999999999</v>
      </c>
      <c r="AJ125" s="115">
        <v>1.2222</v>
      </c>
      <c r="AK125" s="35"/>
      <c r="AL125" s="35"/>
      <c r="AM125" s="35"/>
      <c r="AN125" s="35"/>
      <c r="AO125" s="35"/>
      <c r="AP125" s="35"/>
      <c r="AQ125" s="35"/>
      <c r="AR125" s="35"/>
      <c r="AS125" s="35"/>
      <c r="AT125" s="35"/>
      <c r="AU125" s="35"/>
      <c r="AV125" s="35"/>
    </row>
    <row r="126" spans="1:48" x14ac:dyDescent="0.2">
      <c r="A126" s="12" t="s">
        <v>99</v>
      </c>
      <c r="B126" s="5" t="s">
        <v>73</v>
      </c>
      <c r="C126" s="5" t="s">
        <v>275</v>
      </c>
      <c r="D126" s="5">
        <v>9</v>
      </c>
      <c r="E126" s="69">
        <v>1.15747287125</v>
      </c>
      <c r="F126" s="26">
        <f t="shared" si="9"/>
        <v>0.11615019420348688</v>
      </c>
      <c r="G126" s="52">
        <v>126.242</v>
      </c>
      <c r="H126" s="55">
        <v>639.15</v>
      </c>
      <c r="I126" s="56">
        <v>28.07</v>
      </c>
      <c r="J126" s="61">
        <v>4.7699999999999999E-4</v>
      </c>
      <c r="K126" s="56">
        <f t="shared" si="7"/>
        <v>264.65828092243191</v>
      </c>
      <c r="L126" s="52">
        <f t="shared" si="8"/>
        <v>0.25196950235976706</v>
      </c>
      <c r="M126" s="52">
        <v>0.26</v>
      </c>
      <c r="N126" s="74">
        <v>-3.0154999999999998</v>
      </c>
      <c r="O126" s="77">
        <v>648.44000000000005</v>
      </c>
      <c r="P126" s="79">
        <v>4.3E-3</v>
      </c>
      <c r="Q126" s="28">
        <v>-5.0584999999999999E-6</v>
      </c>
      <c r="R126" s="82">
        <v>0.26469999999999999</v>
      </c>
      <c r="S126" s="83">
        <v>0.26690000000000003</v>
      </c>
      <c r="T126" s="84">
        <v>0.30020000000000002</v>
      </c>
      <c r="U126" s="91">
        <v>33.683999999999997</v>
      </c>
      <c r="V126" s="95">
        <v>-3407</v>
      </c>
      <c r="W126" s="98">
        <v>-8.8018000000000001</v>
      </c>
      <c r="X126" s="29">
        <v>-7.6792000000000005E-11</v>
      </c>
      <c r="Y126" s="30">
        <v>1.6258E-6</v>
      </c>
      <c r="Z126" s="108">
        <v>140.38999999999999</v>
      </c>
      <c r="AA126" s="6">
        <v>0.69340000000000002</v>
      </c>
      <c r="AB126" s="7">
        <v>-1.867E-3</v>
      </c>
      <c r="AC126" s="8">
        <v>2.3692999999999999E-6</v>
      </c>
      <c r="AD126" s="109">
        <v>0.1716</v>
      </c>
      <c r="AE126" s="29">
        <v>-8.6106000000000005E-5</v>
      </c>
      <c r="AF126" s="31">
        <v>-1.9343999999999999E-7</v>
      </c>
      <c r="AG126" s="112">
        <v>59.92</v>
      </c>
      <c r="AH126" s="113">
        <v>0.44400000000000001</v>
      </c>
      <c r="AI126" s="114">
        <v>55.81</v>
      </c>
      <c r="AJ126" s="115">
        <v>1.2117</v>
      </c>
      <c r="AK126" s="35"/>
      <c r="AL126" s="35"/>
      <c r="AM126" s="35"/>
      <c r="AN126" s="35"/>
      <c r="AO126" s="35"/>
      <c r="AP126" s="35"/>
      <c r="AQ126" s="35"/>
      <c r="AR126" s="35"/>
      <c r="AS126" s="35"/>
      <c r="AT126" s="35"/>
      <c r="AU126" s="35"/>
      <c r="AV126" s="35"/>
    </row>
    <row r="127" spans="1:48" x14ac:dyDescent="0.2">
      <c r="A127" s="12" t="s">
        <v>166</v>
      </c>
      <c r="B127" s="5" t="s">
        <v>73</v>
      </c>
      <c r="C127" s="5" t="s">
        <v>341</v>
      </c>
      <c r="D127" s="5">
        <v>9</v>
      </c>
      <c r="E127" s="69">
        <v>6.3669287512499997</v>
      </c>
      <c r="F127" s="26">
        <f t="shared" si="9"/>
        <v>0.63890915226273537</v>
      </c>
      <c r="G127" s="52">
        <v>126.242</v>
      </c>
      <c r="H127" s="56">
        <v>613.22</v>
      </c>
      <c r="I127" s="56">
        <v>24.98</v>
      </c>
      <c r="J127" s="61">
        <v>4.7750000000000001E-4</v>
      </c>
      <c r="K127" s="56">
        <f t="shared" si="7"/>
        <v>264.65828092243191</v>
      </c>
      <c r="L127" s="52">
        <f t="shared" si="8"/>
        <v>0.23371386745588693</v>
      </c>
      <c r="M127" s="52">
        <v>0.28399999999999997</v>
      </c>
      <c r="N127" s="74">
        <v>-1.5966</v>
      </c>
      <c r="O127" s="77">
        <v>403.69</v>
      </c>
      <c r="P127" s="79">
        <v>1.5E-3</v>
      </c>
      <c r="Q127" s="28">
        <v>-3.5377E-6</v>
      </c>
      <c r="R127" s="82">
        <v>0.26440000000000002</v>
      </c>
      <c r="S127" s="83">
        <v>0.26979999999999998</v>
      </c>
      <c r="T127" s="83">
        <v>0.28570000000000001</v>
      </c>
      <c r="U127" s="93" t="str" cm="1">
        <f t="array" aca="1" ref="U127" ca="1">LEFT(INDEX($U$78:$U$154, MATCH(MIN(IF(ABS($E$78:$E$154-E127)&lt;&gt;0, ABS($E$78:$E$154-E127))), IF(ABS($E$78:$E$154-E127)&lt;&gt;0, ABS($E$78:$E$154-E127)), 0)),7)</f>
        <v>17.802</v>
      </c>
      <c r="V127" s="97" cm="1">
        <f t="array" aca="1" ref="V127" ca="1">INDEX($V$78:$V$154, MATCH(MIN(IF(ABS($E$78:$E$154-E127)&lt;&gt;0, ABS($E$78:$E$154-E127))), IF(ABS($E$78:$E$154-E127)&lt;&gt;0, ABS($E$78:$E$154-E127)), 0))</f>
        <v>-2459.1</v>
      </c>
      <c r="W127" s="100" cm="1">
        <f t="array" aca="1" ref="W127" ca="1">INDEX($W$78:$W$154, MATCH(MIN(IF(ABS($E$78:$E$154-E127)&lt;&gt;0, ABS($E$78:$E$154-E127))), IF(ABS($E$78:$E$154-E127)&lt;&gt;0, ABS($E$78:$E$154-E127)), 0))</f>
        <v>-3.3744000000000001</v>
      </c>
      <c r="X127" s="105" cm="1">
        <f t="array" aca="1" ref="X127" ca="1">INDEX($X$78:$X$154, MATCH(MIN(IF(ABS($E$78:$E$154-E127)&lt;&gt;0, ABS($E$78:$E$154-E127))), IF(ABS($E$78:$E$154-E127)&lt;&gt;0, ABS($E$78:$E$154-E127)), 0))</f>
        <v>0</v>
      </c>
      <c r="Y127" s="105" cm="1">
        <f t="array" aca="1" ref="Y127" ca="1">INDEX($Y$78:$Y$154, MATCH(MIN(IF(ABS($E$78:$E$154-E127)&lt;&gt;0, ABS($E$78:$E$154-E127))), IF(ABS($E$78:$E$154-E127)&lt;&gt;0, ABS($E$78:$E$154-E127)), 0))</f>
        <v>0</v>
      </c>
      <c r="Z127" s="108">
        <v>159.88499999999999</v>
      </c>
      <c r="AA127" s="6">
        <v>0.51644000000000001</v>
      </c>
      <c r="AB127" s="7">
        <v>-1.3617E-3</v>
      </c>
      <c r="AC127" s="8">
        <v>1.9630000000000001E-6</v>
      </c>
      <c r="AD127" s="109">
        <v>0.1726</v>
      </c>
      <c r="AE127" s="29">
        <v>-8.4666000000000006E-5</v>
      </c>
      <c r="AF127" s="31">
        <v>-2.1962E-7</v>
      </c>
      <c r="AG127" s="112">
        <v>53.969000000000001</v>
      </c>
      <c r="AH127" s="113">
        <v>0.38</v>
      </c>
      <c r="AI127" s="114">
        <v>53.761000000000003</v>
      </c>
      <c r="AJ127" s="115">
        <v>1.2222</v>
      </c>
      <c r="AK127" s="35"/>
      <c r="AL127" s="35"/>
      <c r="AM127" s="35"/>
      <c r="AN127" s="35"/>
      <c r="AO127" s="35"/>
      <c r="AP127" s="35"/>
      <c r="AQ127" s="35"/>
      <c r="AR127" s="35"/>
      <c r="AS127" s="35"/>
      <c r="AT127" s="35"/>
      <c r="AU127" s="35"/>
      <c r="AV127" s="35"/>
    </row>
    <row r="128" spans="1:48" x14ac:dyDescent="0.2">
      <c r="A128" s="12" t="s">
        <v>167</v>
      </c>
      <c r="B128" s="5" t="s">
        <v>73</v>
      </c>
      <c r="C128" s="5" t="s">
        <v>342</v>
      </c>
      <c r="D128" s="5">
        <v>9</v>
      </c>
      <c r="E128" s="69">
        <v>6.3642215049999997</v>
      </c>
      <c r="F128" s="26">
        <f t="shared" si="9"/>
        <v>0.63863748526689934</v>
      </c>
      <c r="G128" s="52">
        <v>126.242</v>
      </c>
      <c r="H128" s="56">
        <v>602.95000000000005</v>
      </c>
      <c r="I128" s="56">
        <v>24.98</v>
      </c>
      <c r="J128" s="61">
        <v>4.7750000000000001E-4</v>
      </c>
      <c r="K128" s="56">
        <f t="shared" si="7"/>
        <v>264.65828092243191</v>
      </c>
      <c r="L128" s="52">
        <f t="shared" si="8"/>
        <v>0.23769469740658261</v>
      </c>
      <c r="M128" s="52">
        <v>0.28399999999999997</v>
      </c>
      <c r="N128" s="74">
        <v>-1.0598000000000001</v>
      </c>
      <c r="O128" s="77">
        <v>316.31</v>
      </c>
      <c r="P128" s="79">
        <v>4.0000000000000002E-4</v>
      </c>
      <c r="Q128" s="28">
        <v>-2.8497999999999998E-6</v>
      </c>
      <c r="R128" s="82">
        <v>0.26440000000000002</v>
      </c>
      <c r="S128" s="83">
        <v>0.27239999999999998</v>
      </c>
      <c r="T128" s="83">
        <v>0.28570000000000001</v>
      </c>
      <c r="U128" s="93" t="str" cm="1">
        <f t="array" aca="1" ref="U128" ca="1">LEFT(INDEX($U$78:$U$154, MATCH(MIN(IF(ABS($E$78:$E$154-E128)&lt;&gt;0, ABS($E$78:$E$154-E128))), IF(ABS($E$78:$E$154-E128)&lt;&gt;0, ABS($E$78:$E$154-E128)), 0)),7)</f>
        <v>17.802</v>
      </c>
      <c r="V128" s="97" cm="1">
        <f t="array" aca="1" ref="V128" ca="1">INDEX($V$78:$V$154, MATCH(MIN(IF(ABS($E$78:$E$154-E128)&lt;&gt;0, ABS($E$78:$E$154-E128))), IF(ABS($E$78:$E$154-E128)&lt;&gt;0, ABS($E$78:$E$154-E128)), 0))</f>
        <v>-2459.1</v>
      </c>
      <c r="W128" s="100" cm="1">
        <f t="array" aca="1" ref="W128" ca="1">INDEX($W$78:$W$154, MATCH(MIN(IF(ABS($E$78:$E$154-E128)&lt;&gt;0, ABS($E$78:$E$154-E128))), IF(ABS($E$78:$E$154-E128)&lt;&gt;0, ABS($E$78:$E$154-E128)), 0))</f>
        <v>-3.3744000000000001</v>
      </c>
      <c r="X128" s="105" cm="1">
        <f t="array" aca="1" ref="X128" ca="1">INDEX($X$78:$X$154, MATCH(MIN(IF(ABS($E$78:$E$154-E128)&lt;&gt;0, ABS($E$78:$E$154-E128))), IF(ABS($E$78:$E$154-E128)&lt;&gt;0, ABS($E$78:$E$154-E128)), 0))</f>
        <v>0</v>
      </c>
      <c r="Y128" s="105" cm="1">
        <f t="array" aca="1" ref="Y128" ca="1">INDEX($Y$78:$Y$154, MATCH(MIN(IF(ABS($E$78:$E$154-E128)&lt;&gt;0, ABS($E$78:$E$154-E128))), IF(ABS($E$78:$E$154-E128)&lt;&gt;0, ABS($E$78:$E$154-E128)), 0))</f>
        <v>0</v>
      </c>
      <c r="Z128" s="108">
        <v>157.65100000000001</v>
      </c>
      <c r="AA128" s="6">
        <v>0.53329000000000004</v>
      </c>
      <c r="AB128" s="7">
        <v>-1.4289000000000001E-3</v>
      </c>
      <c r="AC128" s="8">
        <v>2.0686E-6</v>
      </c>
      <c r="AD128" s="109">
        <v>0.1724</v>
      </c>
      <c r="AE128" s="29">
        <v>-8.5595999999999998E-5</v>
      </c>
      <c r="AF128" s="31">
        <v>-2.2734E-7</v>
      </c>
      <c r="AG128" s="112">
        <v>53.021000000000001</v>
      </c>
      <c r="AH128" s="113">
        <v>0.38</v>
      </c>
      <c r="AI128" s="114">
        <v>53.445</v>
      </c>
      <c r="AJ128" s="115">
        <v>1.2222</v>
      </c>
      <c r="AK128" s="35"/>
      <c r="AL128" s="35"/>
      <c r="AM128" s="35"/>
      <c r="AN128" s="35"/>
      <c r="AO128" s="35"/>
      <c r="AP128" s="35"/>
      <c r="AQ128" s="35"/>
      <c r="AR128" s="35"/>
      <c r="AS128" s="35"/>
      <c r="AT128" s="35"/>
      <c r="AU128" s="35"/>
      <c r="AV128" s="35"/>
    </row>
    <row r="129" spans="1:48" x14ac:dyDescent="0.2">
      <c r="A129" s="21" t="s">
        <v>168</v>
      </c>
      <c r="B129" s="5" t="s">
        <v>73</v>
      </c>
      <c r="C129" s="5" t="s">
        <v>343</v>
      </c>
      <c r="D129" s="5">
        <v>9</v>
      </c>
      <c r="E129" s="69">
        <v>6.3647775037500001</v>
      </c>
      <c r="F129" s="26">
        <f t="shared" si="9"/>
        <v>0.63869327868063153</v>
      </c>
      <c r="G129" s="52">
        <v>126.242</v>
      </c>
      <c r="H129" s="56">
        <v>592.67999999999995</v>
      </c>
      <c r="I129" s="56">
        <v>24.98</v>
      </c>
      <c r="J129" s="61">
        <v>4.7750000000000001E-4</v>
      </c>
      <c r="K129" s="56">
        <f t="shared" si="7"/>
        <v>264.65828092243191</v>
      </c>
      <c r="L129" s="52">
        <f t="shared" si="8"/>
        <v>0.24181348755027843</v>
      </c>
      <c r="M129" s="52">
        <v>0.28399999999999997</v>
      </c>
      <c r="N129" s="74">
        <v>-0.41310000000000002</v>
      </c>
      <c r="O129" s="77">
        <v>214.81</v>
      </c>
      <c r="P129" s="79">
        <v>-1E-3</v>
      </c>
      <c r="Q129" s="28">
        <v>-1.9485000000000001E-6</v>
      </c>
      <c r="R129" s="82">
        <v>0.26440000000000002</v>
      </c>
      <c r="S129" s="83">
        <v>0.27189999999999998</v>
      </c>
      <c r="T129" s="83">
        <v>0.28570000000000001</v>
      </c>
      <c r="U129" s="93" t="str" cm="1">
        <f t="array" aca="1" ref="U129" ca="1">LEFT(INDEX($U$78:$U$154, MATCH(MIN(IF(ABS($E$78:$E$154-E129)&lt;&gt;0, ABS($E$78:$E$154-E129))), IF(ABS($E$78:$E$154-E129)&lt;&gt;0, ABS($E$78:$E$154-E129)), 0)),7)</f>
        <v>17.802</v>
      </c>
      <c r="V129" s="97" cm="1">
        <f t="array" aca="1" ref="V129" ca="1">INDEX($V$78:$V$154, MATCH(MIN(IF(ABS($E$78:$E$154-E129)&lt;&gt;0, ABS($E$78:$E$154-E129))), IF(ABS($E$78:$E$154-E129)&lt;&gt;0, ABS($E$78:$E$154-E129)), 0))</f>
        <v>-2459.1</v>
      </c>
      <c r="W129" s="100" cm="1">
        <f t="array" aca="1" ref="W129" ca="1">INDEX($W$78:$W$154, MATCH(MIN(IF(ABS($E$78:$E$154-E129)&lt;&gt;0, ABS($E$78:$E$154-E129))), IF(ABS($E$78:$E$154-E129)&lt;&gt;0, ABS($E$78:$E$154-E129)), 0))</f>
        <v>-3.3744000000000001</v>
      </c>
      <c r="X129" s="105" cm="1">
        <f t="array" aca="1" ref="X129" ca="1">INDEX($X$78:$X$154, MATCH(MIN(IF(ABS($E$78:$E$154-E129)&lt;&gt;0, ABS($E$78:$E$154-E129))), IF(ABS($E$78:$E$154-E129)&lt;&gt;0, ABS($E$78:$E$154-E129)), 0))</f>
        <v>0</v>
      </c>
      <c r="Y129" s="105" cm="1">
        <f t="array" aca="1" ref="Y129" ca="1">INDEX($Y$78:$Y$154, MATCH(MIN(IF(ABS($E$78:$E$154-E129)&lt;&gt;0, ABS($E$78:$E$154-E129))), IF(ABS($E$78:$E$154-E129)&lt;&gt;0, ABS($E$78:$E$154-E129)), 0))</f>
        <v>0</v>
      </c>
      <c r="Z129" s="108">
        <v>154.40799999999999</v>
      </c>
      <c r="AA129" s="6">
        <v>0.55796999999999997</v>
      </c>
      <c r="AB129" s="7">
        <v>-1.5219999999999999E-3</v>
      </c>
      <c r="AC129" s="8">
        <v>2.2116999999999999E-6</v>
      </c>
      <c r="AD129" s="109">
        <v>0.17219999999999999</v>
      </c>
      <c r="AE129" s="29">
        <v>-8.6532000000000004E-5</v>
      </c>
      <c r="AF129" s="31">
        <v>-2.3549E-7</v>
      </c>
      <c r="AG129" s="112">
        <v>52.073999999999998</v>
      </c>
      <c r="AH129" s="113">
        <v>0.38</v>
      </c>
      <c r="AI129" s="114">
        <v>53.124000000000002</v>
      </c>
      <c r="AJ129" s="115">
        <v>1.2222</v>
      </c>
      <c r="AK129" s="35"/>
      <c r="AL129" s="35"/>
      <c r="AM129" s="35"/>
      <c r="AN129" s="35"/>
      <c r="AO129" s="35"/>
      <c r="AP129" s="35"/>
      <c r="AQ129" s="35"/>
      <c r="AR129" s="35"/>
      <c r="AS129" s="35"/>
      <c r="AT129" s="35"/>
      <c r="AU129" s="35"/>
      <c r="AV129" s="35"/>
    </row>
    <row r="130" spans="1:48" x14ac:dyDescent="0.2">
      <c r="A130" s="21" t="s">
        <v>169</v>
      </c>
      <c r="B130" s="5" t="s">
        <v>73</v>
      </c>
      <c r="C130" s="5" t="s">
        <v>344</v>
      </c>
      <c r="D130" s="5">
        <v>9</v>
      </c>
      <c r="E130" s="69">
        <v>6.3667364900000001</v>
      </c>
      <c r="F130" s="26">
        <f t="shared" si="9"/>
        <v>0.63888985921312702</v>
      </c>
      <c r="G130" s="52">
        <v>126.242</v>
      </c>
      <c r="H130" s="56">
        <v>602.95000000000005</v>
      </c>
      <c r="I130" s="56">
        <v>24.98</v>
      </c>
      <c r="J130" s="61">
        <v>4.7750000000000001E-4</v>
      </c>
      <c r="K130" s="56">
        <f t="shared" si="7"/>
        <v>264.65828092243191</v>
      </c>
      <c r="L130" s="52">
        <f t="shared" si="8"/>
        <v>0.23769469740658261</v>
      </c>
      <c r="M130" s="52">
        <v>0.28399999999999997</v>
      </c>
      <c r="N130" s="74">
        <v>-1.0598000000000001</v>
      </c>
      <c r="O130" s="77">
        <v>316.31</v>
      </c>
      <c r="P130" s="79">
        <v>4.0000000000000002E-4</v>
      </c>
      <c r="Q130" s="28">
        <v>-2.8497999999999998E-6</v>
      </c>
      <c r="R130" s="82">
        <v>0.26440000000000002</v>
      </c>
      <c r="S130" s="83">
        <v>0.2737</v>
      </c>
      <c r="T130" s="83">
        <v>0.28570000000000001</v>
      </c>
      <c r="U130" s="93" t="str" cm="1">
        <f t="array" aca="1" ref="U130" ca="1">LEFT(INDEX($U$78:$U$154, MATCH(MIN(IF(ABS($E$78:$E$154-E130)&lt;&gt;0, ABS($E$78:$E$154-E130))), IF(ABS($E$78:$E$154-E130)&lt;&gt;0, ABS($E$78:$E$154-E130)), 0)),7)</f>
        <v>17.802</v>
      </c>
      <c r="V130" s="97" cm="1">
        <f t="array" aca="1" ref="V130" ca="1">INDEX($V$78:$V$154, MATCH(MIN(IF(ABS($E$78:$E$154-E130)&lt;&gt;0, ABS($E$78:$E$154-E130))), IF(ABS($E$78:$E$154-E130)&lt;&gt;0, ABS($E$78:$E$154-E130)), 0))</f>
        <v>-2459.1</v>
      </c>
      <c r="W130" s="100" cm="1">
        <f t="array" aca="1" ref="W130" ca="1">INDEX($W$78:$W$154, MATCH(MIN(IF(ABS($E$78:$E$154-E130)&lt;&gt;0, ABS($E$78:$E$154-E130))), IF(ABS($E$78:$E$154-E130)&lt;&gt;0, ABS($E$78:$E$154-E130)), 0))</f>
        <v>-3.3744000000000001</v>
      </c>
      <c r="X130" s="105" cm="1">
        <f t="array" aca="1" ref="X130" ca="1">INDEX($X$78:$X$154, MATCH(MIN(IF(ABS($E$78:$E$154-E130)&lt;&gt;0, ABS($E$78:$E$154-E130))), IF(ABS($E$78:$E$154-E130)&lt;&gt;0, ABS($E$78:$E$154-E130)), 0))</f>
        <v>0</v>
      </c>
      <c r="Y130" s="105" cm="1">
        <f t="array" aca="1" ref="Y130" ca="1">INDEX($Y$78:$Y$154, MATCH(MIN(IF(ABS($E$78:$E$154-E130)&lt;&gt;0, ABS($E$78:$E$154-E130))), IF(ABS($E$78:$E$154-E130)&lt;&gt;0, ABS($E$78:$E$154-E130)), 0))</f>
        <v>0</v>
      </c>
      <c r="Z130" s="108">
        <v>158.018</v>
      </c>
      <c r="AA130" s="6">
        <v>0.53064999999999996</v>
      </c>
      <c r="AB130" s="7">
        <v>-1.4208000000000001E-3</v>
      </c>
      <c r="AC130" s="8">
        <v>2.0573000000000002E-6</v>
      </c>
      <c r="AD130" s="109">
        <v>0.1724</v>
      </c>
      <c r="AE130" s="29">
        <v>-8.5595999999999998E-5</v>
      </c>
      <c r="AF130" s="31">
        <v>-2.2734E-7</v>
      </c>
      <c r="AG130" s="112">
        <v>53.021000000000001</v>
      </c>
      <c r="AH130" s="113">
        <v>0.38</v>
      </c>
      <c r="AI130" s="114">
        <v>53.445</v>
      </c>
      <c r="AJ130" s="115">
        <v>1.2222</v>
      </c>
      <c r="AK130" s="35"/>
      <c r="AL130" s="35"/>
      <c r="AM130" s="35"/>
      <c r="AN130" s="35"/>
      <c r="AO130" s="35"/>
      <c r="AP130" s="35"/>
      <c r="AQ130" s="35"/>
      <c r="AR130" s="35"/>
      <c r="AS130" s="35"/>
      <c r="AT130" s="35"/>
      <c r="AU130" s="35"/>
      <c r="AV130" s="35"/>
    </row>
    <row r="131" spans="1:48" x14ac:dyDescent="0.2">
      <c r="A131" s="21" t="s">
        <v>170</v>
      </c>
      <c r="B131" s="5" t="s">
        <v>73</v>
      </c>
      <c r="C131" s="5" t="s">
        <v>345</v>
      </c>
      <c r="D131" s="5">
        <v>9</v>
      </c>
      <c r="E131" s="69">
        <v>8.3088066699999992</v>
      </c>
      <c r="F131" s="26">
        <f t="shared" si="9"/>
        <v>0.83377289635955865</v>
      </c>
      <c r="G131" s="52">
        <v>126.242</v>
      </c>
      <c r="H131" s="56">
        <v>602.33000000000004</v>
      </c>
      <c r="I131" s="56">
        <v>27.04</v>
      </c>
      <c r="J131" s="61">
        <v>4.7649999999999998E-4</v>
      </c>
      <c r="K131" s="56">
        <f t="shared" si="7"/>
        <v>265.21428571428567</v>
      </c>
      <c r="L131" s="52">
        <f t="shared" si="8"/>
        <v>0.25702130561616943</v>
      </c>
      <c r="M131" s="52">
        <v>0.27100000000000002</v>
      </c>
      <c r="N131" s="74">
        <v>-2.3820000000000001</v>
      </c>
      <c r="O131" s="77">
        <v>479.94</v>
      </c>
      <c r="P131" s="79">
        <v>3.5999999999999999E-3</v>
      </c>
      <c r="Q131" s="28">
        <v>-5.2909999999999998E-6</v>
      </c>
      <c r="R131" s="82">
        <v>0.26490000000000002</v>
      </c>
      <c r="S131" s="83">
        <v>0.27639999999999998</v>
      </c>
      <c r="T131" s="83">
        <v>0.28570000000000001</v>
      </c>
      <c r="U131" s="93" t="str" cm="1">
        <f t="array" aca="1" ref="U131" ca="1">LEFT(INDEX($U$78:$U$154, MATCH(MIN(IF(ABS($E$78:$E$154-E131)&lt;&gt;0, ABS($E$78:$E$154-E131))), IF(ABS($E$78:$E$154-E131)&lt;&gt;0, ABS($E$78:$E$154-E131)), 0)),7)</f>
        <v>33.684</v>
      </c>
      <c r="V131" s="97" cm="1">
        <f t="array" aca="1" ref="V131" ca="1">INDEX($V$78:$V$154, MATCH(MIN(IF(ABS($E$78:$E$154-E131)&lt;&gt;0, ABS($E$78:$E$154-E131))), IF(ABS($E$78:$E$154-E131)&lt;&gt;0, ABS($E$78:$E$154-E131)), 0))</f>
        <v>-3407</v>
      </c>
      <c r="W131" s="100" cm="1">
        <f t="array" aca="1" ref="W131" ca="1">INDEX($W$78:$W$154, MATCH(MIN(IF(ABS($E$78:$E$154-E131)&lt;&gt;0, ABS($E$78:$E$154-E131))), IF(ABS($E$78:$E$154-E131)&lt;&gt;0, ABS($E$78:$E$154-E131)), 0))</f>
        <v>-8.8018000000000001</v>
      </c>
      <c r="X131" s="105" cm="1">
        <f t="array" aca="1" ref="X131" ca="1">INDEX($X$78:$X$154, MATCH(MIN(IF(ABS($E$78:$E$154-E131)&lt;&gt;0, ABS($E$78:$E$154-E131))), IF(ABS($E$78:$E$154-E131)&lt;&gt;0, ABS($E$78:$E$154-E131)), 0))</f>
        <v>0</v>
      </c>
      <c r="Y131" s="105" cm="1">
        <f t="array" aca="1" ref="Y131" ca="1">INDEX($Y$78:$Y$154, MATCH(MIN(IF(ABS($E$78:$E$154-E131)&lt;&gt;0, ABS($E$78:$E$154-E131))), IF(ABS($E$78:$E$154-E131)&lt;&gt;0, ABS($E$78:$E$154-E131)), 0))</f>
        <v>0</v>
      </c>
      <c r="Z131" s="108">
        <v>161.18600000000001</v>
      </c>
      <c r="AA131" s="6">
        <v>0.45654</v>
      </c>
      <c r="AB131" s="7">
        <v>-1.2162E-3</v>
      </c>
      <c r="AC131" s="8">
        <v>1.8471000000000001E-6</v>
      </c>
      <c r="AD131" s="109">
        <v>0.17219999999999999</v>
      </c>
      <c r="AE131" s="29">
        <v>-9.3253999999999999E-5</v>
      </c>
      <c r="AF131" s="31">
        <v>-2.1544999999999999E-7</v>
      </c>
      <c r="AG131" s="112">
        <v>52.01</v>
      </c>
      <c r="AH131" s="113">
        <v>0.38</v>
      </c>
      <c r="AI131" s="114">
        <v>54.927</v>
      </c>
      <c r="AJ131" s="115">
        <v>1.2222</v>
      </c>
      <c r="AK131" s="35"/>
      <c r="AL131" s="35"/>
      <c r="AM131" s="35"/>
      <c r="AN131" s="35"/>
      <c r="AO131" s="35"/>
      <c r="AP131" s="35"/>
      <c r="AQ131" s="35"/>
      <c r="AR131" s="35"/>
      <c r="AS131" s="35"/>
      <c r="AT131" s="35"/>
      <c r="AU131" s="35"/>
      <c r="AV131" s="35"/>
    </row>
    <row r="132" spans="1:48" x14ac:dyDescent="0.2">
      <c r="A132" s="21" t="s">
        <v>171</v>
      </c>
      <c r="B132" s="5" t="s">
        <v>73</v>
      </c>
      <c r="C132" s="5" t="s">
        <v>346</v>
      </c>
      <c r="D132" s="5">
        <v>9</v>
      </c>
      <c r="E132" s="69">
        <v>7.6833959399999996</v>
      </c>
      <c r="F132" s="26">
        <f t="shared" si="9"/>
        <v>0.77101412287055593</v>
      </c>
      <c r="G132" s="52">
        <v>126.242</v>
      </c>
      <c r="H132" s="56">
        <v>609.74</v>
      </c>
      <c r="I132" s="56">
        <v>27.04</v>
      </c>
      <c r="J132" s="61">
        <v>4.7649999999999998E-4</v>
      </c>
      <c r="K132" s="56">
        <f t="shared" si="7"/>
        <v>265.21428571428567</v>
      </c>
      <c r="L132" s="52">
        <f t="shared" si="8"/>
        <v>0.25389779744118368</v>
      </c>
      <c r="M132" s="52">
        <v>0.27100000000000002</v>
      </c>
      <c r="N132" s="74">
        <v>-2.6745000000000001</v>
      </c>
      <c r="O132" s="77">
        <v>531.02</v>
      </c>
      <c r="P132" s="79">
        <v>4.1999999999999997E-3</v>
      </c>
      <c r="Q132" s="28">
        <v>-5.5844000000000003E-6</v>
      </c>
      <c r="R132" s="82">
        <v>0.26490000000000002</v>
      </c>
      <c r="S132" s="83">
        <v>0.26819999999999999</v>
      </c>
      <c r="T132" s="83">
        <v>0.28570000000000001</v>
      </c>
      <c r="U132" s="93" t="str" cm="1">
        <f t="array" ref="U132">LEFT(INDEX($U$78:$U$154, MATCH(MIN(IF(ABS($E$78:$E$154-E132)&lt;&gt;0, ABS($E$78:$E$154-E132))), IF(ABS($E$78:$E$154-E132)&lt;&gt;0, ABS($E$78:$E$154-E132)), 0)),7)</f>
        <v>17.887</v>
      </c>
      <c r="V132" s="97" cm="1">
        <f t="array" ref="V132">INDEX($V$78:$V$154, MATCH(MIN(IF(ABS($E$78:$E$154-E132)&lt;&gt;0, ABS($E$78:$E$154-E132))), IF(ABS($E$78:$E$154-E132)&lt;&gt;0, ABS($E$78:$E$154-E132)), 0))</f>
        <v>-2531.8000000000002</v>
      </c>
      <c r="W132" s="100" cm="1">
        <f t="array" ref="W132">INDEX($W$78:$W$154, MATCH(MIN(IF(ABS($E$78:$E$154-E132)&lt;&gt;0, ABS($E$78:$E$154-E132))), IF(ABS($E$78:$E$154-E132)&lt;&gt;0, ABS($E$78:$E$154-E132)), 0))</f>
        <v>-3.3849</v>
      </c>
      <c r="X132" s="105" cm="1">
        <f t="array" ref="X132">INDEX($X$78:$X$154, MATCH(MIN(IF(ABS($E$78:$E$154-E132)&lt;&gt;0, ABS($E$78:$E$154-E132))), IF(ABS($E$78:$E$154-E132)&lt;&gt;0, ABS($E$78:$E$154-E132)), 0))</f>
        <v>0</v>
      </c>
      <c r="Y132" s="105" cm="1">
        <f t="array" ref="Y132">INDEX($Y$78:$Y$154, MATCH(MIN(IF(ABS($E$78:$E$154-E132)&lt;&gt;0, ABS($E$78:$E$154-E132))), IF(ABS($E$78:$E$154-E132)&lt;&gt;0, ABS($E$78:$E$154-E132)), 0))</f>
        <v>0</v>
      </c>
      <c r="Z132" s="108">
        <v>148.94800000000001</v>
      </c>
      <c r="AA132" s="6">
        <v>0.55084999999999995</v>
      </c>
      <c r="AB132" s="7">
        <v>-1.4436E-3</v>
      </c>
      <c r="AC132" s="8">
        <v>2.0204000000000002E-6</v>
      </c>
      <c r="AD132" s="109">
        <v>0.1686</v>
      </c>
      <c r="AE132" s="29">
        <v>-7.6592000000000001E-5</v>
      </c>
      <c r="AF132" s="31">
        <v>-2.2683E-7</v>
      </c>
      <c r="AG132" s="112">
        <v>52.682000000000002</v>
      </c>
      <c r="AH132" s="113">
        <v>0.38</v>
      </c>
      <c r="AI132" s="114">
        <v>55.162999999999997</v>
      </c>
      <c r="AJ132" s="115">
        <v>1.2222</v>
      </c>
      <c r="AK132" s="35"/>
      <c r="AL132" s="35"/>
      <c r="AM132" s="35"/>
      <c r="AN132" s="35"/>
      <c r="AO132" s="35"/>
      <c r="AP132" s="35"/>
      <c r="AQ132" s="35"/>
      <c r="AR132" s="35"/>
      <c r="AS132" s="35"/>
      <c r="AT132" s="35"/>
      <c r="AU132" s="35"/>
      <c r="AV132" s="35"/>
    </row>
    <row r="133" spans="1:48" x14ac:dyDescent="0.2">
      <c r="A133" s="21" t="s">
        <v>172</v>
      </c>
      <c r="B133" s="5" t="s">
        <v>73</v>
      </c>
      <c r="C133" s="5" t="s">
        <v>347</v>
      </c>
      <c r="D133" s="5">
        <v>9</v>
      </c>
      <c r="E133" s="69">
        <v>8.1405403687500009</v>
      </c>
      <c r="F133" s="26">
        <f t="shared" si="9"/>
        <v>0.816887694076603</v>
      </c>
      <c r="G133" s="52">
        <v>126.242</v>
      </c>
      <c r="H133" s="56">
        <v>597.88</v>
      </c>
      <c r="I133" s="56">
        <v>27.04</v>
      </c>
      <c r="J133" s="61">
        <v>4.7649999999999998E-4</v>
      </c>
      <c r="K133" s="56">
        <f t="shared" si="7"/>
        <v>265.21428571428567</v>
      </c>
      <c r="L133" s="52">
        <f t="shared" si="8"/>
        <v>0.25893430623500929</v>
      </c>
      <c r="M133" s="52">
        <v>0.27100000000000002</v>
      </c>
      <c r="N133" s="74">
        <v>-2.1861000000000002</v>
      </c>
      <c r="O133" s="77">
        <v>446.62</v>
      </c>
      <c r="P133" s="79">
        <v>3.2000000000000002E-3</v>
      </c>
      <c r="Q133" s="28">
        <v>-5.0775000000000001E-6</v>
      </c>
      <c r="R133" s="82">
        <v>0.26490000000000002</v>
      </c>
      <c r="S133" s="83">
        <v>0.27260000000000001</v>
      </c>
      <c r="T133" s="83">
        <v>0.28570000000000001</v>
      </c>
      <c r="U133" s="93" t="str" cm="1">
        <f t="array" aca="1" ref="U133" ca="1">LEFT(INDEX($U$78:$U$154, MATCH(MIN(IF(ABS($E$78:$E$154-E133)&lt;&gt;0, ABS($E$78:$E$154-E133))), IF(ABS($E$78:$E$154-E133)&lt;&gt;0, ABS($E$78:$E$154-E133)), 0)),7)</f>
        <v>33.684</v>
      </c>
      <c r="V133" s="97" cm="1">
        <f t="array" aca="1" ref="V133" ca="1">INDEX($V$78:$V$154, MATCH(MIN(IF(ABS($E$78:$E$154-E133)&lt;&gt;0, ABS($E$78:$E$154-E133))), IF(ABS($E$78:$E$154-E133)&lt;&gt;0, ABS($E$78:$E$154-E133)), 0))</f>
        <v>-3407</v>
      </c>
      <c r="W133" s="100" cm="1">
        <f t="array" aca="1" ref="W133" ca="1">INDEX($W$78:$W$154, MATCH(MIN(IF(ABS($E$78:$E$154-E133)&lt;&gt;0, ABS($E$78:$E$154-E133))), IF(ABS($E$78:$E$154-E133)&lt;&gt;0, ABS($E$78:$E$154-E133)), 0))</f>
        <v>-8.8018000000000001</v>
      </c>
      <c r="X133" s="105" cm="1">
        <f t="array" aca="1" ref="X133" ca="1">INDEX($X$78:$X$154, MATCH(MIN(IF(ABS($E$78:$E$154-E133)&lt;&gt;0, ABS($E$78:$E$154-E133))), IF(ABS($E$78:$E$154-E133)&lt;&gt;0, ABS($E$78:$E$154-E133)), 0))</f>
        <v>0</v>
      </c>
      <c r="Y133" s="105" cm="1">
        <f t="array" aca="1" ref="Y133" ca="1">INDEX($Y$78:$Y$154, MATCH(MIN(IF(ABS($E$78:$E$154-E133)&lt;&gt;0, ABS($E$78:$E$154-E133))), IF(ABS($E$78:$E$154-E133)&lt;&gt;0, ABS($E$78:$E$154-E133)), 0))</f>
        <v>0</v>
      </c>
      <c r="Z133" s="108">
        <v>146.495</v>
      </c>
      <c r="AA133" s="6">
        <v>0.57028999999999996</v>
      </c>
      <c r="AB133" s="7">
        <v>-1.5211999999999999E-3</v>
      </c>
      <c r="AC133" s="8">
        <v>2.1391E-6</v>
      </c>
      <c r="AD133" s="109">
        <v>0.16839999999999999</v>
      </c>
      <c r="AE133" s="29">
        <v>-7.7253E-5</v>
      </c>
      <c r="AF133" s="31">
        <v>-2.3643999999999999E-7</v>
      </c>
      <c r="AG133" s="112">
        <v>51.606999999999999</v>
      </c>
      <c r="AH133" s="113">
        <v>0.38</v>
      </c>
      <c r="AI133" s="114">
        <v>54.784999999999997</v>
      </c>
      <c r="AJ133" s="115">
        <v>1.2222</v>
      </c>
      <c r="AK133" s="35"/>
      <c r="AL133" s="35"/>
      <c r="AM133" s="35"/>
      <c r="AN133" s="35"/>
      <c r="AO133" s="35"/>
      <c r="AP133" s="35"/>
      <c r="AQ133" s="35"/>
      <c r="AR133" s="35"/>
      <c r="AS133" s="35"/>
      <c r="AT133" s="35"/>
      <c r="AU133" s="35"/>
      <c r="AV133" s="35"/>
    </row>
    <row r="134" spans="1:48" x14ac:dyDescent="0.2">
      <c r="A134" s="21" t="s">
        <v>173</v>
      </c>
      <c r="B134" s="5" t="s">
        <v>73</v>
      </c>
      <c r="C134" s="5" t="s">
        <v>186</v>
      </c>
      <c r="D134" s="5">
        <v>9</v>
      </c>
      <c r="E134" s="69">
        <v>9.9653115450000005</v>
      </c>
      <c r="F134" s="26">
        <f t="shared" si="9"/>
        <v>1</v>
      </c>
      <c r="G134" s="52">
        <v>126.242</v>
      </c>
      <c r="H134" s="56">
        <v>586.82000000000005</v>
      </c>
      <c r="I134" s="56">
        <v>29.38</v>
      </c>
      <c r="J134" s="61">
        <v>4.7649999999999998E-4</v>
      </c>
      <c r="K134" s="56">
        <f t="shared" si="7"/>
        <v>265.21428571428567</v>
      </c>
      <c r="L134" s="52">
        <f t="shared" si="8"/>
        <v>0.28664463451530098</v>
      </c>
      <c r="M134" s="52">
        <v>0.25800000000000001</v>
      </c>
      <c r="N134" s="74">
        <v>-3.3264</v>
      </c>
      <c r="O134" s="77">
        <v>566.82000000000005</v>
      </c>
      <c r="P134" s="79">
        <v>6.1999999999999998E-3</v>
      </c>
      <c r="Q134" s="28">
        <v>-7.6164999999999998E-6</v>
      </c>
      <c r="R134" s="82">
        <v>0.26550000000000001</v>
      </c>
      <c r="S134" s="83">
        <v>0.28170000000000001</v>
      </c>
      <c r="T134" s="83">
        <v>0.28570000000000001</v>
      </c>
      <c r="U134" s="93" t="str" cm="1">
        <f t="array" ref="U134">LEFT(INDEX($U$78:$U$154, MATCH(MIN(IF(ABS($E$78:$E$154-E134)&lt;&gt;0, ABS($E$78:$E$154-E134))), IF(ABS($E$78:$E$154-E134)&lt;&gt;0, ABS($E$78:$E$154-E134)), 0)),7)</f>
        <v>17.77</v>
      </c>
      <c r="V134" s="97" cm="1">
        <f t="array" ref="V134">INDEX($V$78:$V$154, MATCH(MIN(IF(ABS($E$78:$E$154-E134)&lt;&gt;0, ABS($E$78:$E$154-E134))), IF(ABS($E$78:$E$154-E134)&lt;&gt;0, ABS($E$78:$E$154-E134)), 0))</f>
        <v>-2499.4</v>
      </c>
      <c r="W134" s="100" cm="1">
        <f t="array" ref="W134">INDEX($W$78:$W$154, MATCH(MIN(IF(ABS($E$78:$E$154-E134)&lt;&gt;0, ABS($E$78:$E$154-E134))), IF(ABS($E$78:$E$154-E134)&lt;&gt;0, ABS($E$78:$E$154-E134)), 0))</f>
        <v>-3.3487</v>
      </c>
      <c r="X134" s="105" cm="1">
        <f t="array" ref="X134">INDEX($X$78:$X$154, MATCH(MIN(IF(ABS($E$78:$E$154-E134)&lt;&gt;0, ABS($E$78:$E$154-E134))), IF(ABS($E$78:$E$154-E134)&lt;&gt;0, ABS($E$78:$E$154-E134)), 0))</f>
        <v>0</v>
      </c>
      <c r="Y134" s="105" cm="1">
        <f t="array" ref="Y134">INDEX($Y$78:$Y$154, MATCH(MIN(IF(ABS($E$78:$E$154-E134)&lt;&gt;0, ABS($E$78:$E$154-E134))), IF(ABS($E$78:$E$154-E134)&lt;&gt;0, ABS($E$78:$E$154-E134)), 0))</f>
        <v>0</v>
      </c>
      <c r="Z134" s="108">
        <v>151.67599999999999</v>
      </c>
      <c r="AA134" s="6">
        <v>0.48079</v>
      </c>
      <c r="AB134" s="7">
        <v>-1.2978E-3</v>
      </c>
      <c r="AC134" s="8">
        <v>1.9516000000000001E-6</v>
      </c>
      <c r="AD134" s="109">
        <v>0.16889999999999999</v>
      </c>
      <c r="AE134" s="29">
        <v>-9.0051999999999998E-5</v>
      </c>
      <c r="AF134" s="31">
        <v>-2.2814999999999999E-7</v>
      </c>
      <c r="AG134" s="112">
        <v>49.676000000000002</v>
      </c>
      <c r="AH134" s="113">
        <v>0.38</v>
      </c>
      <c r="AI134" s="114">
        <v>56.081000000000003</v>
      </c>
      <c r="AJ134" s="115">
        <v>1.2222</v>
      </c>
      <c r="AK134" s="35"/>
      <c r="AL134" s="35"/>
      <c r="AM134" s="35"/>
      <c r="AN134" s="35"/>
      <c r="AO134" s="35"/>
      <c r="AP134" s="35"/>
      <c r="AQ134" s="35"/>
      <c r="AR134" s="35"/>
      <c r="AS134" s="35"/>
      <c r="AT134" s="35"/>
      <c r="AU134" s="35"/>
      <c r="AV134" s="35"/>
    </row>
    <row r="135" spans="1:48" x14ac:dyDescent="0.2">
      <c r="A135" s="21" t="s">
        <v>174</v>
      </c>
      <c r="B135" s="5" t="s">
        <v>73</v>
      </c>
      <c r="C135" s="5" t="s">
        <v>348</v>
      </c>
      <c r="D135" s="5">
        <v>9</v>
      </c>
      <c r="E135" s="69">
        <v>8.3070500025000005</v>
      </c>
      <c r="F135" s="26">
        <f t="shared" si="9"/>
        <v>0.83359661812760721</v>
      </c>
      <c r="G135" s="52">
        <v>126.242</v>
      </c>
      <c r="H135" s="56">
        <v>585.41999999999996</v>
      </c>
      <c r="I135" s="56">
        <v>27.04</v>
      </c>
      <c r="J135" s="61">
        <v>4.7649999999999998E-4</v>
      </c>
      <c r="K135" s="56">
        <f t="shared" si="7"/>
        <v>265.21428571428567</v>
      </c>
      <c r="L135" s="52">
        <f t="shared" si="8"/>
        <v>0.26444542894295953</v>
      </c>
      <c r="M135" s="52">
        <v>0.27100000000000002</v>
      </c>
      <c r="N135" s="74">
        <v>-1.5376000000000001</v>
      </c>
      <c r="O135" s="77">
        <v>340.41</v>
      </c>
      <c r="P135" s="79">
        <v>1.9E-3</v>
      </c>
      <c r="Q135" s="28">
        <v>-4.2918000000000001E-6</v>
      </c>
      <c r="R135" s="82">
        <v>0.26490000000000002</v>
      </c>
      <c r="S135" s="83">
        <v>0.28170000000000001</v>
      </c>
      <c r="T135" s="83">
        <v>0.28570000000000001</v>
      </c>
      <c r="U135" s="93" t="str" cm="1">
        <f t="array" aca="1" ref="U135" ca="1">LEFT(INDEX($U$78:$U$154, MATCH(MIN(IF(ABS($E$78:$E$154-E135)&lt;&gt;0, ABS($E$78:$E$154-E135))), IF(ABS($E$78:$E$154-E135)&lt;&gt;0, ABS($E$78:$E$154-E135)), 0)),7)</f>
        <v>33.684</v>
      </c>
      <c r="V135" s="97" cm="1">
        <f t="array" aca="1" ref="V135" ca="1">INDEX($V$78:$V$154, MATCH(MIN(IF(ABS($E$78:$E$154-E135)&lt;&gt;0, ABS($E$78:$E$154-E135))), IF(ABS($E$78:$E$154-E135)&lt;&gt;0, ABS($E$78:$E$154-E135)), 0))</f>
        <v>-3407</v>
      </c>
      <c r="W135" s="100" cm="1">
        <f t="array" aca="1" ref="W135" ca="1">INDEX($W$78:$W$154, MATCH(MIN(IF(ABS($E$78:$E$154-E135)&lt;&gt;0, ABS($E$78:$E$154-E135))), IF(ABS($E$78:$E$154-E135)&lt;&gt;0, ABS($E$78:$E$154-E135)), 0))</f>
        <v>-8.8018000000000001</v>
      </c>
      <c r="X135" s="105" cm="1">
        <f t="array" aca="1" ref="X135" ca="1">INDEX($X$78:$X$154, MATCH(MIN(IF(ABS($E$78:$E$154-E135)&lt;&gt;0, ABS($E$78:$E$154-E135))), IF(ABS($E$78:$E$154-E135)&lt;&gt;0, ABS($E$78:$E$154-E135)), 0))</f>
        <v>0</v>
      </c>
      <c r="Y135" s="105" cm="1">
        <f t="array" aca="1" ref="Y135" ca="1">INDEX($Y$78:$Y$154, MATCH(MIN(IF(ABS($E$78:$E$154-E135)&lt;&gt;0, ABS($E$78:$E$154-E135))), IF(ABS($E$78:$E$154-E135)&lt;&gt;0, ABS($E$78:$E$154-E135)), 0))</f>
        <v>0</v>
      </c>
      <c r="Z135" s="108">
        <v>145.09100000000001</v>
      </c>
      <c r="AA135" s="6">
        <v>0.58289000000000002</v>
      </c>
      <c r="AB135" s="7">
        <v>-1.5811E-3</v>
      </c>
      <c r="AC135" s="8">
        <v>2.2357999999999998E-6</v>
      </c>
      <c r="AD135" s="109">
        <v>0.1681</v>
      </c>
      <c r="AE135" s="29">
        <v>-7.7917999999999995E-5</v>
      </c>
      <c r="AF135" s="31">
        <v>-2.4723000000000002E-7</v>
      </c>
      <c r="AG135" s="112">
        <v>50.478000000000002</v>
      </c>
      <c r="AH135" s="113">
        <v>0.38</v>
      </c>
      <c r="AI135" s="114">
        <v>54.381999999999998</v>
      </c>
      <c r="AJ135" s="115">
        <v>1.2222</v>
      </c>
      <c r="AK135" s="35"/>
      <c r="AL135" s="35"/>
      <c r="AM135" s="35"/>
      <c r="AN135" s="35"/>
      <c r="AO135" s="35"/>
      <c r="AP135" s="35"/>
      <c r="AQ135" s="35"/>
      <c r="AR135" s="35"/>
      <c r="AS135" s="35"/>
      <c r="AT135" s="35"/>
      <c r="AU135" s="35"/>
      <c r="AV135" s="35"/>
    </row>
    <row r="136" spans="1:48" x14ac:dyDescent="0.2">
      <c r="A136" s="21" t="s">
        <v>175</v>
      </c>
      <c r="B136" s="5" t="s">
        <v>73</v>
      </c>
      <c r="C136" s="5" t="s">
        <v>349</v>
      </c>
      <c r="D136" s="5">
        <v>9</v>
      </c>
      <c r="E136" s="69">
        <v>7.6819789199999997</v>
      </c>
      <c r="F136" s="26">
        <f t="shared" si="9"/>
        <v>0.77087192761719114</v>
      </c>
      <c r="G136" s="52">
        <v>126.242</v>
      </c>
      <c r="H136" s="56">
        <v>609.74</v>
      </c>
      <c r="I136" s="56">
        <v>27.04</v>
      </c>
      <c r="J136" s="61">
        <v>4.7649999999999998E-4</v>
      </c>
      <c r="K136" s="56">
        <f t="shared" si="7"/>
        <v>265.21428571428567</v>
      </c>
      <c r="L136" s="52">
        <f t="shared" si="8"/>
        <v>0.25389779744118368</v>
      </c>
      <c r="M136" s="52">
        <v>0.27100000000000002</v>
      </c>
      <c r="N136" s="74">
        <v>-2.6745000000000001</v>
      </c>
      <c r="O136" s="77">
        <v>531.02</v>
      </c>
      <c r="P136" s="79">
        <v>4.1999999999999997E-3</v>
      </c>
      <c r="Q136" s="28">
        <v>-5.5844000000000003E-6</v>
      </c>
      <c r="R136" s="82">
        <v>0.26490000000000002</v>
      </c>
      <c r="S136" s="83">
        <v>0.27160000000000001</v>
      </c>
      <c r="T136" s="83">
        <v>0.28570000000000001</v>
      </c>
      <c r="U136" s="92">
        <v>17.887</v>
      </c>
      <c r="V136" s="96">
        <v>-2531.8000000000002</v>
      </c>
      <c r="W136" s="99">
        <v>-3.3849</v>
      </c>
      <c r="X136" s="29">
        <v>0</v>
      </c>
      <c r="Y136" s="31">
        <v>0</v>
      </c>
      <c r="Z136" s="108">
        <v>149.946</v>
      </c>
      <c r="AA136" s="6">
        <v>0.54371999999999998</v>
      </c>
      <c r="AB136" s="7">
        <v>-1.4224000000000001E-3</v>
      </c>
      <c r="AC136" s="8">
        <v>1.9918000000000001E-6</v>
      </c>
      <c r="AD136" s="109">
        <v>0.1686</v>
      </c>
      <c r="AE136" s="29">
        <v>-7.6592000000000001E-5</v>
      </c>
      <c r="AF136" s="31">
        <v>-2.2683E-7</v>
      </c>
      <c r="AG136" s="112">
        <v>52.682000000000002</v>
      </c>
      <c r="AH136" s="113">
        <v>0.38</v>
      </c>
      <c r="AI136" s="114">
        <v>55.162999999999997</v>
      </c>
      <c r="AJ136" s="115">
        <v>1.2222</v>
      </c>
      <c r="AK136" s="35"/>
      <c r="AL136" s="35"/>
      <c r="AM136" s="35"/>
      <c r="AN136" s="35"/>
      <c r="AO136" s="35"/>
      <c r="AP136" s="35"/>
      <c r="AQ136" s="35"/>
      <c r="AR136" s="35"/>
      <c r="AS136" s="35"/>
      <c r="AT136" s="35"/>
      <c r="AU136" s="35"/>
      <c r="AV136" s="35"/>
    </row>
    <row r="137" spans="1:48" x14ac:dyDescent="0.2">
      <c r="A137" s="21" t="s">
        <v>176</v>
      </c>
      <c r="B137" s="5" t="s">
        <v>73</v>
      </c>
      <c r="C137" s="5" t="s">
        <v>350</v>
      </c>
      <c r="D137" s="5">
        <v>9</v>
      </c>
      <c r="E137" s="69">
        <v>7.8509936400000004</v>
      </c>
      <c r="F137" s="26">
        <f t="shared" si="9"/>
        <v>0.7878322322937471</v>
      </c>
      <c r="G137" s="52">
        <v>126.242</v>
      </c>
      <c r="H137" s="56">
        <v>597.88</v>
      </c>
      <c r="I137" s="56">
        <v>27.04</v>
      </c>
      <c r="J137" s="61">
        <v>4.7649999999999998E-4</v>
      </c>
      <c r="K137" s="56">
        <f t="shared" si="7"/>
        <v>265.21428571428567</v>
      </c>
      <c r="L137" s="52">
        <f t="shared" si="8"/>
        <v>0.25893430623500929</v>
      </c>
      <c r="M137" s="52">
        <v>0.27100000000000002</v>
      </c>
      <c r="N137" s="74">
        <v>-2.1861000000000002</v>
      </c>
      <c r="O137" s="77">
        <v>446.62</v>
      </c>
      <c r="P137" s="79">
        <v>3.2000000000000002E-3</v>
      </c>
      <c r="Q137" s="28">
        <v>-5.0775000000000001E-6</v>
      </c>
      <c r="R137" s="82">
        <v>0.26490000000000002</v>
      </c>
      <c r="S137" s="83">
        <v>0.2757</v>
      </c>
      <c r="T137" s="83">
        <v>0.28570000000000001</v>
      </c>
      <c r="U137" s="92">
        <v>17.783000000000001</v>
      </c>
      <c r="V137" s="96">
        <v>-2477.5</v>
      </c>
      <c r="W137" s="99">
        <v>-3.3610000000000002</v>
      </c>
      <c r="X137" s="29">
        <v>0</v>
      </c>
      <c r="Y137" s="31">
        <v>0</v>
      </c>
      <c r="Z137" s="108">
        <v>147.422</v>
      </c>
      <c r="AA137" s="6">
        <v>0.56361000000000006</v>
      </c>
      <c r="AB137" s="7">
        <v>-1.5009999999999999E-3</v>
      </c>
      <c r="AC137" s="8">
        <v>2.1117999999999998E-6</v>
      </c>
      <c r="AD137" s="109">
        <v>0.16839999999999999</v>
      </c>
      <c r="AE137" s="29">
        <v>-7.7253E-5</v>
      </c>
      <c r="AF137" s="31">
        <v>-2.3643999999999999E-7</v>
      </c>
      <c r="AG137" s="112">
        <v>51.606999999999999</v>
      </c>
      <c r="AH137" s="113">
        <v>0.38</v>
      </c>
      <c r="AI137" s="114">
        <v>54.784999999999997</v>
      </c>
      <c r="AJ137" s="115">
        <v>1.2222</v>
      </c>
      <c r="AK137" s="35"/>
      <c r="AL137" s="35"/>
      <c r="AM137" s="35"/>
      <c r="AN137" s="35"/>
      <c r="AO137" s="35"/>
      <c r="AP137" s="35"/>
      <c r="AQ137" s="35"/>
      <c r="AR137" s="35"/>
      <c r="AS137" s="35"/>
      <c r="AT137" s="35"/>
      <c r="AU137" s="35"/>
      <c r="AV137" s="35"/>
    </row>
    <row r="138" spans="1:48" x14ac:dyDescent="0.2">
      <c r="A138" s="21" t="s">
        <v>177</v>
      </c>
      <c r="B138" s="5" t="s">
        <v>73</v>
      </c>
      <c r="C138" s="5" t="s">
        <v>351</v>
      </c>
      <c r="D138" s="5">
        <v>9</v>
      </c>
      <c r="E138" s="69">
        <v>7.8545896500000003</v>
      </c>
      <c r="F138" s="26">
        <f t="shared" si="9"/>
        <v>0.78819308503615881</v>
      </c>
      <c r="G138" s="52">
        <v>126.242</v>
      </c>
      <c r="H138" s="56">
        <v>609.74</v>
      </c>
      <c r="I138" s="56">
        <v>27.04</v>
      </c>
      <c r="J138" s="61">
        <v>4.7649999999999998E-4</v>
      </c>
      <c r="K138" s="56">
        <f t="shared" si="7"/>
        <v>265.21428571428567</v>
      </c>
      <c r="L138" s="52">
        <f t="shared" si="8"/>
        <v>0.25389779744118368</v>
      </c>
      <c r="M138" s="52">
        <v>0.27100000000000002</v>
      </c>
      <c r="N138" s="74">
        <v>-2.6745000000000001</v>
      </c>
      <c r="O138" s="77">
        <v>531.02</v>
      </c>
      <c r="P138" s="79">
        <v>4.1999999999999997E-3</v>
      </c>
      <c r="Q138" s="28">
        <v>-5.5844000000000003E-6</v>
      </c>
      <c r="R138" s="82">
        <v>0.26490000000000002</v>
      </c>
      <c r="S138" s="83">
        <v>0.27239999999999998</v>
      </c>
      <c r="T138" s="83">
        <v>0.28570000000000001</v>
      </c>
      <c r="U138" s="92">
        <v>17.887</v>
      </c>
      <c r="V138" s="96">
        <v>-2531.8000000000002</v>
      </c>
      <c r="W138" s="99">
        <v>-3.3849</v>
      </c>
      <c r="X138" s="29">
        <v>0</v>
      </c>
      <c r="Y138" s="31">
        <v>0</v>
      </c>
      <c r="Z138" s="108">
        <v>150.197</v>
      </c>
      <c r="AA138" s="6">
        <v>0.54193000000000002</v>
      </c>
      <c r="AB138" s="7">
        <v>-1.4170999999999999E-3</v>
      </c>
      <c r="AC138" s="8">
        <v>1.9846E-6</v>
      </c>
      <c r="AD138" s="109">
        <v>0.1686</v>
      </c>
      <c r="AE138" s="29">
        <v>-7.6592000000000001E-5</v>
      </c>
      <c r="AF138" s="31">
        <v>-2.2683E-7</v>
      </c>
      <c r="AG138" s="112">
        <v>52.682000000000002</v>
      </c>
      <c r="AH138" s="113">
        <v>0.38</v>
      </c>
      <c r="AI138" s="114">
        <v>55.162999999999997</v>
      </c>
      <c r="AJ138" s="115">
        <v>1.2222</v>
      </c>
      <c r="AK138" s="35"/>
      <c r="AL138" s="35"/>
      <c r="AM138" s="35"/>
      <c r="AN138" s="35"/>
      <c r="AO138" s="35"/>
      <c r="AP138" s="35"/>
      <c r="AQ138" s="35"/>
      <c r="AR138" s="35"/>
      <c r="AS138" s="35"/>
      <c r="AT138" s="35"/>
      <c r="AU138" s="35"/>
      <c r="AV138" s="35"/>
    </row>
    <row r="139" spans="1:48" x14ac:dyDescent="0.2">
      <c r="A139" s="12" t="s">
        <v>100</v>
      </c>
      <c r="B139" s="5" t="s">
        <v>73</v>
      </c>
      <c r="C139" s="5" t="s">
        <v>276</v>
      </c>
      <c r="D139" s="5">
        <v>9</v>
      </c>
      <c r="E139" s="69">
        <v>9.2343887999999996</v>
      </c>
      <c r="F139" s="26">
        <f t="shared" si="9"/>
        <v>0.92665329711977396</v>
      </c>
      <c r="G139" s="52">
        <v>126.242</v>
      </c>
      <c r="H139" s="55">
        <v>609.38</v>
      </c>
      <c r="I139" s="56">
        <v>29.38</v>
      </c>
      <c r="J139" s="61">
        <v>4.7550000000000001E-4</v>
      </c>
      <c r="K139" s="56">
        <f t="shared" si="7"/>
        <v>265.77263157894737</v>
      </c>
      <c r="L139" s="52">
        <f t="shared" si="8"/>
        <v>0.27545279560378955</v>
      </c>
      <c r="M139" s="52">
        <v>0.25800000000000001</v>
      </c>
      <c r="N139" s="74">
        <v>-3.9710999999999999</v>
      </c>
      <c r="O139" s="77">
        <v>691.89</v>
      </c>
      <c r="P139" s="79">
        <v>7.3000000000000001E-3</v>
      </c>
      <c r="Q139" s="28">
        <v>-7.9436999999999999E-6</v>
      </c>
      <c r="R139" s="82">
        <v>0.26550000000000001</v>
      </c>
      <c r="S139" s="83">
        <v>0.26679999999999998</v>
      </c>
      <c r="T139" s="84">
        <v>0.28570000000000001</v>
      </c>
      <c r="U139" s="91">
        <v>17.77</v>
      </c>
      <c r="V139" s="95">
        <v>-2499.4</v>
      </c>
      <c r="W139" s="98">
        <v>-3.3487</v>
      </c>
      <c r="X139" s="29">
        <v>0</v>
      </c>
      <c r="Y139" s="31">
        <v>0</v>
      </c>
      <c r="Z139" s="108">
        <v>138.887</v>
      </c>
      <c r="AA139" s="6">
        <v>0.57964000000000004</v>
      </c>
      <c r="AB139" s="7">
        <v>-1.5054000000000001E-3</v>
      </c>
      <c r="AC139" s="8">
        <v>2.0451000000000001E-6</v>
      </c>
      <c r="AD139" s="109">
        <v>0.1646</v>
      </c>
      <c r="AE139" s="29">
        <v>-6.7720999999999998E-5</v>
      </c>
      <c r="AF139" s="31">
        <v>-2.3243E-7</v>
      </c>
      <c r="AG139" s="112">
        <v>51.683</v>
      </c>
      <c r="AH139" s="113">
        <v>0.38</v>
      </c>
      <c r="AI139" s="114">
        <v>56.826999999999998</v>
      </c>
      <c r="AJ139" s="115">
        <v>1.2222</v>
      </c>
      <c r="AK139" s="35"/>
      <c r="AL139" s="35"/>
      <c r="AM139" s="35"/>
      <c r="AN139" s="35"/>
      <c r="AO139" s="35"/>
      <c r="AP139" s="35"/>
      <c r="AQ139" s="35"/>
      <c r="AR139" s="35"/>
      <c r="AS139" s="35"/>
      <c r="AT139" s="35"/>
      <c r="AU139" s="35"/>
      <c r="AV139" s="35"/>
    </row>
    <row r="140" spans="1:48" x14ac:dyDescent="0.2">
      <c r="A140" s="12" t="s">
        <v>101</v>
      </c>
      <c r="B140" s="5" t="s">
        <v>73</v>
      </c>
      <c r="C140" s="5" t="s">
        <v>352</v>
      </c>
      <c r="D140" s="5">
        <v>9</v>
      </c>
      <c r="E140" s="69">
        <v>6.3693086337500002</v>
      </c>
      <c r="F140" s="26">
        <f t="shared" si="9"/>
        <v>0.6391479689308599</v>
      </c>
      <c r="G140" s="52">
        <v>126.242</v>
      </c>
      <c r="H140" s="55">
        <v>592.67999999999995</v>
      </c>
      <c r="I140" s="56">
        <v>24.98</v>
      </c>
      <c r="J140" s="61">
        <v>4.7750000000000001E-4</v>
      </c>
      <c r="K140" s="56">
        <f t="shared" si="7"/>
        <v>264.65828092243191</v>
      </c>
      <c r="L140" s="52">
        <f t="shared" si="8"/>
        <v>0.24181348755027843</v>
      </c>
      <c r="M140" s="52">
        <v>0.28399999999999997</v>
      </c>
      <c r="N140" s="74">
        <v>-0.41310000000000002</v>
      </c>
      <c r="O140" s="77">
        <v>214.81</v>
      </c>
      <c r="P140" s="79">
        <v>-1E-3</v>
      </c>
      <c r="Q140" s="28">
        <v>-1.9485000000000001E-6</v>
      </c>
      <c r="R140" s="82">
        <v>0.26440000000000002</v>
      </c>
      <c r="S140" s="83">
        <v>0.27450000000000002</v>
      </c>
      <c r="T140" s="84">
        <v>0.28570000000000001</v>
      </c>
      <c r="U140" s="91">
        <v>17.850000000000001</v>
      </c>
      <c r="V140" s="95">
        <v>-2483.5</v>
      </c>
      <c r="W140" s="98">
        <v>-3.3855</v>
      </c>
      <c r="X140" s="29">
        <v>0</v>
      </c>
      <c r="Y140" s="31">
        <v>0</v>
      </c>
      <c r="Z140" s="108">
        <v>155.17400000000001</v>
      </c>
      <c r="AA140" s="6">
        <v>0.55239000000000005</v>
      </c>
      <c r="AB140" s="7">
        <v>-1.5046E-3</v>
      </c>
      <c r="AC140" s="8">
        <v>2.1874E-6</v>
      </c>
      <c r="AD140" s="109">
        <v>0.17219999999999999</v>
      </c>
      <c r="AE140" s="29">
        <v>-8.6532000000000004E-5</v>
      </c>
      <c r="AF140" s="31">
        <v>-2.3549E-7</v>
      </c>
      <c r="AG140" s="112">
        <v>52.073999999999998</v>
      </c>
      <c r="AH140" s="113">
        <v>0.38</v>
      </c>
      <c r="AI140" s="114">
        <v>53.124000000000002</v>
      </c>
      <c r="AJ140" s="115">
        <v>1.2222</v>
      </c>
      <c r="AK140" s="35"/>
      <c r="AL140" s="35"/>
      <c r="AM140" s="35"/>
      <c r="AN140" s="35"/>
      <c r="AO140" s="35"/>
      <c r="AP140" s="35"/>
      <c r="AQ140" s="35"/>
      <c r="AR140" s="35"/>
      <c r="AS140" s="35"/>
      <c r="AT140" s="35"/>
      <c r="AU140" s="35"/>
      <c r="AV140" s="35"/>
    </row>
    <row r="141" spans="1:48" x14ac:dyDescent="0.2">
      <c r="A141" s="12" t="s">
        <v>178</v>
      </c>
      <c r="B141" s="5" t="s">
        <v>73</v>
      </c>
      <c r="C141" s="5" t="s">
        <v>353</v>
      </c>
      <c r="D141" s="5">
        <v>9</v>
      </c>
      <c r="E141" s="69">
        <v>6.3688097937499997</v>
      </c>
      <c r="F141" s="26">
        <f t="shared" si="9"/>
        <v>0.63909791128863291</v>
      </c>
      <c r="G141" s="52">
        <v>126.242</v>
      </c>
      <c r="H141" s="56">
        <v>587.41</v>
      </c>
      <c r="I141" s="56">
        <v>24.98</v>
      </c>
      <c r="J141" s="61">
        <v>4.7750000000000001E-4</v>
      </c>
      <c r="K141" s="56">
        <f t="shared" si="7"/>
        <v>264.65828092243191</v>
      </c>
      <c r="L141" s="52">
        <f t="shared" si="8"/>
        <v>0.24398293832467782</v>
      </c>
      <c r="M141" s="52">
        <v>0.28399999999999997</v>
      </c>
      <c r="N141" s="74">
        <v>-2.8299999999999999E-2</v>
      </c>
      <c r="O141" s="77">
        <v>155.93</v>
      </c>
      <c r="P141" s="79">
        <v>-1.9E-3</v>
      </c>
      <c r="Q141" s="28">
        <v>-1.3806E-6</v>
      </c>
      <c r="R141" s="82">
        <v>0.26440000000000002</v>
      </c>
      <c r="S141" s="83">
        <v>0.28170000000000001</v>
      </c>
      <c r="T141" s="83">
        <v>0.28570000000000001</v>
      </c>
      <c r="U141" s="92">
        <v>17.802</v>
      </c>
      <c r="V141" s="96">
        <v>-2459.1</v>
      </c>
      <c r="W141" s="99">
        <v>-3.3744000000000001</v>
      </c>
      <c r="X141" s="29">
        <v>0</v>
      </c>
      <c r="Y141" s="31">
        <v>0</v>
      </c>
      <c r="Z141" s="108">
        <v>155.61099999999999</v>
      </c>
      <c r="AA141" s="6">
        <v>0.54993000000000003</v>
      </c>
      <c r="AB141" s="7">
        <v>-1.506E-3</v>
      </c>
      <c r="AC141" s="8">
        <v>2.1961999999999998E-6</v>
      </c>
      <c r="AD141" s="109">
        <v>0.1721</v>
      </c>
      <c r="AE141" s="29">
        <v>-8.7015000000000006E-5</v>
      </c>
      <c r="AF141" s="31">
        <v>-2.3985999999999998E-7</v>
      </c>
      <c r="AG141" s="112">
        <v>51.587000000000003</v>
      </c>
      <c r="AH141" s="113">
        <v>0.38</v>
      </c>
      <c r="AI141" s="114">
        <v>52.957999999999998</v>
      </c>
      <c r="AJ141" s="115">
        <v>1.2222</v>
      </c>
      <c r="AK141" s="35"/>
      <c r="AL141" s="35"/>
      <c r="AM141" s="35"/>
      <c r="AN141" s="35"/>
      <c r="AO141" s="35"/>
      <c r="AP141" s="35"/>
      <c r="AQ141" s="35"/>
      <c r="AR141" s="35"/>
      <c r="AS141" s="35"/>
      <c r="AT141" s="35"/>
      <c r="AU141" s="35"/>
      <c r="AV141" s="35"/>
    </row>
    <row r="142" spans="1:48" x14ac:dyDescent="0.2">
      <c r="A142" s="12" t="s">
        <v>179</v>
      </c>
      <c r="B142" s="5" t="s">
        <v>73</v>
      </c>
      <c r="C142" s="5" t="s">
        <v>354</v>
      </c>
      <c r="D142" s="5">
        <v>9</v>
      </c>
      <c r="E142" s="69">
        <v>5.1196101599999997</v>
      </c>
      <c r="F142" s="26">
        <f t="shared" ref="F142:F173" si="10">(E142-MIN($E$78:$E$152))/(MAX($E$78:$E$152)-MIN($E$78:$E$152))</f>
        <v>0.51374311148041474</v>
      </c>
      <c r="G142" s="52">
        <v>126.242</v>
      </c>
      <c r="H142" s="56">
        <v>611.86</v>
      </c>
      <c r="I142" s="56">
        <v>26.49</v>
      </c>
      <c r="J142" s="61">
        <v>4.705E-4</v>
      </c>
      <c r="K142" s="56">
        <f t="shared" si="7"/>
        <v>268.60000000000008</v>
      </c>
      <c r="L142" s="52">
        <f t="shared" si="8"/>
        <v>0.24474720094777033</v>
      </c>
      <c r="M142" s="52">
        <v>0.28000000000000003</v>
      </c>
      <c r="N142" s="74">
        <v>-0.43980000000000002</v>
      </c>
      <c r="O142" s="77">
        <v>236.55</v>
      </c>
      <c r="P142" s="79">
        <v>-1E-3</v>
      </c>
      <c r="Q142" s="28">
        <v>-1.7605999999999999E-6</v>
      </c>
      <c r="R142" s="82">
        <v>0.26829999999999998</v>
      </c>
      <c r="S142" s="83">
        <v>0.27989999999999998</v>
      </c>
      <c r="T142" s="83">
        <v>0.28570000000000001</v>
      </c>
      <c r="U142" s="92">
        <v>10.59</v>
      </c>
      <c r="V142" s="96">
        <v>-2049</v>
      </c>
      <c r="W142" s="99">
        <v>-1.0559000000000001</v>
      </c>
      <c r="X142" s="29">
        <v>0</v>
      </c>
      <c r="Y142" s="29">
        <v>0</v>
      </c>
      <c r="Z142" s="108">
        <v>158.70400000000001</v>
      </c>
      <c r="AA142" s="6">
        <v>0.47144999999999998</v>
      </c>
      <c r="AB142" s="7">
        <v>-1.2324E-3</v>
      </c>
      <c r="AC142" s="8">
        <v>1.7987E-6</v>
      </c>
      <c r="AD142" s="109">
        <v>0.1716</v>
      </c>
      <c r="AE142" s="29">
        <v>-8.5816000000000006E-5</v>
      </c>
      <c r="AF142" s="31">
        <v>-2.1698E-7</v>
      </c>
      <c r="AG142" s="112">
        <v>53.360999999999997</v>
      </c>
      <c r="AH142" s="113">
        <v>0.38</v>
      </c>
      <c r="AI142" s="114">
        <v>54.91</v>
      </c>
      <c r="AJ142" s="115">
        <v>1.2222</v>
      </c>
      <c r="AK142" s="35"/>
      <c r="AL142" s="35"/>
      <c r="AM142" s="35"/>
      <c r="AN142" s="35"/>
      <c r="AO142" s="35"/>
      <c r="AP142" s="35"/>
      <c r="AQ142" s="35"/>
      <c r="AR142" s="35"/>
      <c r="AS142" s="35"/>
      <c r="AT142" s="35"/>
      <c r="AU142" s="35"/>
      <c r="AV142" s="35"/>
    </row>
    <row r="143" spans="1:48" x14ac:dyDescent="0.2">
      <c r="A143" s="12" t="s">
        <v>102</v>
      </c>
      <c r="B143" s="5" t="s">
        <v>73</v>
      </c>
      <c r="C143" s="5" t="s">
        <v>355</v>
      </c>
      <c r="D143" s="5">
        <v>9</v>
      </c>
      <c r="E143" s="69">
        <v>5.1275627799999999</v>
      </c>
      <c r="F143" s="26">
        <f t="shared" si="10"/>
        <v>0.5145411417240342</v>
      </c>
      <c r="G143" s="52">
        <v>126.242</v>
      </c>
      <c r="H143" s="55">
        <v>621.87</v>
      </c>
      <c r="I143" s="63" t="s">
        <v>233</v>
      </c>
      <c r="J143" s="64" t="s">
        <v>234</v>
      </c>
      <c r="K143" s="56">
        <f t="shared" si="7"/>
        <v>268.60000000000008</v>
      </c>
      <c r="L143" s="52">
        <f t="shared" si="8"/>
        <v>0.24080760025713216</v>
      </c>
      <c r="M143" s="68" t="s">
        <v>235</v>
      </c>
      <c r="N143" s="74">
        <v>-1.0786</v>
      </c>
      <c r="O143" s="77">
        <v>339.88</v>
      </c>
      <c r="P143" s="79">
        <v>2.9999999999999997E-4</v>
      </c>
      <c r="Q143" s="28">
        <v>-2.6046999999999998E-6</v>
      </c>
      <c r="R143" s="82">
        <v>0.26829999999999998</v>
      </c>
      <c r="S143" s="83">
        <v>0.27510000000000001</v>
      </c>
      <c r="T143" s="84">
        <v>0.28570000000000001</v>
      </c>
      <c r="U143" s="91">
        <v>10.555999999999999</v>
      </c>
      <c r="V143" s="95">
        <v>-2079.6</v>
      </c>
      <c r="W143" s="98">
        <v>-1.0427999999999999</v>
      </c>
      <c r="X143" s="29">
        <v>0</v>
      </c>
      <c r="Y143" s="31">
        <v>0</v>
      </c>
      <c r="Z143" s="108">
        <v>161.30799999999999</v>
      </c>
      <c r="AA143" s="6">
        <v>0.45197999999999999</v>
      </c>
      <c r="AB143" s="7">
        <v>-1.1655000000000001E-3</v>
      </c>
      <c r="AC143" s="8">
        <v>1.7086E-6</v>
      </c>
      <c r="AD143" s="109">
        <v>0.17219999999999999</v>
      </c>
      <c r="AE143" s="29">
        <v>-8.6588999999999994E-5</v>
      </c>
      <c r="AF143" s="31">
        <v>-2.0816000000000001E-7</v>
      </c>
      <c r="AG143" s="112">
        <v>54.277000000000001</v>
      </c>
      <c r="AH143" s="113">
        <v>0.38</v>
      </c>
      <c r="AI143" s="114">
        <v>55.222999999999999</v>
      </c>
      <c r="AJ143" s="115">
        <v>1.2222</v>
      </c>
      <c r="AK143" s="35"/>
      <c r="AL143" s="35"/>
      <c r="AM143" s="35"/>
      <c r="AN143" s="35"/>
      <c r="AO143" s="35"/>
      <c r="AP143" s="35"/>
      <c r="AQ143" s="35"/>
      <c r="AR143" s="35"/>
      <c r="AS143" s="35"/>
      <c r="AT143" s="35"/>
      <c r="AU143" s="35"/>
      <c r="AV143" s="35"/>
    </row>
    <row r="144" spans="1:48" x14ac:dyDescent="0.2">
      <c r="A144" s="22" t="s">
        <v>180</v>
      </c>
      <c r="B144" s="5" t="s">
        <v>73</v>
      </c>
      <c r="C144" s="5" t="s">
        <v>356</v>
      </c>
      <c r="D144" s="5">
        <v>9</v>
      </c>
      <c r="E144" s="69">
        <v>4.8398428312500004</v>
      </c>
      <c r="F144" s="26">
        <f t="shared" si="10"/>
        <v>0.48566899382873235</v>
      </c>
      <c r="G144" s="52">
        <v>126.242</v>
      </c>
      <c r="H144" s="55">
        <v>629.26</v>
      </c>
      <c r="I144" s="63" t="s">
        <v>233</v>
      </c>
      <c r="J144" s="64" t="s">
        <v>234</v>
      </c>
      <c r="K144" s="56">
        <f t="shared" si="7"/>
        <v>268.60000000000008</v>
      </c>
      <c r="L144" s="52">
        <f t="shared" si="8"/>
        <v>0.23797956706592308</v>
      </c>
      <c r="M144" s="67" t="str" cm="1">
        <f t="array" aca="1" ref="M144" ca="1">LEFT(INDEX($M$78:$M$154, MATCH(MIN(IF(ABS($E$78:$E$154-E144)&lt;&gt;0, ABS($E$78:$E$154-E144))), IF(ABS($E$78:$E$154-E144)&lt;&gt;0, ABS($E$78:$E$154-E144)), 0)),5)</f>
        <v>0.26</v>
      </c>
      <c r="N144" s="74">
        <v>-1.4934000000000001</v>
      </c>
      <c r="O144" s="77">
        <v>408.8</v>
      </c>
      <c r="P144" s="79">
        <v>1.1999999999999999E-3</v>
      </c>
      <c r="Q144" s="28">
        <v>-3.1198000000000002E-6</v>
      </c>
      <c r="R144" s="82">
        <v>0.26829999999999998</v>
      </c>
      <c r="S144" s="83">
        <v>0.27160000000000001</v>
      </c>
      <c r="T144" s="83">
        <v>0.28570000000000001</v>
      </c>
      <c r="U144" s="92">
        <v>9.2779000000000007</v>
      </c>
      <c r="V144" s="96">
        <v>-2013.4</v>
      </c>
      <c r="W144" s="99">
        <v>-0.63600000000000001</v>
      </c>
      <c r="X144" s="29">
        <v>0</v>
      </c>
      <c r="Y144" s="29">
        <v>0</v>
      </c>
      <c r="Z144" s="108">
        <v>160.816</v>
      </c>
      <c r="AA144" s="6">
        <v>0.45623000000000002</v>
      </c>
      <c r="AB144" s="7">
        <v>-1.163E-3</v>
      </c>
      <c r="AC144" s="8">
        <v>1.6815999999999999E-6</v>
      </c>
      <c r="AD144" s="109">
        <v>0.17180000000000001</v>
      </c>
      <c r="AE144" s="29">
        <v>-8.3904000000000002E-5</v>
      </c>
      <c r="AF144" s="31">
        <v>-2.0524E-7</v>
      </c>
      <c r="AG144" s="112">
        <v>54.954000000000001</v>
      </c>
      <c r="AH144" s="113">
        <v>0.38</v>
      </c>
      <c r="AI144" s="114">
        <v>55.451000000000001</v>
      </c>
      <c r="AJ144" s="115">
        <v>1.2222</v>
      </c>
      <c r="AK144" s="35"/>
      <c r="AL144" s="35"/>
      <c r="AM144" s="35"/>
      <c r="AN144" s="35"/>
      <c r="AO144" s="35"/>
      <c r="AP144" s="35"/>
      <c r="AQ144" s="35"/>
      <c r="AR144" s="35"/>
      <c r="AS144" s="35"/>
      <c r="AT144" s="35"/>
      <c r="AU144" s="35"/>
      <c r="AV144" s="35"/>
    </row>
    <row r="145" spans="1:48" x14ac:dyDescent="0.2">
      <c r="A145" s="24" t="s">
        <v>187</v>
      </c>
      <c r="B145" s="5" t="s">
        <v>73</v>
      </c>
      <c r="C145" s="5" t="s">
        <v>357</v>
      </c>
      <c r="D145" s="5">
        <v>9</v>
      </c>
      <c r="E145" s="69">
        <v>5.4125554474999999</v>
      </c>
      <c r="F145" s="26">
        <f t="shared" si="10"/>
        <v>0.54313961214947637</v>
      </c>
      <c r="G145" s="52">
        <v>126.242</v>
      </c>
      <c r="H145" s="55">
        <v>602.20000000000005</v>
      </c>
      <c r="I145" s="63" t="s">
        <v>233</v>
      </c>
      <c r="J145" s="64" t="s">
        <v>234</v>
      </c>
      <c r="K145" s="56">
        <f t="shared" si="7"/>
        <v>268.60000000000008</v>
      </c>
      <c r="L145" s="52">
        <f t="shared" si="8"/>
        <v>0.24867323542328587</v>
      </c>
      <c r="M145" s="67" t="str" cm="1">
        <f t="array" ref="M145">LEFT(INDEX($M$78:$M$154, MATCH(MIN(IF(ABS($E$78:$E$154-E145)&lt;&gt;0, ABS($E$78:$E$154-E145))), IF(ABS($E$78:$E$154-E145)&lt;&gt;0, ABS($E$78:$E$154-E145)), 0)),5)</f>
        <v>0.333</v>
      </c>
      <c r="N145" s="74">
        <v>-0.68659999999999999</v>
      </c>
      <c r="O145" s="77">
        <v>259.57</v>
      </c>
      <c r="P145" s="79">
        <v>-2.0000000000000001E-4</v>
      </c>
      <c r="Q145" s="28">
        <v>-2.6645000000000001E-6</v>
      </c>
      <c r="R145" s="82">
        <v>0.2258</v>
      </c>
      <c r="S145" s="83">
        <v>0.245</v>
      </c>
      <c r="T145" s="83">
        <v>0.28570000000000001</v>
      </c>
      <c r="U145" s="92">
        <v>-211.17</v>
      </c>
      <c r="V145" s="96">
        <v>2677.4</v>
      </c>
      <c r="W145" s="99">
        <v>93.218000000000004</v>
      </c>
      <c r="X145" s="32">
        <v>-0.10535</v>
      </c>
      <c r="Y145" s="33">
        <v>4.2323000000000001E-5</v>
      </c>
      <c r="Z145" s="108">
        <v>146.86500000000001</v>
      </c>
      <c r="AA145" s="6">
        <v>0.60621999999999998</v>
      </c>
      <c r="AB145" s="7">
        <v>-1.6603E-3</v>
      </c>
      <c r="AC145" s="8">
        <v>2.3746000000000001E-6</v>
      </c>
      <c r="AD145" s="109">
        <v>0.1736</v>
      </c>
      <c r="AE145" s="29">
        <v>-8.5117999999999994E-5</v>
      </c>
      <c r="AF145" s="31">
        <v>-2.3145E-7</v>
      </c>
      <c r="AG145" s="112">
        <v>54.444000000000003</v>
      </c>
      <c r="AH145" s="113">
        <v>0.38</v>
      </c>
      <c r="AI145" s="114">
        <v>53.119</v>
      </c>
      <c r="AJ145" s="115">
        <v>1.2222</v>
      </c>
      <c r="AK145" s="35"/>
      <c r="AL145" s="35"/>
      <c r="AM145" s="35"/>
      <c r="AN145" s="35"/>
      <c r="AO145" s="35"/>
      <c r="AP145" s="35"/>
      <c r="AQ145" s="35"/>
      <c r="AR145" s="35"/>
      <c r="AS145" s="35"/>
      <c r="AT145" s="35"/>
      <c r="AU145" s="35"/>
      <c r="AV145" s="35"/>
    </row>
    <row r="146" spans="1:48" x14ac:dyDescent="0.2">
      <c r="A146" s="23" t="s">
        <v>103</v>
      </c>
      <c r="B146" s="5" t="s">
        <v>73</v>
      </c>
      <c r="C146" s="5" t="s">
        <v>358</v>
      </c>
      <c r="D146" s="5">
        <v>9</v>
      </c>
      <c r="E146" s="69">
        <v>5.4035840825000001</v>
      </c>
      <c r="F146" s="26">
        <f t="shared" si="10"/>
        <v>0.5422393527888445</v>
      </c>
      <c r="G146" s="52">
        <v>126.242</v>
      </c>
      <c r="H146" s="55">
        <v>607.71</v>
      </c>
      <c r="I146" s="63" t="s">
        <v>233</v>
      </c>
      <c r="J146" s="64" t="s">
        <v>234</v>
      </c>
      <c r="K146" s="56">
        <f t="shared" si="7"/>
        <v>268.60000000000008</v>
      </c>
      <c r="L146" s="52">
        <f t="shared" si="8"/>
        <v>0.24641855880584945</v>
      </c>
      <c r="M146" s="68" t="s">
        <v>235</v>
      </c>
      <c r="N146" s="74">
        <v>-0.1452</v>
      </c>
      <c r="O146" s="77">
        <v>189.9</v>
      </c>
      <c r="P146" s="79">
        <v>-1.6999999999999999E-3</v>
      </c>
      <c r="Q146" s="28">
        <v>-1.3527E-6</v>
      </c>
      <c r="R146" s="82">
        <v>0.26829999999999998</v>
      </c>
      <c r="S146" s="83">
        <v>0.28029999999999999</v>
      </c>
      <c r="T146" s="84">
        <v>0.28570000000000001</v>
      </c>
      <c r="U146" s="91">
        <v>15.939</v>
      </c>
      <c r="V146" s="95">
        <v>-2403.1999999999998</v>
      </c>
      <c r="W146" s="98">
        <v>-2.7612999999999999</v>
      </c>
      <c r="X146" s="29">
        <v>0</v>
      </c>
      <c r="Y146" s="31">
        <v>0</v>
      </c>
      <c r="Z146" s="108">
        <v>146.923</v>
      </c>
      <c r="AA146" s="6">
        <v>0.56225000000000003</v>
      </c>
      <c r="AB146" s="7">
        <v>-1.4706000000000001E-3</v>
      </c>
      <c r="AC146" s="8">
        <v>2.0148000000000002E-6</v>
      </c>
      <c r="AD146" s="109">
        <v>0.1681</v>
      </c>
      <c r="AE146" s="29">
        <v>-7.1569999999999994E-5</v>
      </c>
      <c r="AF146" s="31">
        <v>-2.3543000000000001E-7</v>
      </c>
      <c r="AG146" s="112">
        <v>52.981000000000002</v>
      </c>
      <c r="AH146" s="113">
        <v>0.38</v>
      </c>
      <c r="AI146" s="114">
        <v>54.779000000000003</v>
      </c>
      <c r="AJ146" s="115">
        <v>1.2222</v>
      </c>
      <c r="AK146" s="35"/>
      <c r="AL146" s="35"/>
      <c r="AM146" s="35"/>
      <c r="AN146" s="35"/>
      <c r="AO146" s="35"/>
      <c r="AP146" s="35"/>
      <c r="AQ146" s="35"/>
      <c r="AR146" s="35"/>
      <c r="AS146" s="35"/>
      <c r="AT146" s="35"/>
      <c r="AU146" s="35"/>
      <c r="AV146" s="35"/>
    </row>
    <row r="147" spans="1:48" x14ac:dyDescent="0.2">
      <c r="A147" s="22" t="s">
        <v>181</v>
      </c>
      <c r="B147" s="5" t="s">
        <v>73</v>
      </c>
      <c r="C147" s="5" t="s">
        <v>359</v>
      </c>
      <c r="D147" s="5">
        <v>9</v>
      </c>
      <c r="E147" s="69">
        <v>5.1281870899999999</v>
      </c>
      <c r="F147" s="26">
        <f t="shared" si="10"/>
        <v>0.51460379004136791</v>
      </c>
      <c r="G147" s="52">
        <v>126.242</v>
      </c>
      <c r="H147" s="55">
        <v>617.44000000000005</v>
      </c>
      <c r="I147" s="63" t="s">
        <v>233</v>
      </c>
      <c r="J147" s="64" t="s">
        <v>234</v>
      </c>
      <c r="K147" s="56">
        <f t="shared" si="7"/>
        <v>268.60000000000008</v>
      </c>
      <c r="L147" s="52">
        <f t="shared" si="8"/>
        <v>0.24253534330769427</v>
      </c>
      <c r="M147" s="67" t="str" cm="1">
        <f t="array" ref="M147">LEFT(INDEX($M$78:$M$154, MATCH(MIN(IF(ABS($E$78:$E$154-E147)&lt;&gt;0, ABS($E$78:$E$154-E147))), IF(ABS($E$78:$E$154-E147)&lt;&gt;0, ABS($E$78:$E$154-E147)), 0)),5)</f>
        <v>0.355</v>
      </c>
      <c r="N147" s="74">
        <v>-0.80759999999999998</v>
      </c>
      <c r="O147" s="77">
        <v>295.67</v>
      </c>
      <c r="P147" s="79">
        <v>-2.0000000000000001E-4</v>
      </c>
      <c r="Q147" s="28">
        <v>-2.2537999999999999E-6</v>
      </c>
      <c r="R147" s="82">
        <v>0.26829999999999998</v>
      </c>
      <c r="S147" s="83">
        <v>0.27400000000000002</v>
      </c>
      <c r="T147" s="83">
        <v>0.28570000000000001</v>
      </c>
      <c r="U147" s="92">
        <v>10.585000000000001</v>
      </c>
      <c r="V147" s="96">
        <v>-2067.1</v>
      </c>
      <c r="W147" s="99">
        <v>-1.0530999999999999</v>
      </c>
      <c r="X147" s="29">
        <v>0</v>
      </c>
      <c r="Y147" s="31">
        <v>0</v>
      </c>
      <c r="Z147" s="108">
        <v>158.65299999999999</v>
      </c>
      <c r="AA147" s="6">
        <v>0.47154000000000001</v>
      </c>
      <c r="AB147" s="7">
        <v>-1.225E-3</v>
      </c>
      <c r="AC147" s="8">
        <v>1.7825000000000001E-6</v>
      </c>
      <c r="AD147" s="109">
        <v>0.17169999999999999</v>
      </c>
      <c r="AE147" s="29">
        <v>-8.5291999999999996E-5</v>
      </c>
      <c r="AF147" s="31">
        <v>-2.1299999999999999E-7</v>
      </c>
      <c r="AG147" s="112">
        <v>53.872</v>
      </c>
      <c r="AH147" s="113">
        <v>0.38</v>
      </c>
      <c r="AI147" s="114">
        <v>55.085000000000001</v>
      </c>
      <c r="AJ147" s="115">
        <v>1.2222</v>
      </c>
      <c r="AK147" s="35"/>
      <c r="AL147" s="35"/>
      <c r="AM147" s="35"/>
      <c r="AN147" s="35"/>
      <c r="AO147" s="35"/>
      <c r="AP147" s="35"/>
      <c r="AQ147" s="35"/>
      <c r="AR147" s="35"/>
      <c r="AS147" s="35"/>
      <c r="AT147" s="35"/>
      <c r="AU147" s="35"/>
      <c r="AV147" s="35"/>
    </row>
    <row r="148" spans="1:48" x14ac:dyDescent="0.2">
      <c r="A148" s="22" t="s">
        <v>182</v>
      </c>
      <c r="B148" s="5" t="s">
        <v>73</v>
      </c>
      <c r="C148" s="5" t="s">
        <v>360</v>
      </c>
      <c r="D148" s="5">
        <v>9</v>
      </c>
      <c r="E148" s="69">
        <v>5.4074327450000004</v>
      </c>
      <c r="F148" s="26">
        <f t="shared" si="10"/>
        <v>0.54262555872757712</v>
      </c>
      <c r="G148" s="52">
        <v>126.242</v>
      </c>
      <c r="H148" s="55">
        <v>611.86</v>
      </c>
      <c r="I148" s="63" t="s">
        <v>233</v>
      </c>
      <c r="J148" s="64" t="s">
        <v>234</v>
      </c>
      <c r="K148" s="56">
        <f t="shared" si="7"/>
        <v>268.60000000000008</v>
      </c>
      <c r="L148" s="52">
        <f t="shared" si="8"/>
        <v>0.24474720094777033</v>
      </c>
      <c r="M148" s="68" t="s">
        <v>236</v>
      </c>
      <c r="N148" s="74">
        <v>-0.43980000000000002</v>
      </c>
      <c r="O148" s="77">
        <v>236.55</v>
      </c>
      <c r="P148" s="79">
        <v>-1E-3</v>
      </c>
      <c r="Q148" s="28">
        <v>-1.7605999999999999E-6</v>
      </c>
      <c r="R148" s="82">
        <v>0.26829999999999998</v>
      </c>
      <c r="S148" s="83">
        <v>0.2757</v>
      </c>
      <c r="T148" s="83">
        <v>0.28570000000000001</v>
      </c>
      <c r="U148" s="92">
        <v>10</v>
      </c>
      <c r="V148" s="96">
        <v>-2008.3</v>
      </c>
      <c r="W148" s="99">
        <v>-0.86839999999999995</v>
      </c>
      <c r="X148" s="29">
        <v>0</v>
      </c>
      <c r="Y148" s="31">
        <v>0</v>
      </c>
      <c r="Z148" s="108">
        <v>157.25899999999999</v>
      </c>
      <c r="AA148" s="6">
        <v>0.48187000000000002</v>
      </c>
      <c r="AB148" s="7">
        <v>-1.2625E-3</v>
      </c>
      <c r="AC148" s="8">
        <v>1.8365999999999999E-6</v>
      </c>
      <c r="AD148" s="109">
        <v>0.17150000000000001</v>
      </c>
      <c r="AE148" s="29">
        <v>-8.5320000000000003E-5</v>
      </c>
      <c r="AF148" s="31">
        <v>-2.1750000000000001E-7</v>
      </c>
      <c r="AG148" s="112">
        <v>53.360999999999997</v>
      </c>
      <c r="AH148" s="113">
        <v>0.38</v>
      </c>
      <c r="AI148" s="114">
        <v>54.91</v>
      </c>
      <c r="AJ148" s="115">
        <v>1.2222</v>
      </c>
      <c r="AK148" s="35"/>
      <c r="AL148" s="35"/>
      <c r="AM148" s="35"/>
      <c r="AN148" s="35"/>
      <c r="AO148" s="35"/>
      <c r="AP148" s="35"/>
      <c r="AQ148" s="35"/>
      <c r="AR148" s="35"/>
      <c r="AS148" s="35"/>
      <c r="AT148" s="35"/>
      <c r="AU148" s="35"/>
      <c r="AV148" s="35"/>
    </row>
    <row r="149" spans="1:48" x14ac:dyDescent="0.2">
      <c r="A149" s="23" t="s">
        <v>104</v>
      </c>
      <c r="B149" s="5" t="s">
        <v>73</v>
      </c>
      <c r="C149" s="5" t="s">
        <v>277</v>
      </c>
      <c r="D149" s="5">
        <v>9</v>
      </c>
      <c r="E149" s="69">
        <v>6.7712888775</v>
      </c>
      <c r="F149" s="26">
        <f t="shared" si="10"/>
        <v>0.6794859194239069</v>
      </c>
      <c r="G149" s="52">
        <v>126.242</v>
      </c>
      <c r="H149" s="55">
        <v>612.05999999999995</v>
      </c>
      <c r="I149" s="63" t="s">
        <v>237</v>
      </c>
      <c r="J149" s="64" t="s">
        <v>238</v>
      </c>
      <c r="K149" s="56">
        <f t="shared" si="7"/>
        <v>269.17270788912577</v>
      </c>
      <c r="L149" s="52">
        <f t="shared" si="8"/>
        <v>0.26497608163320047</v>
      </c>
      <c r="M149" s="67" t="str" cm="1">
        <f t="array" ref="M149">LEFT(INDEX($M$78:$M$154, MATCH(MIN(IF(ABS($E$78:$E$154-E149)&lt;&gt;0, ABS($E$78:$E$154-E149))), IF(ABS($E$78:$E$154-E149)&lt;&gt;0, ABS($E$78:$E$154-E149)), 0)),5)</f>
        <v>0.353</v>
      </c>
      <c r="N149" s="74">
        <v>-1.6244000000000001</v>
      </c>
      <c r="O149" s="77">
        <v>381.67</v>
      </c>
      <c r="P149" s="79">
        <v>1.9E-3</v>
      </c>
      <c r="Q149" s="28">
        <v>-3.9241999999999996E-6</v>
      </c>
      <c r="R149" s="82">
        <v>0.26889999999999997</v>
      </c>
      <c r="S149" s="83">
        <v>0.27779999999999999</v>
      </c>
      <c r="T149" s="84">
        <v>0.28570000000000001</v>
      </c>
      <c r="U149" s="91">
        <v>17.073</v>
      </c>
      <c r="V149" s="95">
        <v>-2475.5</v>
      </c>
      <c r="W149" s="98">
        <v>-3.1198999999999999</v>
      </c>
      <c r="X149" s="29">
        <v>0</v>
      </c>
      <c r="Y149" s="31">
        <v>0</v>
      </c>
      <c r="Z149" s="108">
        <v>151.03100000000001</v>
      </c>
      <c r="AA149" s="6">
        <v>0.48126000000000002</v>
      </c>
      <c r="AB149" s="7">
        <v>-1.2451000000000001E-3</v>
      </c>
      <c r="AC149" s="8">
        <v>1.7827000000000001E-6</v>
      </c>
      <c r="AD149" s="109">
        <v>0.16839999999999999</v>
      </c>
      <c r="AE149" s="29">
        <v>-8.0253999999999994E-5</v>
      </c>
      <c r="AF149" s="31">
        <v>-2.1853000000000001E-7</v>
      </c>
      <c r="AG149" s="112">
        <v>52.406999999999996</v>
      </c>
      <c r="AH149" s="113">
        <v>0.38</v>
      </c>
      <c r="AI149" s="114">
        <v>56.546999999999997</v>
      </c>
      <c r="AJ149" s="115">
        <v>1.2222</v>
      </c>
      <c r="AK149" s="35"/>
      <c r="AL149" s="35"/>
      <c r="AM149" s="35"/>
      <c r="AN149" s="35"/>
      <c r="AO149" s="35"/>
      <c r="AP149" s="35"/>
      <c r="AQ149" s="35"/>
      <c r="AR149" s="35"/>
      <c r="AS149" s="35"/>
      <c r="AT149" s="35"/>
      <c r="AU149" s="35"/>
      <c r="AV149" s="35"/>
    </row>
    <row r="150" spans="1:48" x14ac:dyDescent="0.2">
      <c r="A150" s="22" t="s">
        <v>183</v>
      </c>
      <c r="B150" s="5" t="s">
        <v>73</v>
      </c>
      <c r="C150" s="5" t="s">
        <v>361</v>
      </c>
      <c r="D150" s="5">
        <v>9</v>
      </c>
      <c r="E150" s="69">
        <v>4.8385689187500001</v>
      </c>
      <c r="F150" s="26">
        <f t="shared" si="10"/>
        <v>0.48554115913994739</v>
      </c>
      <c r="G150" s="52">
        <v>126.242</v>
      </c>
      <c r="H150" s="55">
        <v>626.29999999999995</v>
      </c>
      <c r="I150" s="63" t="s">
        <v>233</v>
      </c>
      <c r="J150" s="64" t="s">
        <v>234</v>
      </c>
      <c r="K150" s="56">
        <f t="shared" si="7"/>
        <v>268.60000000000008</v>
      </c>
      <c r="L150" s="52">
        <f t="shared" si="8"/>
        <v>0.23910429885342929</v>
      </c>
      <c r="M150" s="67" t="str" cm="1">
        <f t="array" aca="1" ref="M150" ca="1">LEFT(INDEX($M$78:$M$154, MATCH(MIN(IF(ABS($E$78:$E$154-E150)&lt;&gt;0, ABS($E$78:$E$154-E150))), IF(ABS($E$78:$E$154-E150)&lt;&gt;0, ABS($E$78:$E$154-E150)), 0)),5)</f>
        <v>0.26</v>
      </c>
      <c r="N150" s="74">
        <v>-1.3327</v>
      </c>
      <c r="O150" s="77">
        <v>381.91</v>
      </c>
      <c r="P150" s="79">
        <v>8.0000000000000004E-4</v>
      </c>
      <c r="Q150" s="28">
        <v>-2.9235999999999998E-6</v>
      </c>
      <c r="R150" s="82">
        <v>0.26829999999999998</v>
      </c>
      <c r="S150" s="83">
        <v>0.26750000000000002</v>
      </c>
      <c r="T150" s="83">
        <v>0.28570000000000001</v>
      </c>
      <c r="U150" s="92">
        <v>10.525</v>
      </c>
      <c r="V150" s="96">
        <v>-2092.1</v>
      </c>
      <c r="W150" s="99">
        <v>-1.0321</v>
      </c>
      <c r="X150" s="29">
        <v>0</v>
      </c>
      <c r="Y150" s="29">
        <v>0</v>
      </c>
      <c r="Z150" s="108">
        <v>159.18899999999999</v>
      </c>
      <c r="AA150" s="6">
        <v>0.46753</v>
      </c>
      <c r="AB150" s="7">
        <v>-1.2009E-3</v>
      </c>
      <c r="AC150" s="8">
        <v>1.739E-6</v>
      </c>
      <c r="AD150" s="109">
        <v>0.17180000000000001</v>
      </c>
      <c r="AE150" s="29">
        <v>-8.4380000000000002E-5</v>
      </c>
      <c r="AF150" s="31">
        <v>-2.0699999999999999E-7</v>
      </c>
      <c r="AG150" s="112">
        <v>54.683</v>
      </c>
      <c r="AH150" s="113">
        <v>0.38</v>
      </c>
      <c r="AI150" s="114">
        <v>55.36</v>
      </c>
      <c r="AJ150" s="115">
        <v>1.2222</v>
      </c>
      <c r="AK150" s="35"/>
      <c r="AL150" s="35"/>
      <c r="AM150" s="35"/>
      <c r="AN150" s="35"/>
      <c r="AO150" s="35"/>
      <c r="AP150" s="35"/>
      <c r="AQ150" s="35"/>
      <c r="AR150" s="35"/>
      <c r="AS150" s="35"/>
      <c r="AT150" s="35"/>
      <c r="AU150" s="35"/>
      <c r="AV150" s="35"/>
    </row>
    <row r="151" spans="1:48" x14ac:dyDescent="0.2">
      <c r="A151" s="23" t="s">
        <v>105</v>
      </c>
      <c r="B151" s="5" t="s">
        <v>73</v>
      </c>
      <c r="C151" s="5" t="s">
        <v>278</v>
      </c>
      <c r="D151" s="5">
        <v>9</v>
      </c>
      <c r="E151" s="69">
        <v>6.7722089324999999</v>
      </c>
      <c r="F151" s="26">
        <f t="shared" si="10"/>
        <v>0.67957824518771726</v>
      </c>
      <c r="G151" s="52">
        <v>126.242</v>
      </c>
      <c r="H151" s="55">
        <v>609.63</v>
      </c>
      <c r="I151" s="63" t="s">
        <v>237</v>
      </c>
      <c r="J151" s="64" t="s">
        <v>238</v>
      </c>
      <c r="K151" s="56">
        <f t="shared" si="7"/>
        <v>269.17270788912577</v>
      </c>
      <c r="L151" s="52">
        <f t="shared" si="8"/>
        <v>0.26603228273611312</v>
      </c>
      <c r="M151" s="68" t="s">
        <v>239</v>
      </c>
      <c r="N151" s="74">
        <v>-1.4883999999999999</v>
      </c>
      <c r="O151" s="77">
        <v>359</v>
      </c>
      <c r="P151" s="79">
        <v>1.6000000000000001E-3</v>
      </c>
      <c r="Q151" s="28">
        <v>-3.7610000000000001E-6</v>
      </c>
      <c r="R151" s="82">
        <v>0.26889999999999997</v>
      </c>
      <c r="S151" s="83">
        <v>0.2802</v>
      </c>
      <c r="T151" s="84">
        <v>0.28570000000000001</v>
      </c>
      <c r="U151" s="91">
        <v>14.858000000000001</v>
      </c>
      <c r="V151" s="95">
        <v>-2314.1</v>
      </c>
      <c r="W151" s="98">
        <v>-2.4157000000000002</v>
      </c>
      <c r="X151" s="29">
        <v>0</v>
      </c>
      <c r="Y151" s="31">
        <v>0</v>
      </c>
      <c r="Z151" s="108">
        <v>148.59700000000001</v>
      </c>
      <c r="AA151" s="6">
        <v>0.50038000000000005</v>
      </c>
      <c r="AB151" s="7">
        <v>-1.2971E-3</v>
      </c>
      <c r="AC151" s="8">
        <v>1.8304000000000001E-6</v>
      </c>
      <c r="AD151" s="109">
        <v>0.16750000000000001</v>
      </c>
      <c r="AE151" s="29">
        <v>-7.7000000000000001E-5</v>
      </c>
      <c r="AF151" s="31">
        <v>-2.2397000000000001E-7</v>
      </c>
      <c r="AG151" s="112">
        <v>52.189</v>
      </c>
      <c r="AH151" s="113">
        <v>0.38</v>
      </c>
      <c r="AI151" s="114">
        <v>56.469000000000001</v>
      </c>
      <c r="AJ151" s="115">
        <v>1.2222</v>
      </c>
      <c r="AK151" s="35"/>
      <c r="AL151" s="35"/>
      <c r="AM151" s="35"/>
      <c r="AN151" s="35"/>
      <c r="AO151" s="35"/>
      <c r="AP151" s="35"/>
      <c r="AQ151" s="35"/>
      <c r="AR151" s="35"/>
      <c r="AS151" s="35"/>
      <c r="AT151" s="35"/>
      <c r="AU151" s="35"/>
      <c r="AV151" s="35"/>
    </row>
    <row r="152" spans="1:48" x14ac:dyDescent="0.2">
      <c r="A152" s="23" t="s">
        <v>106</v>
      </c>
      <c r="B152" s="5" t="s">
        <v>73</v>
      </c>
      <c r="C152" s="5" t="s">
        <v>279</v>
      </c>
      <c r="D152" s="5">
        <v>9</v>
      </c>
      <c r="E152" s="69">
        <v>6.3231748062499999</v>
      </c>
      <c r="F152" s="26">
        <f t="shared" si="10"/>
        <v>0.63451852736331082</v>
      </c>
      <c r="G152" s="52">
        <v>126.242</v>
      </c>
      <c r="H152" s="55">
        <v>624.87</v>
      </c>
      <c r="I152" s="63" t="s">
        <v>237</v>
      </c>
      <c r="J152" s="64" t="s">
        <v>238</v>
      </c>
      <c r="K152" s="56">
        <f t="shared" si="7"/>
        <v>269.17270788912577</v>
      </c>
      <c r="L152" s="52">
        <f t="shared" si="8"/>
        <v>0.25954400199148087</v>
      </c>
      <c r="M152" s="68" t="s">
        <v>240</v>
      </c>
      <c r="N152" s="74">
        <v>-2.2654999999999998</v>
      </c>
      <c r="O152" s="77">
        <v>491.3</v>
      </c>
      <c r="P152" s="79">
        <v>3.2000000000000002E-3</v>
      </c>
      <c r="Q152" s="28">
        <v>-4.6438000000000003E-6</v>
      </c>
      <c r="R152" s="82">
        <v>0.26889999999999997</v>
      </c>
      <c r="S152" s="83">
        <v>0.2707</v>
      </c>
      <c r="T152" s="84">
        <v>0.28570000000000001</v>
      </c>
      <c r="U152" s="91">
        <v>15.465</v>
      </c>
      <c r="V152" s="95">
        <v>-2412.6999999999998</v>
      </c>
      <c r="W152" s="98">
        <v>-2.6004</v>
      </c>
      <c r="X152" s="29">
        <v>0</v>
      </c>
      <c r="Y152" s="31">
        <v>0</v>
      </c>
      <c r="Z152" s="108">
        <v>143.88</v>
      </c>
      <c r="AA152" s="6">
        <v>0.53615999999999997</v>
      </c>
      <c r="AB152" s="7">
        <v>-1.3586E-3</v>
      </c>
      <c r="AC152" s="8">
        <v>1.8322E-6</v>
      </c>
      <c r="AD152" s="109">
        <v>0.16569999999999999</v>
      </c>
      <c r="AE152" s="29">
        <v>-6.7262999999999996E-5</v>
      </c>
      <c r="AF152" s="31">
        <v>-2.2172E-7</v>
      </c>
      <c r="AG152" s="112">
        <v>53.558</v>
      </c>
      <c r="AH152" s="113">
        <v>0.38</v>
      </c>
      <c r="AI152" s="114">
        <v>56.959000000000003</v>
      </c>
      <c r="AJ152" s="115">
        <v>1.2222</v>
      </c>
      <c r="AK152" s="35"/>
      <c r="AL152" s="35"/>
      <c r="AM152" s="35"/>
      <c r="AN152" s="35"/>
      <c r="AO152" s="35"/>
      <c r="AP152" s="35"/>
      <c r="AQ152" s="35"/>
      <c r="AR152" s="35"/>
      <c r="AS152" s="35"/>
      <c r="AT152" s="35"/>
      <c r="AU152" s="35"/>
      <c r="AV152" s="35"/>
    </row>
    <row r="153" spans="1:48" x14ac:dyDescent="0.2">
      <c r="A153" s="22" t="s">
        <v>184</v>
      </c>
      <c r="B153" s="5" t="s">
        <v>73</v>
      </c>
      <c r="C153" s="5" t="s">
        <v>362</v>
      </c>
      <c r="D153" s="5">
        <v>9</v>
      </c>
      <c r="E153" s="69">
        <v>5.1232554600000002</v>
      </c>
      <c r="F153" s="26">
        <f t="shared" si="10"/>
        <v>0.5141089103802825</v>
      </c>
      <c r="G153" s="52">
        <v>126.242</v>
      </c>
      <c r="H153" s="55">
        <v>621.87</v>
      </c>
      <c r="I153" s="65" t="str" cm="1">
        <f t="array" ref="I153">LEFT(INDEX($I$78:$I$154, MATCH(MIN(IF(ABS($E$78:$E$154-E153)&lt;&gt;0, ABS($E$78:$E$154-E153))), IF(ABS($E$78:$E$154-E153)&lt;&gt;0, ABS($E$78:$E$154-E153)), 0)),5)</f>
        <v>26.49</v>
      </c>
      <c r="J153" s="66" t="str" cm="1">
        <f t="array" ref="J153">LEFT(INDEX($J$78:$J$154, MATCH(MIN(IF(ABS($E$78:$E$154-E153)&lt;&gt;0, ABS($E$78:$E$154-E153))), IF(ABS($E$78:$E$154-E153)&lt;&gt;0, ABS($E$78:$E$154-E153)), 0)),8)</f>
        <v>0.000470</v>
      </c>
      <c r="K153" s="56">
        <f t="shared" si="7"/>
        <v>268.60000000000008</v>
      </c>
      <c r="L153" s="52">
        <f t="shared" si="8"/>
        <v>0.24080760025713216</v>
      </c>
      <c r="M153" s="68" t="s">
        <v>241</v>
      </c>
      <c r="N153" s="74">
        <v>-1.0786</v>
      </c>
      <c r="O153" s="77">
        <v>339.88</v>
      </c>
      <c r="P153" s="79">
        <v>2.9999999999999997E-4</v>
      </c>
      <c r="Q153" s="28">
        <v>-2.6046999999999998E-6</v>
      </c>
      <c r="R153" s="82">
        <v>0.26829999999999998</v>
      </c>
      <c r="S153" s="83">
        <v>0.27510000000000001</v>
      </c>
      <c r="T153" s="83">
        <v>0.28570000000000001</v>
      </c>
      <c r="U153" s="92">
        <v>8.9560999999999993</v>
      </c>
      <c r="V153" s="96">
        <v>-1967.5</v>
      </c>
      <c r="W153" s="99">
        <v>-0.53490000000000004</v>
      </c>
      <c r="X153" s="29">
        <v>0</v>
      </c>
      <c r="Y153" s="29">
        <v>0</v>
      </c>
      <c r="Z153" s="108">
        <v>158.18700000000001</v>
      </c>
      <c r="AA153" s="6">
        <v>0.47585</v>
      </c>
      <c r="AB153" s="7">
        <v>-1.2246E-3</v>
      </c>
      <c r="AC153" s="8">
        <v>1.7563E-6</v>
      </c>
      <c r="AD153" s="109">
        <v>0.17119999999999999</v>
      </c>
      <c r="AE153" s="29">
        <v>-8.2310000000000003E-5</v>
      </c>
      <c r="AF153" s="31">
        <v>-2.1255999999999999E-7</v>
      </c>
      <c r="AG153" s="112">
        <v>54.277000000000001</v>
      </c>
      <c r="AH153" s="113">
        <v>0.38</v>
      </c>
      <c r="AI153" s="114">
        <v>55.222999999999999</v>
      </c>
      <c r="AJ153" s="115">
        <v>1.2222</v>
      </c>
      <c r="AK153" s="35"/>
      <c r="AL153" s="35"/>
      <c r="AM153" s="35"/>
      <c r="AN153" s="35"/>
      <c r="AO153" s="35"/>
      <c r="AP153" s="35"/>
      <c r="AQ153" s="35"/>
      <c r="AR153" s="35"/>
      <c r="AS153" s="35"/>
      <c r="AT153" s="35"/>
      <c r="AU153" s="35"/>
      <c r="AV153" s="35"/>
    </row>
    <row r="154" spans="1:48" x14ac:dyDescent="0.2">
      <c r="A154" s="22" t="s">
        <v>185</v>
      </c>
      <c r="B154" s="5" t="s">
        <v>73</v>
      </c>
      <c r="C154" s="5" t="s">
        <v>363</v>
      </c>
      <c r="D154" s="5">
        <v>9</v>
      </c>
      <c r="E154" s="69">
        <v>4.8421572375000004</v>
      </c>
      <c r="F154" s="26">
        <f t="shared" si="10"/>
        <v>0.48590124008009627</v>
      </c>
      <c r="G154" s="52">
        <v>126.242</v>
      </c>
      <c r="H154" s="55">
        <v>615.97</v>
      </c>
      <c r="I154" s="63" t="s">
        <v>233</v>
      </c>
      <c r="J154" s="64" t="s">
        <v>234</v>
      </c>
      <c r="K154" s="56">
        <f t="shared" si="7"/>
        <v>268.60000000000008</v>
      </c>
      <c r="L154" s="52">
        <f t="shared" si="8"/>
        <v>0.2431141490200866</v>
      </c>
      <c r="M154" s="67" t="str" cm="1">
        <f t="array" aca="1" ref="M154" ca="1">LEFT(INDEX($M$78:$M$154, MATCH(MIN(IF(ABS($E$78:$E$154-E154)&lt;&gt;0, ABS($E$78:$E$154-E154))), IF(ABS($E$78:$E$154-E154)&lt;&gt;0, ABS($E$78:$E$154-E154)), 0)),5)</f>
        <v>0.26</v>
      </c>
      <c r="N154" s="74">
        <v>-0.71330000000000005</v>
      </c>
      <c r="O154" s="77">
        <v>280.41000000000003</v>
      </c>
      <c r="P154" s="79">
        <v>-4.0000000000000002E-4</v>
      </c>
      <c r="Q154" s="28">
        <v>-2.1291000000000001E-6</v>
      </c>
      <c r="R154" s="82">
        <v>0.26829999999999998</v>
      </c>
      <c r="S154" s="83">
        <v>0.27679999999999999</v>
      </c>
      <c r="T154" s="83">
        <v>0.28570000000000001</v>
      </c>
      <c r="U154" s="92">
        <v>11.893000000000001</v>
      </c>
      <c r="V154" s="96">
        <v>-2153.1999999999998</v>
      </c>
      <c r="W154" s="99">
        <v>-1.4694</v>
      </c>
      <c r="X154" s="29">
        <v>0</v>
      </c>
      <c r="Y154" s="29">
        <v>0</v>
      </c>
      <c r="Z154" s="108">
        <v>154.56100000000001</v>
      </c>
      <c r="AA154" s="6">
        <v>0.50327</v>
      </c>
      <c r="AB154" s="7">
        <v>-1.3051E-3</v>
      </c>
      <c r="AC154" s="8">
        <v>1.8463E-6</v>
      </c>
      <c r="AD154" s="109">
        <v>0.17030000000000001</v>
      </c>
      <c r="AE154" s="29">
        <v>-7.9414999999999998E-5</v>
      </c>
      <c r="AF154" s="31">
        <v>-2.2029E-7</v>
      </c>
      <c r="AG154" s="112">
        <v>53.735999999999997</v>
      </c>
      <c r="AH154" s="113">
        <v>0.38</v>
      </c>
      <c r="AI154" s="114">
        <v>55.037999999999997</v>
      </c>
      <c r="AJ154" s="115">
        <v>1.2222</v>
      </c>
      <c r="AK154" s="35"/>
      <c r="AL154" s="35"/>
      <c r="AM154" s="35"/>
      <c r="AN154" s="35"/>
      <c r="AO154" s="35"/>
      <c r="AP154" s="35"/>
      <c r="AQ154" s="35"/>
      <c r="AR154" s="35"/>
      <c r="AS154" s="35"/>
      <c r="AT154" s="35"/>
      <c r="AU154" s="35"/>
      <c r="AV154" s="35"/>
    </row>
    <row r="155" spans="1:48" x14ac:dyDescent="0.2">
      <c r="A155" s="15" t="s">
        <v>107</v>
      </c>
      <c r="B155" s="5" t="s">
        <v>108</v>
      </c>
      <c r="C155" s="5" t="s">
        <v>136</v>
      </c>
      <c r="D155" s="5">
        <v>10</v>
      </c>
      <c r="E155" s="26">
        <v>0</v>
      </c>
      <c r="F155" s="26">
        <f>(E155-MIN($E$155:$E$157))/(MAX($E$155:$E$157)-MIN($E$155:$E$157))</f>
        <v>0</v>
      </c>
      <c r="G155" s="52">
        <v>140.26900000000001</v>
      </c>
      <c r="H155" s="55">
        <v>709</v>
      </c>
      <c r="I155" s="56">
        <v>30.4</v>
      </c>
      <c r="J155" s="61">
        <v>5.0600000000000005E-4</v>
      </c>
      <c r="K155" s="56">
        <f t="shared" si="7"/>
        <v>277.21146245059288</v>
      </c>
      <c r="L155" s="52">
        <f t="shared" si="8"/>
        <v>0.26095633548252262</v>
      </c>
      <c r="M155" s="52">
        <v>0.29199999999999998</v>
      </c>
      <c r="N155" s="74">
        <v>0.1623</v>
      </c>
      <c r="O155" s="77">
        <v>321.38</v>
      </c>
      <c r="P155" s="79">
        <v>-2.8999999999999998E-3</v>
      </c>
      <c r="Q155" s="28">
        <v>3.5456999999999998E-7</v>
      </c>
      <c r="R155" s="82">
        <v>0.2772</v>
      </c>
      <c r="S155" s="83">
        <v>0.26860000000000001</v>
      </c>
      <c r="T155" s="84">
        <v>0.28570000000000001</v>
      </c>
      <c r="U155" s="91">
        <v>18.026</v>
      </c>
      <c r="V155" s="95">
        <v>-2961.6</v>
      </c>
      <c r="W155" s="98">
        <v>-3.3294999999999999</v>
      </c>
      <c r="X155" s="29">
        <v>0</v>
      </c>
      <c r="Y155" s="31">
        <v>0</v>
      </c>
      <c r="Z155" s="108">
        <v>160.999</v>
      </c>
      <c r="AA155" s="6">
        <v>0.45902999999999999</v>
      </c>
      <c r="AB155" s="7">
        <v>-1.0231999999999999E-3</v>
      </c>
      <c r="AC155" s="8">
        <v>1.2703999999999999E-6</v>
      </c>
      <c r="AD155" s="109">
        <v>0.15629999999999999</v>
      </c>
      <c r="AE155" s="29">
        <v>-5.0655999999999997E-5</v>
      </c>
      <c r="AF155" s="31">
        <v>-1.7037999999999999E-7</v>
      </c>
      <c r="AG155" s="112">
        <v>62.040999999999997</v>
      </c>
      <c r="AH155" s="113">
        <v>0.38</v>
      </c>
      <c r="AI155" s="114">
        <v>61.274999999999999</v>
      </c>
      <c r="AJ155" s="115">
        <v>1.2222</v>
      </c>
      <c r="AK155" s="35"/>
      <c r="AL155" s="35"/>
      <c r="AM155" s="35"/>
      <c r="AN155" s="35"/>
      <c r="AO155" s="35"/>
      <c r="AP155" s="35"/>
      <c r="AQ155" s="35"/>
      <c r="AR155" s="35"/>
      <c r="AS155" s="35"/>
      <c r="AT155" s="35"/>
      <c r="AU155" s="35"/>
      <c r="AV155" s="35"/>
    </row>
    <row r="156" spans="1:48" x14ac:dyDescent="0.2">
      <c r="A156" s="16" t="s">
        <v>109</v>
      </c>
      <c r="B156" s="5" t="s">
        <v>108</v>
      </c>
      <c r="C156" s="5" t="s">
        <v>137</v>
      </c>
      <c r="D156" s="5">
        <v>10</v>
      </c>
      <c r="E156" s="26">
        <v>1.1597648700000001</v>
      </c>
      <c r="F156" s="26">
        <f>(E156-MIN($E$155:$E$157))/(MAX($E$155:$E$157)-MIN($E$155:$E$157))</f>
        <v>0.99998529896034261</v>
      </c>
      <c r="G156" s="52">
        <v>140.26900000000001</v>
      </c>
      <c r="H156" s="55">
        <v>667</v>
      </c>
      <c r="I156" s="56">
        <v>25.7</v>
      </c>
      <c r="J156" s="61">
        <v>5.3399999999999997E-4</v>
      </c>
      <c r="K156" s="56">
        <f t="shared" si="7"/>
        <v>262.67602996254681</v>
      </c>
      <c r="L156" s="52">
        <f t="shared" si="8"/>
        <v>0.24747909903600043</v>
      </c>
      <c r="M156" s="52">
        <v>0.27400000000000002</v>
      </c>
      <c r="N156" s="74">
        <v>-2.9752000000000001</v>
      </c>
      <c r="O156" s="77">
        <v>674.45</v>
      </c>
      <c r="P156" s="79">
        <v>4.1999999999999997E-3</v>
      </c>
      <c r="Q156" s="28">
        <v>-4.8705999999999996E-6</v>
      </c>
      <c r="R156" s="82">
        <v>0.26269999999999999</v>
      </c>
      <c r="S156" s="83">
        <v>0.2656</v>
      </c>
      <c r="T156" s="84">
        <v>0.3024</v>
      </c>
      <c r="U156" s="91">
        <v>33.634</v>
      </c>
      <c r="V156" s="95">
        <v>-3647.9</v>
      </c>
      <c r="W156" s="98">
        <v>-8.6427999999999994</v>
      </c>
      <c r="X156" s="29">
        <v>-9.6940999999999999E-11</v>
      </c>
      <c r="Y156" s="30">
        <v>1.1897E-6</v>
      </c>
      <c r="Z156" s="108">
        <v>181.99299999999999</v>
      </c>
      <c r="AA156" s="6">
        <v>0.51215999999999995</v>
      </c>
      <c r="AB156" s="7">
        <v>-1.2290999999999999E-3</v>
      </c>
      <c r="AC156" s="8">
        <v>1.7206000000000001E-6</v>
      </c>
      <c r="AD156" s="109">
        <v>0.16370000000000001</v>
      </c>
      <c r="AE156" s="29">
        <v>-7.3533000000000002E-5</v>
      </c>
      <c r="AF156" s="31">
        <v>-1.7737000000000001E-7</v>
      </c>
      <c r="AG156" s="112">
        <v>65.519000000000005</v>
      </c>
      <c r="AH156" s="113">
        <v>0.46</v>
      </c>
      <c r="AI156" s="114">
        <v>59.04</v>
      </c>
      <c r="AJ156" s="115">
        <v>1.3512999999999999</v>
      </c>
      <c r="AK156" s="35"/>
      <c r="AL156" s="35"/>
      <c r="AM156" s="35"/>
      <c r="AN156" s="35"/>
      <c r="AO156" s="35"/>
      <c r="AP156" s="35"/>
      <c r="AQ156" s="35"/>
      <c r="AR156" s="35"/>
      <c r="AS156" s="35"/>
      <c r="AT156" s="35"/>
      <c r="AU156" s="35"/>
      <c r="AV156" s="35"/>
    </row>
    <row r="157" spans="1:48" x14ac:dyDescent="0.2">
      <c r="A157" s="17" t="s">
        <v>125</v>
      </c>
      <c r="B157" s="5" t="s">
        <v>108</v>
      </c>
      <c r="C157" s="5" t="s">
        <v>138</v>
      </c>
      <c r="D157" s="5">
        <v>10</v>
      </c>
      <c r="E157" s="50">
        <v>1.1597819199999999</v>
      </c>
      <c r="F157" s="26">
        <f>(E157-MIN($E$155:$E$157))/(MAX($E$155:$E$157)-MIN($E$155:$E$157))</f>
        <v>1</v>
      </c>
      <c r="G157" s="52">
        <v>140.26900000000001</v>
      </c>
      <c r="H157" s="56">
        <v>647.49</v>
      </c>
      <c r="I157" s="56">
        <v>25.05</v>
      </c>
      <c r="J157" s="61">
        <v>5.3649999999999998E-4</v>
      </c>
      <c r="K157" s="56">
        <f t="shared" si="7"/>
        <v>261.69589552238807</v>
      </c>
      <c r="L157" s="52">
        <f t="shared" si="8"/>
        <v>0.24941894291731287</v>
      </c>
      <c r="M157" s="52">
        <v>0.39800000000000002</v>
      </c>
      <c r="N157" s="74">
        <v>-3.7279</v>
      </c>
      <c r="O157" s="77">
        <v>735.35</v>
      </c>
      <c r="P157" s="79">
        <v>6.4000000000000003E-3</v>
      </c>
      <c r="Q157" s="28">
        <v>-6.9971999999999997E-6</v>
      </c>
      <c r="R157" s="82">
        <v>0.24629999999999999</v>
      </c>
      <c r="S157" s="83">
        <v>0.25</v>
      </c>
      <c r="T157" s="84">
        <v>0.28570000000000001</v>
      </c>
      <c r="U157" s="94" t="s">
        <v>243</v>
      </c>
      <c r="V157" s="95">
        <v>-3580.6</v>
      </c>
      <c r="W157" s="98">
        <v>-5.2140000000000004</v>
      </c>
      <c r="X157" s="29">
        <v>-5.8999999999999999E-3</v>
      </c>
      <c r="Y157" s="30">
        <v>4.6191999999999998E-6</v>
      </c>
      <c r="Z157" s="108">
        <v>177.727</v>
      </c>
      <c r="AA157" s="6">
        <v>0.59926999999999997</v>
      </c>
      <c r="AB157" s="7">
        <v>-1.5460000000000001E-3</v>
      </c>
      <c r="AC157" s="8">
        <v>2.1212999999999999E-6</v>
      </c>
      <c r="AD157" s="109">
        <v>0.1686</v>
      </c>
      <c r="AE157" s="29">
        <v>-7.5116000000000004E-5</v>
      </c>
      <c r="AF157" s="31">
        <v>-1.9817999999999999E-7</v>
      </c>
      <c r="AG157" s="112">
        <v>61.613</v>
      </c>
      <c r="AH157" s="113">
        <v>0.38</v>
      </c>
      <c r="AI157" s="114">
        <v>55.911999999999999</v>
      </c>
      <c r="AJ157" s="115">
        <v>1.2222</v>
      </c>
      <c r="AK157" s="35"/>
      <c r="AL157" s="35"/>
      <c r="AM157" s="35"/>
      <c r="AN157" s="35"/>
      <c r="AO157" s="35"/>
      <c r="AP157" s="35"/>
      <c r="AQ157" s="35"/>
      <c r="AR157" s="35"/>
      <c r="AS157" s="35"/>
      <c r="AT157" s="35"/>
      <c r="AU157" s="35"/>
      <c r="AV157" s="35"/>
    </row>
    <row r="158" spans="1:48" x14ac:dyDescent="0.2">
      <c r="A158" s="18" t="s">
        <v>110</v>
      </c>
      <c r="B158" s="5" t="s">
        <v>111</v>
      </c>
      <c r="C158" s="5" t="s">
        <v>139</v>
      </c>
      <c r="D158" s="5">
        <v>11</v>
      </c>
      <c r="E158" s="26">
        <v>0</v>
      </c>
      <c r="F158" s="26">
        <f>(E158-MIN($E$158:$E$160))/(MAX($E$158:$E$160)-MIN($E$158:$E$160))</f>
        <v>0</v>
      </c>
      <c r="G158" s="52">
        <v>154.29599999999999</v>
      </c>
      <c r="H158" s="55">
        <v>728.78</v>
      </c>
      <c r="I158" s="56">
        <v>27.38</v>
      </c>
      <c r="J158" s="61">
        <v>5.4549999999999998E-4</v>
      </c>
      <c r="K158" s="56">
        <f t="shared" ref="K158:K163" si="11">1/LEFT(J158,8)*G158/1000</f>
        <v>283.11192660550461</v>
      </c>
      <c r="L158" s="52">
        <f t="shared" ref="L158:L163" si="12">LEFT(I158,5)*100000/(K158*8.314/(G158/1000)*H158)</f>
        <v>0.24627678765299446</v>
      </c>
      <c r="M158" s="52">
        <v>0.29799999999999999</v>
      </c>
      <c r="N158" s="74">
        <v>1.1913</v>
      </c>
      <c r="O158" s="77">
        <v>193.52</v>
      </c>
      <c r="P158" s="79">
        <v>-5.1000000000000004E-3</v>
      </c>
      <c r="Q158" s="28">
        <v>1.7593E-6</v>
      </c>
      <c r="R158" s="82">
        <v>0.28289999999999998</v>
      </c>
      <c r="S158" s="83">
        <v>0.27500000000000002</v>
      </c>
      <c r="T158" s="84">
        <v>0.28570000000000001</v>
      </c>
      <c r="U158" s="91">
        <v>18.178000000000001</v>
      </c>
      <c r="V158" s="95">
        <v>-3070.8</v>
      </c>
      <c r="W158" s="98">
        <v>-3.3717999999999999</v>
      </c>
      <c r="X158" s="29">
        <v>0</v>
      </c>
      <c r="Y158" s="31">
        <v>0</v>
      </c>
      <c r="Z158" s="108">
        <v>185.185</v>
      </c>
      <c r="AA158" s="6">
        <v>0.42268</v>
      </c>
      <c r="AB158" s="7">
        <v>-9.1828999999999999E-4</v>
      </c>
      <c r="AC158" s="8">
        <v>1.1703E-6</v>
      </c>
      <c r="AD158" s="109">
        <v>0.15310000000000001</v>
      </c>
      <c r="AE158" s="29">
        <v>-5.4944000000000001E-5</v>
      </c>
      <c r="AF158" s="31">
        <v>-1.4985999999999999E-7</v>
      </c>
      <c r="AG158" s="112">
        <v>64.808000000000007</v>
      </c>
      <c r="AH158" s="113">
        <v>0.38</v>
      </c>
      <c r="AI158" s="114">
        <v>59.43</v>
      </c>
      <c r="AJ158" s="115">
        <v>1.2222</v>
      </c>
      <c r="AK158" s="35"/>
      <c r="AL158" s="35"/>
      <c r="AM158" s="35"/>
      <c r="AN158" s="35"/>
      <c r="AO158" s="35"/>
      <c r="AP158" s="35"/>
      <c r="AQ158" s="35"/>
      <c r="AR158" s="35"/>
      <c r="AS158" s="35"/>
      <c r="AT158" s="35"/>
      <c r="AU158" s="35"/>
      <c r="AV158" s="35"/>
    </row>
    <row r="159" spans="1:48" x14ac:dyDescent="0.2">
      <c r="A159" s="18" t="s">
        <v>126</v>
      </c>
      <c r="B159" s="5" t="s">
        <v>111</v>
      </c>
      <c r="C159" s="5" t="s">
        <v>140</v>
      </c>
      <c r="D159" s="5">
        <v>11</v>
      </c>
      <c r="E159" s="50">
        <v>1.1576399749999999</v>
      </c>
      <c r="F159" s="26">
        <f>(E159-MIN($E$158:$E$160))/(MAX($E$158:$E$160)-MIN($E$158:$E$160))</f>
        <v>0.99806031141924001</v>
      </c>
      <c r="G159" s="52">
        <v>154.29599999999999</v>
      </c>
      <c r="H159" s="56">
        <v>674.01</v>
      </c>
      <c r="I159" s="56">
        <v>23.36</v>
      </c>
      <c r="J159" s="61">
        <v>5.8449999999999995E-4</v>
      </c>
      <c r="K159" s="56">
        <f t="shared" si="11"/>
        <v>264.20547945205476</v>
      </c>
      <c r="L159" s="52">
        <f t="shared" si="12"/>
        <v>0.24344974577009226</v>
      </c>
      <c r="M159" s="52">
        <v>0.41299999999999998</v>
      </c>
      <c r="N159" s="74">
        <v>-6.4455</v>
      </c>
      <c r="O159" s="77">
        <v>1219.4000000000001</v>
      </c>
      <c r="P159" s="79">
        <v>1.15E-2</v>
      </c>
      <c r="Q159" s="28">
        <v>-9.8380999999999999E-6</v>
      </c>
      <c r="R159" s="82">
        <v>0.24249999999999999</v>
      </c>
      <c r="S159" s="83">
        <v>0.24399999999999999</v>
      </c>
      <c r="T159" s="84">
        <v>0.28570000000000001</v>
      </c>
      <c r="U159" s="94" t="s">
        <v>245</v>
      </c>
      <c r="V159" s="95">
        <v>-4146.6000000000004</v>
      </c>
      <c r="W159" s="98">
        <v>-11.0786</v>
      </c>
      <c r="X159" s="29">
        <v>8.4198000000000002E-10</v>
      </c>
      <c r="Y159" s="31">
        <v>2.2351999999999998E-6</v>
      </c>
      <c r="Z159" s="108">
        <v>194.179</v>
      </c>
      <c r="AA159" s="6">
        <v>0.70106000000000002</v>
      </c>
      <c r="AB159" s="7">
        <v>-1.7472E-3</v>
      </c>
      <c r="AC159" s="8">
        <v>2.2606999999999998E-6</v>
      </c>
      <c r="AD159" s="109">
        <v>0.16089999999999999</v>
      </c>
      <c r="AE159" s="29">
        <v>-6.2191000000000001E-5</v>
      </c>
      <c r="AF159" s="31">
        <v>-1.8432E-7</v>
      </c>
      <c r="AG159" s="112">
        <v>65.150999999999996</v>
      </c>
      <c r="AH159" s="113">
        <v>0.38</v>
      </c>
      <c r="AI159" s="114">
        <v>55.128999999999998</v>
      </c>
      <c r="AJ159" s="115">
        <v>1.2222</v>
      </c>
      <c r="AK159" s="35"/>
      <c r="AL159" s="35"/>
      <c r="AM159" s="35"/>
      <c r="AN159" s="35"/>
      <c r="AO159" s="35"/>
      <c r="AP159" s="35"/>
      <c r="AQ159" s="35"/>
      <c r="AR159" s="35"/>
      <c r="AS159" s="35"/>
      <c r="AT159" s="35"/>
      <c r="AU159" s="35"/>
      <c r="AV159" s="35"/>
    </row>
    <row r="160" spans="1:48" x14ac:dyDescent="0.2">
      <c r="A160" s="18" t="s">
        <v>112</v>
      </c>
      <c r="B160" s="5" t="s">
        <v>111</v>
      </c>
      <c r="C160" s="5" t="s">
        <v>141</v>
      </c>
      <c r="D160" s="5">
        <v>11</v>
      </c>
      <c r="E160" s="26">
        <v>1.1598898</v>
      </c>
      <c r="F160" s="26">
        <f>(E160-MIN($E$158:$E$160))/(MAX($E$158:$E$160)-MIN($E$158:$E$160))</f>
        <v>1</v>
      </c>
      <c r="G160" s="52">
        <v>154.29599999999999</v>
      </c>
      <c r="H160" s="55">
        <v>667.67</v>
      </c>
      <c r="I160" s="56">
        <v>22.81</v>
      </c>
      <c r="J160" s="61">
        <v>5.9250000000000004E-4</v>
      </c>
      <c r="K160" s="56">
        <f t="shared" si="11"/>
        <v>260.6351351351351</v>
      </c>
      <c r="L160" s="52">
        <f t="shared" si="12"/>
        <v>0.24326246828688811</v>
      </c>
      <c r="M160" s="52">
        <v>0.442</v>
      </c>
      <c r="N160" s="74">
        <v>-4.7332999999999998</v>
      </c>
      <c r="O160" s="77">
        <v>918.5</v>
      </c>
      <c r="P160" s="79">
        <v>8.3999999999999995E-3</v>
      </c>
      <c r="Q160" s="28">
        <v>-8.0739000000000007E-6</v>
      </c>
      <c r="R160" s="82">
        <v>0.24</v>
      </c>
      <c r="S160" s="83">
        <v>0.24299999999999999</v>
      </c>
      <c r="T160" s="84">
        <v>0.28570000000000001</v>
      </c>
      <c r="U160" s="91">
        <v>48.3</v>
      </c>
      <c r="V160" s="95">
        <v>-4570.8</v>
      </c>
      <c r="W160" s="98">
        <v>-13.563000000000001</v>
      </c>
      <c r="X160" s="29">
        <v>-4.1718000000000001E-4</v>
      </c>
      <c r="Y160" s="30">
        <v>3.0684000000000001E-6</v>
      </c>
      <c r="Z160" s="108">
        <v>193.46100000000001</v>
      </c>
      <c r="AA160" s="6">
        <v>0.69708000000000003</v>
      </c>
      <c r="AB160" s="7">
        <v>-1.7734000000000001E-3</v>
      </c>
      <c r="AC160" s="8">
        <v>2.3282999999999998E-6</v>
      </c>
      <c r="AD160" s="109">
        <v>0.1633</v>
      </c>
      <c r="AE160" s="29">
        <v>-6.6044000000000007E-5</v>
      </c>
      <c r="AF160" s="31">
        <v>-1.8748000000000001E-7</v>
      </c>
      <c r="AG160" s="112">
        <v>66.188000000000002</v>
      </c>
      <c r="AH160" s="113">
        <v>0.38</v>
      </c>
      <c r="AI160" s="114">
        <v>55.435000000000002</v>
      </c>
      <c r="AJ160" s="115">
        <v>1.2222</v>
      </c>
      <c r="AK160" s="35"/>
      <c r="AL160" s="35"/>
      <c r="AM160" s="35"/>
      <c r="AN160" s="35"/>
      <c r="AO160" s="35"/>
      <c r="AP160" s="35"/>
      <c r="AQ160" s="35"/>
      <c r="AR160" s="35"/>
      <c r="AS160" s="35"/>
      <c r="AT160" s="35"/>
      <c r="AU160" s="35"/>
      <c r="AV160" s="35"/>
    </row>
    <row r="161" spans="1:48" x14ac:dyDescent="0.2">
      <c r="A161" s="19" t="s">
        <v>113</v>
      </c>
      <c r="B161" s="5" t="s">
        <v>114</v>
      </c>
      <c r="C161" s="5" t="s">
        <v>142</v>
      </c>
      <c r="D161" s="5">
        <v>12</v>
      </c>
      <c r="E161" s="26">
        <v>0</v>
      </c>
      <c r="F161" s="26">
        <f>(E161-MIN($E$161:$E$163))/(MAX($E$161:$E$163)-MIN($E$161:$E$163))</f>
        <v>0</v>
      </c>
      <c r="G161" s="52">
        <v>168.32300000000001</v>
      </c>
      <c r="H161" s="55">
        <v>747.23</v>
      </c>
      <c r="I161" s="56">
        <v>25.46</v>
      </c>
      <c r="J161" s="61">
        <v>5.9349999999999995E-4</v>
      </c>
      <c r="K161" s="56">
        <f t="shared" si="11"/>
        <v>283.849915682968</v>
      </c>
      <c r="L161" s="52">
        <f t="shared" si="12"/>
        <v>0.24302378064357139</v>
      </c>
      <c r="M161" s="52">
        <v>0.313</v>
      </c>
      <c r="N161" s="74">
        <v>1.7863</v>
      </c>
      <c r="O161" s="77">
        <v>122.77</v>
      </c>
      <c r="P161" s="79">
        <v>-6.1999999999999998E-3</v>
      </c>
      <c r="Q161" s="28">
        <v>2.4393000000000001E-6</v>
      </c>
      <c r="R161" s="82">
        <v>0.28360000000000002</v>
      </c>
      <c r="S161" s="83">
        <v>0.27700000000000002</v>
      </c>
      <c r="T161" s="84">
        <v>0.28570000000000001</v>
      </c>
      <c r="U161" s="91">
        <v>18.414999999999999</v>
      </c>
      <c r="V161" s="95">
        <v>-3195.4</v>
      </c>
      <c r="W161" s="98">
        <v>-3.4304999999999999</v>
      </c>
      <c r="X161" s="29">
        <v>0</v>
      </c>
      <c r="Y161" s="31">
        <v>0</v>
      </c>
      <c r="Z161" s="108">
        <v>173.14400000000001</v>
      </c>
      <c r="AA161" s="6">
        <v>1.0432999999999999</v>
      </c>
      <c r="AB161" s="7">
        <v>-2.2125999999999999E-3</v>
      </c>
      <c r="AC161" s="8">
        <v>2.1645000000000002E-6</v>
      </c>
      <c r="AD161" s="109">
        <v>0.14249999999999999</v>
      </c>
      <c r="AE161" s="29">
        <v>-3.1248000000000003E-5</v>
      </c>
      <c r="AF161" s="31">
        <v>-1.5605E-7</v>
      </c>
      <c r="AG161" s="112">
        <v>69.915000000000006</v>
      </c>
      <c r="AH161" s="113">
        <v>0.38</v>
      </c>
      <c r="AI161" s="114">
        <v>58.505000000000003</v>
      </c>
      <c r="AJ161" s="115">
        <v>1.2222</v>
      </c>
      <c r="AK161" s="35"/>
      <c r="AL161" s="35"/>
      <c r="AM161" s="35"/>
      <c r="AN161" s="35"/>
      <c r="AO161" s="35"/>
      <c r="AP161" s="35"/>
      <c r="AQ161" s="35"/>
      <c r="AR161" s="35"/>
      <c r="AS161" s="35"/>
      <c r="AT161" s="35"/>
      <c r="AU161" s="35"/>
      <c r="AV161" s="35"/>
    </row>
    <row r="162" spans="1:48" x14ac:dyDescent="0.2">
      <c r="A162" s="19" t="s">
        <v>115</v>
      </c>
      <c r="B162" s="5" t="s">
        <v>114</v>
      </c>
      <c r="C162" s="5" t="s">
        <v>143</v>
      </c>
      <c r="D162" s="5">
        <v>12</v>
      </c>
      <c r="E162" s="26">
        <v>1.15911831</v>
      </c>
      <c r="F162" s="26">
        <f>(E162-MIN($E$161:$E$163))/(MAX($E$161:$E$163)-MIN($E$161:$E$163))</f>
        <v>1</v>
      </c>
      <c r="G162" s="52">
        <v>168.32300000000001</v>
      </c>
      <c r="H162" s="55">
        <v>679</v>
      </c>
      <c r="I162" s="56">
        <v>19.399999999999999</v>
      </c>
      <c r="J162" s="61">
        <v>6.4849999999999999E-4</v>
      </c>
      <c r="K162" s="56">
        <f t="shared" si="11"/>
        <v>259.75771604938268</v>
      </c>
      <c r="L162" s="52">
        <f t="shared" si="12"/>
        <v>0.22268806488195469</v>
      </c>
      <c r="M162" s="52">
        <v>0.51500000000000001</v>
      </c>
      <c r="N162" s="74">
        <v>-4.8042999999999996</v>
      </c>
      <c r="O162" s="77">
        <v>967.07</v>
      </c>
      <c r="P162" s="79">
        <v>8.3000000000000001E-3</v>
      </c>
      <c r="Q162" s="28">
        <v>-7.9512999999999996E-6</v>
      </c>
      <c r="R162" s="82">
        <v>0.2379</v>
      </c>
      <c r="S162" s="83">
        <v>0.23699999999999999</v>
      </c>
      <c r="T162" s="84">
        <v>0.28570000000000001</v>
      </c>
      <c r="U162" s="91">
        <v>48.073999999999998</v>
      </c>
      <c r="V162" s="95">
        <v>-4887.6000000000004</v>
      </c>
      <c r="W162" s="98">
        <v>-13.081</v>
      </c>
      <c r="X162" s="29">
        <v>-2.0206E-3</v>
      </c>
      <c r="Y162" s="30">
        <v>3.6907999999999999E-6</v>
      </c>
      <c r="Z162" s="108">
        <v>199.77099999999999</v>
      </c>
      <c r="AA162" s="6">
        <v>0.89942</v>
      </c>
      <c r="AB162" s="7">
        <v>-2.2897E-3</v>
      </c>
      <c r="AC162" s="8">
        <v>2.8237000000000002E-6</v>
      </c>
      <c r="AD162" s="109">
        <v>0.15959999999999999</v>
      </c>
      <c r="AE162" s="29">
        <v>-5.4353E-5</v>
      </c>
      <c r="AF162" s="31">
        <v>-1.902E-7</v>
      </c>
      <c r="AG162" s="112">
        <v>71.533000000000001</v>
      </c>
      <c r="AH162" s="113">
        <v>0.38</v>
      </c>
      <c r="AI162" s="114">
        <v>55.55</v>
      </c>
      <c r="AJ162" s="115">
        <v>1.2222</v>
      </c>
      <c r="AK162" s="35"/>
      <c r="AL162" s="35"/>
      <c r="AM162" s="35"/>
      <c r="AN162" s="35"/>
      <c r="AO162" s="35"/>
      <c r="AP162" s="35"/>
      <c r="AQ162" s="35"/>
      <c r="AR162" s="35"/>
      <c r="AS162" s="35"/>
      <c r="AT162" s="35"/>
      <c r="AU162" s="35"/>
      <c r="AV162" s="35"/>
    </row>
    <row r="163" spans="1:48" x14ac:dyDescent="0.2">
      <c r="A163" s="19" t="s">
        <v>116</v>
      </c>
      <c r="B163" s="5" t="s">
        <v>114</v>
      </c>
      <c r="C163" s="5" t="s">
        <v>144</v>
      </c>
      <c r="D163" s="5">
        <v>12</v>
      </c>
      <c r="E163" s="26">
        <v>1.15813638</v>
      </c>
      <c r="F163" s="26">
        <f>(E163-MIN($E$161:$E$163))/(MAX($E$161:$E$163)-MIN($E$161:$E$163))</f>
        <v>0.99915286473216003</v>
      </c>
      <c r="G163" s="52">
        <v>168.32300000000001</v>
      </c>
      <c r="H163" s="55">
        <v>691.81</v>
      </c>
      <c r="I163" s="56">
        <v>21.33</v>
      </c>
      <c r="J163" s="61">
        <v>6.4050000000000001E-4</v>
      </c>
      <c r="K163" s="56">
        <f t="shared" si="11"/>
        <v>263.00468749999999</v>
      </c>
      <c r="L163" s="52">
        <f t="shared" si="12"/>
        <v>0.23734165908697658</v>
      </c>
      <c r="M163" s="52">
        <v>0.45600000000000002</v>
      </c>
      <c r="N163" s="74">
        <v>-7.3597000000000001</v>
      </c>
      <c r="O163" s="77">
        <v>1403.6</v>
      </c>
      <c r="P163" s="79">
        <v>1.3100000000000001E-2</v>
      </c>
      <c r="Q163" s="28">
        <v>-1.0601999999999999E-5</v>
      </c>
      <c r="R163" s="82">
        <v>0.26279999999999998</v>
      </c>
      <c r="S163" s="83">
        <v>0.23799999999999999</v>
      </c>
      <c r="T163" s="84">
        <v>0.28570000000000001</v>
      </c>
      <c r="U163" s="91">
        <v>44.228000000000002</v>
      </c>
      <c r="V163" s="95">
        <v>-4661</v>
      </c>
      <c r="W163" s="98">
        <v>-11.795</v>
      </c>
      <c r="X163" s="29">
        <v>-2.0286000000000002E-3</v>
      </c>
      <c r="Y163" s="30">
        <v>3.3751000000000001E-6</v>
      </c>
      <c r="Z163" s="108">
        <v>191.857</v>
      </c>
      <c r="AA163" s="6">
        <v>0.92537999999999998</v>
      </c>
      <c r="AB163" s="7">
        <v>-2.2560000000000002E-3</v>
      </c>
      <c r="AC163" s="8">
        <v>2.6684999999999999E-6</v>
      </c>
      <c r="AD163" s="109">
        <v>0.15340000000000001</v>
      </c>
      <c r="AE163" s="29">
        <v>-4.3427999999999998E-5</v>
      </c>
      <c r="AF163" s="31">
        <v>-1.8635E-7</v>
      </c>
      <c r="AG163" s="112">
        <v>69.465000000000003</v>
      </c>
      <c r="AH163" s="113">
        <v>0.38</v>
      </c>
      <c r="AI163" s="114">
        <v>54.780999999999999</v>
      </c>
      <c r="AJ163" s="115">
        <v>1.2222</v>
      </c>
      <c r="AK163" s="35"/>
      <c r="AL163" s="35"/>
      <c r="AM163" s="35"/>
      <c r="AN163" s="35"/>
      <c r="AO163" s="35"/>
      <c r="AP163" s="35"/>
      <c r="AQ163" s="35"/>
      <c r="AR163" s="35"/>
      <c r="AS163" s="35"/>
      <c r="AT163" s="35"/>
      <c r="AU163" s="35"/>
      <c r="AV163" s="35"/>
    </row>
    <row r="164" spans="1:48" x14ac:dyDescent="0.2">
      <c r="A164" s="35"/>
      <c r="B164" s="35"/>
      <c r="C164" s="35"/>
      <c r="D164" s="35"/>
      <c r="E164" s="48"/>
      <c r="F164" s="48"/>
      <c r="G164" s="37"/>
      <c r="H164" s="36"/>
      <c r="I164" s="36"/>
      <c r="J164" s="58"/>
      <c r="K164" s="36"/>
      <c r="L164" s="37"/>
      <c r="M164" s="37"/>
      <c r="N164" s="71"/>
      <c r="O164" s="36"/>
      <c r="P164" s="71"/>
      <c r="Q164" s="58"/>
      <c r="R164" s="71"/>
      <c r="S164" s="71"/>
      <c r="T164" s="71"/>
      <c r="U164" s="71"/>
      <c r="V164" s="36"/>
      <c r="W164" s="71"/>
      <c r="X164" s="101"/>
      <c r="Y164" s="101"/>
      <c r="Z164" s="37"/>
      <c r="AA164" s="71"/>
      <c r="AB164" s="101"/>
      <c r="AC164" s="101"/>
      <c r="AD164" s="71"/>
      <c r="AE164" s="101"/>
      <c r="AF164" s="101"/>
      <c r="AG164" s="37"/>
      <c r="AH164" s="37"/>
      <c r="AI164" s="37"/>
      <c r="AJ164" s="71"/>
      <c r="AK164" s="46"/>
      <c r="AL164" s="35"/>
      <c r="AM164" s="35"/>
      <c r="AN164" s="35"/>
      <c r="AO164" s="35"/>
      <c r="AP164" s="35"/>
      <c r="AQ164" s="35"/>
      <c r="AR164" s="35"/>
      <c r="AS164" s="35"/>
      <c r="AT164" s="35"/>
      <c r="AU164" s="35"/>
      <c r="AV164" s="35"/>
    </row>
    <row r="165" spans="1:48" x14ac:dyDescent="0.2">
      <c r="A165" s="47" t="s">
        <v>214</v>
      </c>
      <c r="B165" s="39"/>
      <c r="C165" s="39"/>
      <c r="D165" s="35"/>
      <c r="E165" s="48"/>
      <c r="F165" s="48"/>
      <c r="G165" s="37"/>
      <c r="H165" s="36"/>
      <c r="I165" s="36"/>
      <c r="J165" s="58"/>
      <c r="K165" s="36"/>
      <c r="L165" s="37"/>
      <c r="M165" s="37"/>
      <c r="N165" s="71"/>
      <c r="O165" s="36"/>
      <c r="P165" s="71"/>
      <c r="Q165" s="58"/>
      <c r="R165" s="71"/>
      <c r="S165" s="71"/>
      <c r="T165" s="71"/>
      <c r="U165" s="71"/>
      <c r="V165" s="36"/>
      <c r="W165" s="71"/>
      <c r="X165" s="101"/>
      <c r="Y165" s="101"/>
      <c r="Z165" s="37"/>
      <c r="AA165" s="71"/>
      <c r="AB165" s="101"/>
      <c r="AC165" s="101"/>
      <c r="AD165" s="71"/>
      <c r="AE165" s="101"/>
      <c r="AF165" s="101"/>
      <c r="AG165" s="37"/>
      <c r="AH165" s="37"/>
      <c r="AI165" s="37"/>
      <c r="AJ165" s="71"/>
      <c r="AK165" s="46"/>
      <c r="AL165" s="35"/>
      <c r="AM165" s="35"/>
      <c r="AN165" s="35"/>
      <c r="AO165" s="35"/>
      <c r="AP165" s="35"/>
      <c r="AQ165" s="35"/>
      <c r="AR165" s="35"/>
      <c r="AS165" s="35"/>
      <c r="AT165" s="35"/>
      <c r="AU165" s="35"/>
      <c r="AV165" s="35"/>
    </row>
    <row r="166" spans="1:48" x14ac:dyDescent="0.2">
      <c r="A166" s="39"/>
      <c r="B166" s="39"/>
      <c r="C166" s="39"/>
      <c r="D166" s="35"/>
      <c r="E166" s="48"/>
      <c r="F166" s="48"/>
      <c r="G166" s="37"/>
      <c r="H166" s="36"/>
      <c r="I166" s="36"/>
      <c r="J166" s="58"/>
      <c r="K166" s="36"/>
      <c r="L166" s="37"/>
      <c r="M166" s="37"/>
      <c r="N166" s="71"/>
      <c r="O166" s="36"/>
      <c r="P166" s="71"/>
      <c r="Q166" s="58"/>
      <c r="R166" s="71"/>
      <c r="S166" s="71"/>
      <c r="T166" s="71"/>
      <c r="U166" s="71"/>
      <c r="V166" s="36"/>
      <c r="W166" s="71"/>
      <c r="X166" s="101"/>
      <c r="Y166" s="101"/>
      <c r="Z166" s="37"/>
      <c r="AA166" s="71"/>
      <c r="AB166" s="101"/>
      <c r="AC166" s="101"/>
      <c r="AD166" s="71"/>
      <c r="AE166" s="101"/>
      <c r="AF166" s="101"/>
      <c r="AG166" s="37"/>
      <c r="AH166" s="37"/>
      <c r="AI166" s="37"/>
      <c r="AJ166" s="71"/>
      <c r="AK166" s="46"/>
      <c r="AL166" s="35"/>
      <c r="AM166" s="35"/>
      <c r="AN166" s="35"/>
      <c r="AO166" s="35"/>
      <c r="AP166" s="35"/>
      <c r="AQ166" s="35"/>
      <c r="AR166" s="35"/>
      <c r="AS166" s="35"/>
      <c r="AT166" s="35"/>
      <c r="AU166" s="35"/>
      <c r="AV166" s="35"/>
    </row>
    <row r="167" spans="1:48" x14ac:dyDescent="0.2">
      <c r="A167" s="39" t="s">
        <v>215</v>
      </c>
      <c r="B167" s="39"/>
      <c r="C167" s="39"/>
      <c r="D167" s="35"/>
      <c r="E167" s="48"/>
      <c r="F167" s="48"/>
      <c r="G167" s="37"/>
      <c r="H167" s="36"/>
      <c r="I167" s="36"/>
      <c r="J167" s="58"/>
      <c r="K167" s="36"/>
      <c r="L167" s="37"/>
      <c r="M167" s="37"/>
      <c r="N167" s="71"/>
      <c r="O167" s="36"/>
      <c r="P167" s="71"/>
      <c r="Q167" s="58"/>
      <c r="R167" s="71"/>
      <c r="S167" s="71"/>
      <c r="T167" s="71"/>
      <c r="U167" s="71"/>
      <c r="V167" s="36"/>
      <c r="W167" s="71"/>
      <c r="X167" s="101"/>
      <c r="Y167" s="101"/>
      <c r="Z167" s="37"/>
      <c r="AA167" s="71"/>
      <c r="AB167" s="101"/>
      <c r="AC167" s="101"/>
      <c r="AD167" s="71"/>
      <c r="AE167" s="101"/>
      <c r="AF167" s="101"/>
      <c r="AG167" s="37"/>
      <c r="AH167" s="37"/>
      <c r="AI167" s="37"/>
      <c r="AJ167" s="71"/>
      <c r="AK167" s="46"/>
      <c r="AL167" s="35"/>
      <c r="AM167" s="35"/>
      <c r="AN167" s="35"/>
      <c r="AO167" s="35"/>
      <c r="AP167" s="35"/>
      <c r="AQ167" s="35"/>
      <c r="AR167" s="35"/>
      <c r="AS167" s="35"/>
      <c r="AT167" s="35"/>
      <c r="AU167" s="35"/>
      <c r="AV167" s="35"/>
    </row>
    <row r="168" spans="1:48" x14ac:dyDescent="0.2">
      <c r="A168" s="39" t="s">
        <v>216</v>
      </c>
      <c r="B168" s="39"/>
      <c r="C168" s="39"/>
      <c r="D168" s="35"/>
      <c r="E168" s="48"/>
      <c r="F168" s="48"/>
      <c r="G168" s="37"/>
      <c r="H168" s="36"/>
      <c r="I168" s="36"/>
      <c r="J168" s="58"/>
      <c r="K168" s="36"/>
      <c r="L168" s="37"/>
      <c r="M168" s="37"/>
      <c r="N168" s="71"/>
      <c r="O168" s="36"/>
      <c r="P168" s="71"/>
      <c r="Q168" s="58"/>
      <c r="R168" s="71"/>
      <c r="S168" s="71"/>
      <c r="T168" s="71"/>
      <c r="U168" s="71"/>
      <c r="V168" s="36"/>
      <c r="W168" s="71"/>
      <c r="X168" s="101"/>
      <c r="Y168" s="101"/>
      <c r="Z168" s="37"/>
      <c r="AA168" s="71"/>
      <c r="AB168" s="101"/>
      <c r="AC168" s="101"/>
      <c r="AD168" s="71"/>
      <c r="AE168" s="101"/>
      <c r="AF168" s="101"/>
      <c r="AG168" s="37"/>
      <c r="AH168" s="37"/>
      <c r="AI168" s="37"/>
      <c r="AJ168" s="71"/>
      <c r="AK168" s="46"/>
      <c r="AL168" s="35"/>
      <c r="AM168" s="35"/>
      <c r="AN168" s="35"/>
      <c r="AO168" s="35"/>
      <c r="AP168" s="35"/>
      <c r="AQ168" s="35"/>
      <c r="AR168" s="35"/>
      <c r="AS168" s="35"/>
      <c r="AT168" s="35"/>
      <c r="AU168" s="35"/>
      <c r="AV168" s="35"/>
    </row>
    <row r="169" spans="1:48" x14ac:dyDescent="0.2">
      <c r="A169" s="39" t="s">
        <v>217</v>
      </c>
      <c r="B169" s="39"/>
      <c r="C169" s="39"/>
      <c r="D169" s="35"/>
      <c r="E169" s="48"/>
      <c r="F169" s="48"/>
      <c r="G169" s="37"/>
      <c r="H169" s="36"/>
      <c r="I169" s="36"/>
      <c r="J169" s="58"/>
      <c r="K169" s="36"/>
      <c r="L169" s="37"/>
      <c r="M169" s="37"/>
      <c r="N169" s="71"/>
      <c r="O169" s="36"/>
      <c r="P169" s="71"/>
      <c r="Q169" s="58"/>
      <c r="R169" s="71"/>
      <c r="S169" s="71"/>
      <c r="T169" s="71"/>
      <c r="U169" s="71"/>
      <c r="V169" s="36"/>
      <c r="W169" s="71"/>
      <c r="X169" s="101"/>
      <c r="Y169" s="101"/>
      <c r="Z169" s="37"/>
      <c r="AA169" s="71"/>
      <c r="AB169" s="101"/>
      <c r="AC169" s="101"/>
      <c r="AD169" s="71"/>
      <c r="AE169" s="101"/>
      <c r="AF169" s="101"/>
      <c r="AG169" s="37"/>
      <c r="AH169" s="37"/>
      <c r="AI169" s="37"/>
      <c r="AJ169" s="71"/>
      <c r="AK169" s="46"/>
      <c r="AL169" s="35"/>
      <c r="AM169" s="35"/>
      <c r="AN169" s="35"/>
      <c r="AO169" s="35"/>
      <c r="AP169" s="35"/>
      <c r="AQ169" s="35"/>
      <c r="AR169" s="35"/>
      <c r="AS169" s="35"/>
      <c r="AT169" s="35"/>
      <c r="AU169" s="35"/>
      <c r="AV169" s="35"/>
    </row>
    <row r="170" spans="1:48" x14ac:dyDescent="0.2">
      <c r="A170" s="39" t="s">
        <v>218</v>
      </c>
      <c r="B170" s="39"/>
      <c r="C170" s="39"/>
      <c r="D170" s="35"/>
      <c r="E170" s="48"/>
      <c r="F170" s="48"/>
      <c r="G170" s="37"/>
      <c r="H170" s="36"/>
      <c r="I170" s="36"/>
      <c r="J170" s="58"/>
      <c r="K170" s="36"/>
      <c r="L170" s="37"/>
      <c r="M170" s="37"/>
      <c r="N170" s="71"/>
      <c r="O170" s="36"/>
      <c r="P170" s="71"/>
      <c r="Q170" s="58"/>
      <c r="R170" s="71"/>
      <c r="S170" s="71"/>
      <c r="T170" s="71"/>
      <c r="U170" s="71"/>
      <c r="V170" s="36"/>
      <c r="W170" s="71"/>
      <c r="X170" s="101"/>
      <c r="Y170" s="101"/>
      <c r="Z170" s="37"/>
      <c r="AA170" s="71"/>
      <c r="AB170" s="101"/>
      <c r="AC170" s="101"/>
      <c r="AD170" s="71"/>
      <c r="AE170" s="101"/>
      <c r="AF170" s="101"/>
      <c r="AG170" s="37"/>
      <c r="AH170" s="37"/>
      <c r="AI170" s="37"/>
      <c r="AJ170" s="71"/>
      <c r="AK170" s="46"/>
      <c r="AL170" s="35"/>
      <c r="AM170" s="35"/>
      <c r="AN170" s="35"/>
      <c r="AO170" s="35"/>
      <c r="AP170" s="35"/>
      <c r="AQ170" s="35"/>
      <c r="AR170" s="35"/>
      <c r="AS170" s="35"/>
      <c r="AT170" s="35"/>
      <c r="AU170" s="35"/>
      <c r="AV170" s="35"/>
    </row>
    <row r="171" spans="1:48" x14ac:dyDescent="0.2">
      <c r="A171" s="39" t="s">
        <v>219</v>
      </c>
      <c r="B171" s="39"/>
      <c r="C171" s="39"/>
      <c r="D171" s="35"/>
      <c r="E171" s="48"/>
      <c r="F171" s="48"/>
      <c r="G171" s="37"/>
      <c r="H171" s="36"/>
      <c r="I171" s="36"/>
      <c r="J171" s="58"/>
      <c r="K171" s="36"/>
      <c r="L171" s="37"/>
      <c r="M171" s="37"/>
      <c r="N171" s="71"/>
      <c r="O171" s="36"/>
      <c r="P171" s="71"/>
      <c r="Q171" s="58"/>
      <c r="R171" s="71"/>
      <c r="S171" s="71"/>
      <c r="T171" s="71"/>
      <c r="U171" s="71"/>
      <c r="V171" s="36"/>
      <c r="W171" s="71"/>
      <c r="X171" s="101"/>
      <c r="Y171" s="101"/>
      <c r="Z171" s="37"/>
      <c r="AA171" s="71"/>
      <c r="AB171" s="101"/>
      <c r="AC171" s="101"/>
      <c r="AD171" s="71"/>
      <c r="AE171" s="101"/>
      <c r="AF171" s="101"/>
      <c r="AG171" s="37"/>
      <c r="AH171" s="37"/>
      <c r="AI171" s="37"/>
      <c r="AJ171" s="71"/>
      <c r="AK171" s="46"/>
      <c r="AL171" s="35"/>
      <c r="AM171" s="35"/>
      <c r="AN171" s="35"/>
      <c r="AO171" s="35"/>
      <c r="AP171" s="35"/>
      <c r="AQ171" s="35"/>
      <c r="AR171" s="35"/>
      <c r="AS171" s="35"/>
      <c r="AT171" s="35"/>
      <c r="AU171" s="35"/>
      <c r="AV171" s="35"/>
    </row>
    <row r="172" spans="1:48" x14ac:dyDescent="0.2">
      <c r="A172" s="39" t="s">
        <v>221</v>
      </c>
      <c r="B172" s="35"/>
      <c r="C172" s="35"/>
      <c r="D172" s="35"/>
      <c r="E172" s="48"/>
      <c r="F172" s="48"/>
      <c r="G172" s="37"/>
      <c r="H172" s="36"/>
      <c r="I172" s="36"/>
      <c r="J172" s="58"/>
      <c r="K172" s="36"/>
      <c r="L172" s="37"/>
      <c r="M172" s="37"/>
      <c r="N172" s="71"/>
      <c r="O172" s="36"/>
      <c r="P172" s="71"/>
      <c r="Q172" s="58"/>
      <c r="R172" s="71"/>
      <c r="S172" s="71"/>
      <c r="T172" s="71"/>
      <c r="U172" s="71"/>
      <c r="V172" s="36"/>
      <c r="W172" s="71"/>
      <c r="X172" s="101"/>
      <c r="Y172" s="101"/>
      <c r="Z172" s="37"/>
      <c r="AA172" s="71"/>
      <c r="AB172" s="101"/>
      <c r="AC172" s="101"/>
      <c r="AD172" s="71"/>
      <c r="AE172" s="101"/>
      <c r="AF172" s="101"/>
      <c r="AG172" s="37"/>
      <c r="AH172" s="37"/>
      <c r="AI172" s="37"/>
      <c r="AJ172" s="71"/>
      <c r="AK172" s="46"/>
      <c r="AL172" s="35"/>
      <c r="AM172" s="35"/>
      <c r="AN172" s="35"/>
      <c r="AO172" s="35"/>
      <c r="AP172" s="35"/>
      <c r="AQ172" s="35"/>
      <c r="AR172" s="35"/>
      <c r="AS172" s="35"/>
      <c r="AT172" s="35"/>
      <c r="AU172" s="35"/>
      <c r="AV172" s="35"/>
    </row>
    <row r="173" spans="1:48" x14ac:dyDescent="0.2">
      <c r="A173" s="39" t="s">
        <v>225</v>
      </c>
      <c r="B173" s="35"/>
      <c r="C173" s="35"/>
      <c r="D173" s="35"/>
      <c r="E173" s="48"/>
      <c r="F173" s="48"/>
      <c r="G173" s="37"/>
      <c r="H173" s="36"/>
      <c r="I173" s="36"/>
      <c r="J173" s="58"/>
      <c r="K173" s="36"/>
      <c r="L173" s="37"/>
      <c r="M173" s="37"/>
      <c r="N173" s="71"/>
      <c r="O173" s="36"/>
      <c r="P173" s="71"/>
      <c r="Q173" s="58"/>
      <c r="R173" s="71"/>
      <c r="S173" s="71"/>
      <c r="T173" s="71"/>
      <c r="U173" s="71"/>
      <c r="V173" s="36"/>
      <c r="W173" s="71"/>
      <c r="X173" s="101"/>
      <c r="Y173" s="101"/>
      <c r="Z173" s="37"/>
      <c r="AA173" s="71"/>
      <c r="AB173" s="101"/>
      <c r="AC173" s="101"/>
      <c r="AD173" s="71"/>
      <c r="AE173" s="101"/>
      <c r="AF173" s="101"/>
      <c r="AG173" s="37"/>
      <c r="AH173" s="37"/>
      <c r="AI173" s="37"/>
      <c r="AJ173" s="71"/>
      <c r="AK173" s="35"/>
      <c r="AL173" s="35"/>
      <c r="AM173" s="35"/>
      <c r="AN173" s="35"/>
      <c r="AO173" s="35"/>
      <c r="AP173" s="35"/>
      <c r="AQ173" s="35"/>
      <c r="AR173" s="35"/>
      <c r="AS173" s="35"/>
      <c r="AT173" s="35"/>
      <c r="AU173" s="35"/>
      <c r="AV173" s="35"/>
    </row>
    <row r="174" spans="1:48" x14ac:dyDescent="0.2">
      <c r="A174" s="39" t="s">
        <v>230</v>
      </c>
      <c r="B174" s="35"/>
      <c r="C174" s="35"/>
      <c r="D174" s="35"/>
      <c r="E174" s="48"/>
      <c r="F174" s="48"/>
      <c r="G174" s="37"/>
      <c r="H174" s="36"/>
      <c r="I174" s="36"/>
      <c r="J174" s="58"/>
      <c r="K174" s="36"/>
      <c r="L174" s="37"/>
      <c r="M174" s="37"/>
      <c r="N174" s="71"/>
      <c r="O174" s="36"/>
      <c r="P174" s="71"/>
      <c r="Q174" s="58"/>
      <c r="R174" s="71"/>
      <c r="S174" s="71"/>
      <c r="T174" s="71"/>
      <c r="U174" s="71"/>
      <c r="V174" s="36"/>
      <c r="W174" s="71"/>
      <c r="X174" s="101"/>
      <c r="Y174" s="101"/>
      <c r="Z174" s="37"/>
      <c r="AA174" s="71"/>
      <c r="AB174" s="101"/>
      <c r="AC174" s="101"/>
      <c r="AD174" s="71"/>
      <c r="AE174" s="101"/>
      <c r="AF174" s="101"/>
      <c r="AG174" s="37"/>
      <c r="AH174" s="37"/>
      <c r="AI174" s="37"/>
      <c r="AJ174" s="71"/>
      <c r="AK174" s="35"/>
      <c r="AL174" s="35"/>
      <c r="AM174" s="35"/>
      <c r="AN174" s="35"/>
      <c r="AO174" s="35"/>
      <c r="AP174" s="35"/>
      <c r="AQ174" s="35"/>
      <c r="AR174" s="35"/>
      <c r="AS174" s="35"/>
      <c r="AT174" s="35"/>
      <c r="AU174" s="35"/>
      <c r="AV174" s="35"/>
    </row>
    <row r="175" spans="1:48" x14ac:dyDescent="0.2">
      <c r="A175" s="39" t="s">
        <v>242</v>
      </c>
      <c r="B175" s="35"/>
      <c r="C175" s="35"/>
      <c r="D175" s="35"/>
      <c r="E175" s="48"/>
      <c r="F175" s="48"/>
      <c r="G175" s="37"/>
      <c r="H175" s="36"/>
      <c r="I175" s="36"/>
      <c r="J175" s="58"/>
      <c r="K175" s="36"/>
      <c r="L175" s="37"/>
      <c r="M175" s="37"/>
      <c r="N175" s="71"/>
      <c r="O175" s="36"/>
      <c r="P175" s="71"/>
      <c r="Q175" s="58"/>
      <c r="R175" s="71"/>
      <c r="S175" s="71"/>
      <c r="T175" s="71"/>
      <c r="U175" s="71"/>
      <c r="V175" s="36"/>
      <c r="W175" s="71"/>
      <c r="X175" s="101"/>
      <c r="Y175" s="101"/>
      <c r="Z175" s="37"/>
      <c r="AA175" s="71"/>
      <c r="AB175" s="101"/>
      <c r="AC175" s="101"/>
      <c r="AD175" s="71"/>
      <c r="AE175" s="101"/>
      <c r="AF175" s="101"/>
      <c r="AG175" s="37"/>
      <c r="AH175" s="37"/>
      <c r="AI175" s="37"/>
      <c r="AJ175" s="71"/>
      <c r="AK175" s="35"/>
      <c r="AL175" s="35"/>
      <c r="AM175" s="35"/>
      <c r="AN175" s="35"/>
      <c r="AO175" s="35"/>
      <c r="AP175" s="35"/>
      <c r="AQ175" s="35"/>
      <c r="AR175" s="35"/>
      <c r="AS175" s="35"/>
      <c r="AT175" s="35"/>
      <c r="AU175" s="35"/>
      <c r="AV175" s="35"/>
    </row>
    <row r="176" spans="1:48" x14ac:dyDescent="0.2">
      <c r="A176" s="39" t="s">
        <v>244</v>
      </c>
      <c r="B176" s="35"/>
      <c r="C176" s="35"/>
      <c r="D176" s="35"/>
      <c r="E176" s="48"/>
      <c r="F176" s="48"/>
      <c r="G176" s="37"/>
      <c r="H176" s="36"/>
      <c r="I176" s="36"/>
      <c r="J176" s="58"/>
      <c r="K176" s="36"/>
      <c r="L176" s="37"/>
      <c r="M176" s="37"/>
      <c r="N176" s="71"/>
      <c r="O176" s="36"/>
      <c r="P176" s="71"/>
      <c r="Q176" s="58"/>
      <c r="R176" s="71"/>
      <c r="S176" s="71"/>
      <c r="T176" s="71"/>
      <c r="U176" s="71"/>
      <c r="V176" s="36"/>
      <c r="W176" s="71"/>
      <c r="X176" s="101"/>
      <c r="Y176" s="101"/>
      <c r="Z176" s="37"/>
      <c r="AA176" s="71"/>
      <c r="AB176" s="101"/>
      <c r="AC176" s="101"/>
      <c r="AD176" s="71"/>
      <c r="AE176" s="101"/>
      <c r="AF176" s="101"/>
      <c r="AG176" s="37"/>
      <c r="AH176" s="37"/>
      <c r="AI176" s="37"/>
      <c r="AJ176" s="71"/>
      <c r="AK176" s="35"/>
      <c r="AL176" s="35"/>
      <c r="AM176" s="35"/>
      <c r="AN176" s="35"/>
      <c r="AO176" s="35"/>
      <c r="AP176" s="35"/>
      <c r="AQ176" s="35"/>
      <c r="AR176" s="35"/>
      <c r="AS176" s="35"/>
      <c r="AT176" s="35"/>
      <c r="AU176" s="35"/>
      <c r="AV176" s="35"/>
    </row>
  </sheetData>
  <conditionalFormatting sqref="C1:C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2024-04-25T13:28:36Z</dcterms:created>
  <dcterms:modified xsi:type="dcterms:W3CDTF">2024-05-17T16:02:31Z</dcterms:modified>
</cp:coreProperties>
</file>